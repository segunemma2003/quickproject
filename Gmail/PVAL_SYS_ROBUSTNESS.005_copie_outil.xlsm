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grouperenault-my.sharepoint.com/personal/thinhinane_kaddour-extern_ampere_cars/Documents/EVA/"/>
    </mc:Choice>
  </mc:AlternateContent>
  <xr:revisionPtr revIDLastSave="1" documentId="8_{C9A12587-51BE-4BD3-8B4A-A86BDE181C3B}" xr6:coauthVersionLast="47" xr6:coauthVersionMax="47" xr10:uidLastSave="{4899056E-57F7-432F-BA3B-D9CB0F25C7AA}"/>
  <bookViews>
    <workbookView xWindow="9510" yWindow="0" windowWidth="9780" windowHeight="10170" tabRatio="650" firstSheet="13" activeTab="13" xr2:uid="{00000000-000D-0000-FFFF-FFFF00000000}"/>
  </bookViews>
  <sheets>
    <sheet name="First_page" sheetId="1" r:id="rId1"/>
    <sheet name="Revision" sheetId="77" r:id="rId2"/>
    <sheet name="REQ" sheetId="111" r:id="rId3"/>
    <sheet name="GTK" sheetId="112" r:id="rId4"/>
    <sheet name="Variables" sheetId="113" r:id="rId5"/>
    <sheet name="PVAL_ALL_SYNTH" sheetId="76" r:id="rId6"/>
    <sheet name="DTx" sheetId="2" r:id="rId7"/>
    <sheet name="#1" sheetId="118" r:id="rId8"/>
    <sheet name="#2" sheetId="119" r:id="rId9"/>
    <sheet name="#3" sheetId="120" r:id="rId10"/>
    <sheet name="#4" sheetId="121" r:id="rId11"/>
    <sheet name="#5" sheetId="122" r:id="rId12"/>
    <sheet name="#6" sheetId="123" r:id="rId13"/>
    <sheet name="#7" sheetId="124" r:id="rId14"/>
    <sheet name="Feuil1" sheetId="129" r:id="rId15"/>
    <sheet name="#8" sheetId="125" r:id="rId16"/>
    <sheet name="#9" sheetId="128" r:id="rId17"/>
    <sheet name="#10" sheetId="127" r:id="rId18"/>
  </sheets>
  <definedNames>
    <definedName name="_xlnm._FilterDatabase" localSheetId="2" hidden="1">REQ!$A$1:$AN$123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03" i="124" l="1"/>
  <c r="B603" i="124"/>
  <c r="B600" i="124"/>
  <c r="CL9" i="76"/>
  <c r="AS5" i="76" l="1"/>
  <c r="AR5" i="76"/>
  <c r="AQ5" i="76"/>
  <c r="AP5" i="76"/>
  <c r="AO5" i="76"/>
  <c r="AN5" i="76"/>
  <c r="AM11" i="76" l="1"/>
  <c r="AR11" i="76"/>
  <c r="AQ11" i="76"/>
  <c r="AP11" i="76"/>
  <c r="AO11" i="76"/>
  <c r="AN11" i="76"/>
  <c r="A5" i="128"/>
  <c r="A6" i="128"/>
  <c r="A7" i="128"/>
  <c r="A8" i="128"/>
  <c r="A11" i="128"/>
  <c r="A13" i="128"/>
  <c r="B62" i="128"/>
  <c r="D62" i="128" s="1"/>
  <c r="B65" i="128"/>
  <c r="D65" i="128" s="1"/>
  <c r="B68" i="128"/>
  <c r="D68" i="128" s="1"/>
  <c r="B71" i="128"/>
  <c r="D71" i="128" s="1"/>
  <c r="B74" i="128"/>
  <c r="D74" i="128" s="1"/>
  <c r="B77" i="128"/>
  <c r="D77" i="128" s="1"/>
  <c r="B80" i="128"/>
  <c r="D80" i="128" s="1"/>
  <c r="B83" i="128"/>
  <c r="D83" i="128" s="1"/>
  <c r="B86" i="128"/>
  <c r="D86" i="128" s="1"/>
  <c r="B89" i="128"/>
  <c r="D89" i="128" s="1"/>
  <c r="B92" i="128"/>
  <c r="D92" i="128" s="1"/>
  <c r="B95" i="128"/>
  <c r="D95" i="128" s="1"/>
  <c r="B98" i="128"/>
  <c r="D98" i="128" s="1"/>
  <c r="EL9" i="76"/>
  <c r="EK9" i="76"/>
  <c r="EJ9" i="76"/>
  <c r="EI9" i="76"/>
  <c r="EH9" i="76"/>
  <c r="EG9" i="76"/>
  <c r="EF9" i="76"/>
  <c r="EE9" i="76"/>
  <c r="ED9" i="76"/>
  <c r="EC9" i="76"/>
  <c r="B762" i="124"/>
  <c r="D763" i="124" s="1"/>
  <c r="B759" i="124"/>
  <c r="D761" i="124" s="1"/>
  <c r="B756" i="124"/>
  <c r="D757" i="124" s="1"/>
  <c r="B753" i="124"/>
  <c r="D754" i="124" s="1"/>
  <c r="B750" i="124"/>
  <c r="D750" i="124" s="1"/>
  <c r="B747" i="124"/>
  <c r="D749" i="124" s="1"/>
  <c r="B744" i="124"/>
  <c r="D746" i="124" s="1"/>
  <c r="B741" i="124"/>
  <c r="D743" i="124" s="1"/>
  <c r="B738" i="124"/>
  <c r="D739" i="124" s="1"/>
  <c r="B735" i="124"/>
  <c r="D736" i="124" s="1"/>
  <c r="BG9" i="76"/>
  <c r="BF9" i="76"/>
  <c r="BE9" i="76"/>
  <c r="BD9" i="76"/>
  <c r="BC9" i="76"/>
  <c r="BB9" i="76"/>
  <c r="BA9" i="76"/>
  <c r="AZ9" i="76"/>
  <c r="AY9" i="76"/>
  <c r="EB9" i="76"/>
  <c r="B732" i="124"/>
  <c r="D100" i="128" l="1"/>
  <c r="D94" i="128"/>
  <c r="D88" i="128"/>
  <c r="D82" i="128"/>
  <c r="D76" i="128"/>
  <c r="D70" i="128"/>
  <c r="D64" i="128"/>
  <c r="D99" i="128"/>
  <c r="D93" i="128"/>
  <c r="D87" i="128"/>
  <c r="D81" i="128"/>
  <c r="D75" i="128"/>
  <c r="D69" i="128"/>
  <c r="D63" i="128"/>
  <c r="D91" i="128"/>
  <c r="D85" i="128"/>
  <c r="D73" i="128"/>
  <c r="D96" i="128"/>
  <c r="D90" i="128"/>
  <c r="D84" i="128"/>
  <c r="D78" i="128"/>
  <c r="D72" i="128"/>
  <c r="D66" i="128"/>
  <c r="D97" i="128"/>
  <c r="D79" i="128"/>
  <c r="D67" i="128"/>
  <c r="D735" i="124"/>
  <c r="D737" i="124"/>
  <c r="D753" i="124"/>
  <c r="D760" i="124"/>
  <c r="D752" i="124"/>
  <c r="D751" i="124"/>
  <c r="D759" i="124"/>
  <c r="D738" i="124"/>
  <c r="D745" i="124"/>
  <c r="D755" i="124"/>
  <c r="D762" i="124"/>
  <c r="D744" i="124"/>
  <c r="D740" i="124"/>
  <c r="D747" i="124"/>
  <c r="D764" i="124"/>
  <c r="D748" i="124"/>
  <c r="D756" i="124"/>
  <c r="D741" i="124"/>
  <c r="D758" i="124"/>
  <c r="D742" i="124"/>
  <c r="D733" i="124"/>
  <c r="D732" i="124"/>
  <c r="D734" i="124"/>
  <c r="EA9" i="76"/>
  <c r="DZ9" i="76"/>
  <c r="DY9" i="76"/>
  <c r="DX9" i="76"/>
  <c r="DW9" i="76"/>
  <c r="DV9" i="76"/>
  <c r="DU9" i="76"/>
  <c r="DT9" i="76"/>
  <c r="DS9" i="76"/>
  <c r="DR9" i="76"/>
  <c r="DQ9" i="76"/>
  <c r="DP9" i="76"/>
  <c r="DO9" i="76"/>
  <c r="DN9" i="76"/>
  <c r="DM9" i="76"/>
  <c r="DL9" i="76"/>
  <c r="DK9" i="76"/>
  <c r="DJ9" i="76"/>
  <c r="DI9" i="76"/>
  <c r="DH9" i="76"/>
  <c r="DG9" i="76"/>
  <c r="DF9" i="76"/>
  <c r="DE9" i="76"/>
  <c r="DD9" i="76"/>
  <c r="DC9" i="76"/>
  <c r="DB9" i="76"/>
  <c r="DA9" i="76"/>
  <c r="CZ9" i="76"/>
  <c r="CY9" i="76"/>
  <c r="CX9" i="76"/>
  <c r="CW9" i="76"/>
  <c r="CV9" i="76"/>
  <c r="CU9" i="76"/>
  <c r="CT9" i="76"/>
  <c r="CS9" i="76"/>
  <c r="CR9" i="76"/>
  <c r="CQ9" i="76"/>
  <c r="CP9" i="76"/>
  <c r="CO9" i="76"/>
  <c r="CN9" i="76"/>
  <c r="CM9" i="76"/>
  <c r="CK9" i="76"/>
  <c r="CJ9" i="76"/>
  <c r="CI9" i="76"/>
  <c r="CH9" i="76"/>
  <c r="CG9" i="76"/>
  <c r="CF9" i="76"/>
  <c r="CE9" i="76"/>
  <c r="CD9" i="76"/>
  <c r="CC9" i="76"/>
  <c r="CB9" i="76"/>
  <c r="CA9" i="76"/>
  <c r="BZ9" i="76"/>
  <c r="BY9" i="76"/>
  <c r="BX9" i="76"/>
  <c r="BW9" i="76"/>
  <c r="BV9" i="76"/>
  <c r="BU9" i="76"/>
  <c r="BT9" i="76"/>
  <c r="BS9" i="76"/>
  <c r="BR9" i="76"/>
  <c r="BQ9" i="76"/>
  <c r="BP9" i="76"/>
  <c r="BO9" i="76"/>
  <c r="BN9" i="76"/>
  <c r="BM9" i="76"/>
  <c r="BL9" i="76"/>
  <c r="BK9" i="76"/>
  <c r="BI9" i="76"/>
  <c r="BJ9" i="76"/>
  <c r="BH9" i="76"/>
  <c r="CB12" i="76"/>
  <c r="CB6" i="76"/>
  <c r="CB5" i="76"/>
  <c r="C441" i="124" l="1"/>
  <c r="C54" i="128"/>
  <c r="C42" i="128"/>
  <c r="C44" i="128"/>
  <c r="C45" i="128"/>
  <c r="C46" i="128"/>
  <c r="C49" i="128"/>
  <c r="C48" i="128"/>
  <c r="C50" i="128"/>
  <c r="C439" i="124"/>
  <c r="C51" i="128"/>
  <c r="C47" i="128"/>
  <c r="C52" i="128"/>
  <c r="C438" i="124"/>
  <c r="C53" i="128"/>
  <c r="C43" i="128"/>
  <c r="C433" i="124"/>
  <c r="C434" i="124"/>
  <c r="C435" i="124"/>
  <c r="C437" i="124"/>
  <c r="C436" i="124"/>
  <c r="C442" i="124"/>
  <c r="C440" i="124"/>
  <c r="C432" i="124"/>
  <c r="B729" i="124"/>
  <c r="B726" i="124"/>
  <c r="B723" i="124"/>
  <c r="B720" i="124"/>
  <c r="B717" i="124"/>
  <c r="B714" i="124"/>
  <c r="B711" i="124"/>
  <c r="B708" i="124"/>
  <c r="B705" i="124"/>
  <c r="B702" i="124"/>
  <c r="B699" i="124"/>
  <c r="B696" i="124"/>
  <c r="B693" i="124"/>
  <c r="B690" i="124"/>
  <c r="B687" i="124"/>
  <c r="B684" i="124"/>
  <c r="B681" i="124"/>
  <c r="D681" i="124" s="1"/>
  <c r="B678" i="124"/>
  <c r="B675" i="124"/>
  <c r="B672" i="124"/>
  <c r="B669" i="124"/>
  <c r="B666" i="124"/>
  <c r="B663" i="124"/>
  <c r="B660" i="124"/>
  <c r="B657" i="124"/>
  <c r="B654" i="124"/>
  <c r="B651" i="124"/>
  <c r="B648" i="124"/>
  <c r="B645" i="124"/>
  <c r="B642" i="124"/>
  <c r="B639" i="124"/>
  <c r="B636" i="124"/>
  <c r="B633" i="124"/>
  <c r="B630" i="124"/>
  <c r="B627" i="124"/>
  <c r="B624" i="124"/>
  <c r="B621" i="124"/>
  <c r="B618" i="124"/>
  <c r="B615" i="124"/>
  <c r="B612" i="124"/>
  <c r="D612" i="124" s="1"/>
  <c r="B609" i="124"/>
  <c r="B606" i="124"/>
  <c r="C57" i="128" l="1"/>
  <c r="AL11" i="76" s="1"/>
  <c r="D638" i="124"/>
  <c r="D636" i="124"/>
  <c r="D637" i="124"/>
  <c r="D662" i="124"/>
  <c r="D660" i="124"/>
  <c r="D661" i="124"/>
  <c r="D684" i="124"/>
  <c r="D686" i="124"/>
  <c r="D685" i="124"/>
  <c r="D710" i="124"/>
  <c r="D708" i="124"/>
  <c r="D709" i="124"/>
  <c r="D607" i="124"/>
  <c r="D606" i="124"/>
  <c r="D631" i="124"/>
  <c r="D632" i="124"/>
  <c r="D630" i="124"/>
  <c r="D655" i="124"/>
  <c r="D656" i="124"/>
  <c r="D654" i="124"/>
  <c r="D679" i="124"/>
  <c r="D680" i="124"/>
  <c r="D678" i="124"/>
  <c r="D702" i="124"/>
  <c r="D704" i="124"/>
  <c r="D703" i="124"/>
  <c r="D610" i="124"/>
  <c r="D609" i="124"/>
  <c r="D633" i="124"/>
  <c r="D634" i="124"/>
  <c r="D635" i="124"/>
  <c r="D657" i="124"/>
  <c r="D659" i="124"/>
  <c r="D658" i="124"/>
  <c r="D707" i="124"/>
  <c r="D706" i="124"/>
  <c r="D705" i="124"/>
  <c r="D616" i="124"/>
  <c r="D617" i="124"/>
  <c r="D615" i="124"/>
  <c r="D640" i="124"/>
  <c r="D641" i="124"/>
  <c r="D639" i="124"/>
  <c r="D665" i="124"/>
  <c r="D664" i="124"/>
  <c r="D663" i="124"/>
  <c r="D687" i="124"/>
  <c r="D688" i="124"/>
  <c r="D689" i="124"/>
  <c r="D711" i="124"/>
  <c r="D712" i="124"/>
  <c r="D713" i="124"/>
  <c r="D625" i="124"/>
  <c r="D626" i="124"/>
  <c r="D624" i="124"/>
  <c r="D674" i="124"/>
  <c r="D672" i="124"/>
  <c r="D673" i="124"/>
  <c r="D721" i="124"/>
  <c r="D722" i="124"/>
  <c r="D720" i="124"/>
  <c r="D643" i="124"/>
  <c r="D642" i="124"/>
  <c r="D644" i="124"/>
  <c r="D629" i="124"/>
  <c r="D627" i="124"/>
  <c r="D628" i="124"/>
  <c r="D651" i="124"/>
  <c r="D652" i="124"/>
  <c r="D653" i="124"/>
  <c r="D677" i="124"/>
  <c r="D675" i="124"/>
  <c r="D676" i="124"/>
  <c r="D700" i="124"/>
  <c r="D701" i="124"/>
  <c r="D699" i="124"/>
  <c r="D725" i="124"/>
  <c r="D723" i="124"/>
  <c r="D724" i="124"/>
  <c r="D618" i="124"/>
  <c r="D619" i="124"/>
  <c r="D620" i="124"/>
  <c r="D668" i="124"/>
  <c r="D666" i="124"/>
  <c r="D667" i="124"/>
  <c r="D692" i="124"/>
  <c r="D690" i="124"/>
  <c r="D691" i="124"/>
  <c r="D716" i="124"/>
  <c r="D715" i="124"/>
  <c r="D714" i="124"/>
  <c r="D646" i="124"/>
  <c r="D645" i="124"/>
  <c r="D647" i="124"/>
  <c r="D670" i="124"/>
  <c r="D669" i="124"/>
  <c r="D671" i="124"/>
  <c r="D694" i="124"/>
  <c r="D695" i="124"/>
  <c r="D693" i="124"/>
  <c r="D718" i="124"/>
  <c r="D719" i="124"/>
  <c r="D717" i="124"/>
  <c r="D650" i="124"/>
  <c r="D648" i="124"/>
  <c r="D649" i="124"/>
  <c r="D696" i="124"/>
  <c r="D697" i="124"/>
  <c r="D698" i="124"/>
  <c r="D730" i="124"/>
  <c r="D731" i="124"/>
  <c r="D729" i="124"/>
  <c r="D728" i="124"/>
  <c r="D727" i="124"/>
  <c r="D726" i="124"/>
  <c r="D611" i="124"/>
  <c r="D613" i="124"/>
  <c r="D614" i="124"/>
  <c r="D608" i="124"/>
  <c r="B597" i="124"/>
  <c r="D597" i="124" s="1"/>
  <c r="B594" i="124"/>
  <c r="B591" i="124"/>
  <c r="B588" i="124"/>
  <c r="D588" i="124" s="1"/>
  <c r="B585" i="124"/>
  <c r="B582" i="124"/>
  <c r="D623" i="124" s="1"/>
  <c r="B579" i="124"/>
  <c r="B576" i="124"/>
  <c r="B573" i="124"/>
  <c r="D574" i="124" s="1"/>
  <c r="B570" i="124"/>
  <c r="B567" i="124"/>
  <c r="D567" i="124" s="1"/>
  <c r="B564" i="124"/>
  <c r="D564" i="124" s="1"/>
  <c r="B561" i="124"/>
  <c r="D562" i="124" s="1"/>
  <c r="B558" i="124"/>
  <c r="D558" i="124" s="1"/>
  <c r="B555" i="124"/>
  <c r="B552" i="124"/>
  <c r="B549" i="124"/>
  <c r="B546" i="124"/>
  <c r="B543" i="124"/>
  <c r="B540" i="124"/>
  <c r="D541" i="124" s="1"/>
  <c r="B537" i="124"/>
  <c r="D538" i="124" s="1"/>
  <c r="B534" i="124"/>
  <c r="B531" i="124"/>
  <c r="D532" i="124" s="1"/>
  <c r="B528" i="124"/>
  <c r="D528" i="124" s="1"/>
  <c r="B525" i="124"/>
  <c r="D525" i="124" s="1"/>
  <c r="B522" i="124"/>
  <c r="B519" i="124"/>
  <c r="D519" i="124" s="1"/>
  <c r="B516" i="124"/>
  <c r="D517" i="124" s="1"/>
  <c r="B513" i="124"/>
  <c r="D514" i="124" s="1"/>
  <c r="B510" i="124"/>
  <c r="D510" i="124" s="1"/>
  <c r="B507" i="124"/>
  <c r="D508" i="124" s="1"/>
  <c r="C400" i="124" l="1"/>
  <c r="C414" i="124"/>
  <c r="C407" i="124"/>
  <c r="C419" i="124"/>
  <c r="C429" i="124"/>
  <c r="C396" i="124"/>
  <c r="C423" i="124"/>
  <c r="C411" i="124"/>
  <c r="C427" i="124"/>
  <c r="D585" i="124"/>
  <c r="D587" i="124"/>
  <c r="C410" i="124"/>
  <c r="C421" i="124"/>
  <c r="C405" i="124"/>
  <c r="C428" i="124"/>
  <c r="C393" i="124"/>
  <c r="C420" i="124"/>
  <c r="C403" i="124"/>
  <c r="C426" i="124"/>
  <c r="C417" i="124"/>
  <c r="C416" i="124"/>
  <c r="D591" i="124"/>
  <c r="D593" i="124"/>
  <c r="C397" i="124"/>
  <c r="C409" i="124"/>
  <c r="C406" i="124"/>
  <c r="D543" i="124"/>
  <c r="D544" i="124"/>
  <c r="D524" i="124"/>
  <c r="D522" i="124"/>
  <c r="D547" i="124"/>
  <c r="D546" i="124"/>
  <c r="D572" i="124"/>
  <c r="D571" i="124"/>
  <c r="D596" i="124"/>
  <c r="D594" i="124"/>
  <c r="C404" i="124"/>
  <c r="D622" i="124"/>
  <c r="C408" i="124"/>
  <c r="D550" i="124"/>
  <c r="D549" i="124"/>
  <c r="D621" i="124"/>
  <c r="C394" i="124"/>
  <c r="C413" i="124"/>
  <c r="C412" i="124"/>
  <c r="D553" i="124"/>
  <c r="D552" i="124"/>
  <c r="D577" i="124"/>
  <c r="D578" i="124"/>
  <c r="D600" i="124"/>
  <c r="D602" i="124"/>
  <c r="C418" i="124"/>
  <c r="C401" i="124"/>
  <c r="C398" i="124"/>
  <c r="C424" i="124"/>
  <c r="D556" i="124"/>
  <c r="D555" i="124"/>
  <c r="D581" i="124"/>
  <c r="D580" i="124"/>
  <c r="D579" i="124"/>
  <c r="C402" i="124"/>
  <c r="C425" i="124"/>
  <c r="C399" i="124"/>
  <c r="C422" i="124"/>
  <c r="D534" i="124"/>
  <c r="D535" i="124"/>
  <c r="D584" i="124"/>
  <c r="D583" i="124"/>
  <c r="D582" i="124"/>
  <c r="C430" i="124"/>
  <c r="C431" i="124"/>
  <c r="D520" i="124"/>
  <c r="D523" i="124"/>
  <c r="D527" i="124"/>
  <c r="D529" i="124"/>
  <c r="D683" i="124"/>
  <c r="D682" i="124"/>
  <c r="D565" i="124"/>
  <c r="D589" i="124"/>
  <c r="D592" i="124"/>
  <c r="D576" i="124"/>
  <c r="C391" i="124"/>
  <c r="C392" i="124"/>
  <c r="D604" i="124"/>
  <c r="D605" i="124"/>
  <c r="D598" i="124"/>
  <c r="D601" i="124"/>
  <c r="D586" i="124"/>
  <c r="D595" i="124"/>
  <c r="D566" i="124"/>
  <c r="D590" i="124"/>
  <c r="D599" i="124"/>
  <c r="D530" i="124"/>
  <c r="D560" i="124"/>
  <c r="D568" i="124"/>
  <c r="D559" i="124"/>
  <c r="D569" i="124"/>
  <c r="D512" i="124"/>
  <c r="D536" i="124"/>
  <c r="D561" i="124"/>
  <c r="D570" i="124"/>
  <c r="D511" i="124"/>
  <c r="D537" i="124"/>
  <c r="D563" i="124"/>
  <c r="D513" i="124"/>
  <c r="D539" i="124"/>
  <c r="D515" i="124"/>
  <c r="D551" i="124"/>
  <c r="D573" i="124"/>
  <c r="D526" i="124"/>
  <c r="D554" i="124"/>
  <c r="D575" i="124"/>
  <c r="D521" i="124"/>
  <c r="D545" i="124"/>
  <c r="D507" i="124"/>
  <c r="D531" i="124"/>
  <c r="D548" i="124"/>
  <c r="D509" i="124"/>
  <c r="D516" i="124"/>
  <c r="D533" i="124"/>
  <c r="D540" i="124"/>
  <c r="D557" i="124"/>
  <c r="D518" i="124"/>
  <c r="D542" i="124"/>
  <c r="C390" i="124" l="1"/>
  <c r="C368" i="124"/>
  <c r="C395" i="124"/>
  <c r="C415" i="124"/>
  <c r="C366" i="124"/>
  <c r="C380" i="124"/>
  <c r="C373" i="124"/>
  <c r="C365" i="124"/>
  <c r="C363" i="124"/>
  <c r="C371" i="124"/>
  <c r="C378" i="124"/>
  <c r="C372" i="124"/>
  <c r="C388" i="124"/>
  <c r="C361" i="124"/>
  <c r="C377" i="124"/>
  <c r="C387" i="124"/>
  <c r="C389" i="124"/>
  <c r="C374" i="124"/>
  <c r="C376" i="124"/>
  <c r="C386" i="124"/>
  <c r="C360" i="124"/>
  <c r="C369" i="124"/>
  <c r="C385" i="124"/>
  <c r="C384" i="124"/>
  <c r="C362" i="124"/>
  <c r="C383" i="124"/>
  <c r="C375" i="124"/>
  <c r="C382" i="124"/>
  <c r="C367" i="124"/>
  <c r="C381" i="124"/>
  <c r="C379" i="124"/>
  <c r="C359" i="124"/>
  <c r="C370" i="124"/>
  <c r="C364" i="124"/>
  <c r="B77" i="122" l="1"/>
  <c r="B504" i="124" l="1"/>
  <c r="B501" i="124"/>
  <c r="B498" i="124"/>
  <c r="B495" i="124"/>
  <c r="B492" i="124"/>
  <c r="B489" i="124"/>
  <c r="B486" i="124"/>
  <c r="B483" i="124"/>
  <c r="D485" i="124" l="1"/>
  <c r="D484" i="124"/>
  <c r="D483" i="124"/>
  <c r="D490" i="124"/>
  <c r="D491" i="124"/>
  <c r="D489" i="124"/>
  <c r="D494" i="124"/>
  <c r="D493" i="124"/>
  <c r="D492" i="124"/>
  <c r="D496" i="124"/>
  <c r="D495" i="124"/>
  <c r="D497" i="124"/>
  <c r="D488" i="124"/>
  <c r="D486" i="124"/>
  <c r="D487" i="124"/>
  <c r="D498" i="124"/>
  <c r="D500" i="124"/>
  <c r="D499" i="124"/>
  <c r="D502" i="124"/>
  <c r="D501" i="124"/>
  <c r="D503" i="124"/>
  <c r="D504" i="124"/>
  <c r="D506" i="124"/>
  <c r="D505" i="124"/>
  <c r="A18" i="122"/>
  <c r="C353" i="124" l="1"/>
  <c r="C355" i="124"/>
  <c r="C354" i="124"/>
  <c r="C352" i="124"/>
  <c r="C356" i="124"/>
  <c r="C357" i="124"/>
  <c r="C358" i="124"/>
  <c r="B55" i="127"/>
  <c r="D57" i="127" l="1"/>
  <c r="D56" i="127"/>
  <c r="D55" i="127"/>
  <c r="M4" i="1"/>
  <c r="AY12" i="76"/>
  <c r="AX12" i="76"/>
  <c r="AW12" i="76"/>
  <c r="AV12" i="76"/>
  <c r="AU12" i="76"/>
  <c r="AT12" i="76"/>
  <c r="AS12" i="76"/>
  <c r="AR12" i="76"/>
  <c r="AQ12" i="76"/>
  <c r="AP12" i="76"/>
  <c r="AO12" i="76"/>
  <c r="AN10" i="76"/>
  <c r="AX9" i="76"/>
  <c r="AW9" i="76"/>
  <c r="AV9" i="76"/>
  <c r="AU9" i="76"/>
  <c r="AT9" i="76"/>
  <c r="AS9" i="76"/>
  <c r="AR9" i="76"/>
  <c r="AQ9" i="76"/>
  <c r="AP9" i="76"/>
  <c r="AO9" i="76"/>
  <c r="AN9" i="76"/>
  <c r="AN8" i="76"/>
  <c r="AQ7" i="76"/>
  <c r="AP7" i="76"/>
  <c r="AO7" i="76"/>
  <c r="AN7" i="76"/>
  <c r="AY6" i="76"/>
  <c r="AX6" i="76"/>
  <c r="AW6" i="76"/>
  <c r="AV6" i="76"/>
  <c r="AU6" i="76"/>
  <c r="AT6" i="76"/>
  <c r="AS6" i="76"/>
  <c r="AR6" i="76"/>
  <c r="AQ6" i="76"/>
  <c r="AP6" i="76"/>
  <c r="AO6" i="76"/>
  <c r="AV5" i="76"/>
  <c r="AU5" i="76"/>
  <c r="AT5" i="76"/>
  <c r="AN4" i="76"/>
  <c r="AN3" i="76"/>
  <c r="AM12" i="76"/>
  <c r="AM10" i="76"/>
  <c r="AM9" i="76"/>
  <c r="AM8" i="76"/>
  <c r="AM7" i="76"/>
  <c r="AM6" i="76"/>
  <c r="AM5" i="76"/>
  <c r="AM4" i="76"/>
  <c r="B91" i="127"/>
  <c r="B88" i="127"/>
  <c r="B85" i="127"/>
  <c r="B82" i="127"/>
  <c r="B79" i="127"/>
  <c r="B76" i="127"/>
  <c r="B73" i="127"/>
  <c r="B70" i="127"/>
  <c r="B67" i="127"/>
  <c r="B64" i="127"/>
  <c r="B61" i="127"/>
  <c r="B58" i="127"/>
  <c r="A15" i="127"/>
  <c r="A13" i="127"/>
  <c r="A8" i="127"/>
  <c r="A7" i="127"/>
  <c r="A6" i="127"/>
  <c r="A5" i="127"/>
  <c r="B191" i="125"/>
  <c r="B188" i="125"/>
  <c r="B185" i="125"/>
  <c r="B182" i="125"/>
  <c r="B179" i="125"/>
  <c r="B176" i="125"/>
  <c r="B173" i="125"/>
  <c r="B170" i="125"/>
  <c r="B167" i="125"/>
  <c r="B164" i="125"/>
  <c r="B161" i="125"/>
  <c r="B158" i="125"/>
  <c r="B155" i="125"/>
  <c r="B480" i="124"/>
  <c r="B477" i="124"/>
  <c r="B474" i="124"/>
  <c r="B471" i="124"/>
  <c r="B468" i="124"/>
  <c r="B465" i="124"/>
  <c r="B462" i="124"/>
  <c r="B459" i="124"/>
  <c r="B456" i="124"/>
  <c r="B453" i="124"/>
  <c r="B450" i="124"/>
  <c r="A27" i="124"/>
  <c r="A8" i="124"/>
  <c r="A7" i="124"/>
  <c r="A6" i="124"/>
  <c r="A5" i="124"/>
  <c r="B76" i="123"/>
  <c r="B73" i="123"/>
  <c r="B70" i="123"/>
  <c r="B67" i="123"/>
  <c r="B64" i="123"/>
  <c r="B61" i="123"/>
  <c r="B58" i="123"/>
  <c r="B55" i="123"/>
  <c r="B52" i="123"/>
  <c r="B49" i="123"/>
  <c r="B46" i="123"/>
  <c r="B43" i="123"/>
  <c r="B40" i="123"/>
  <c r="B104" i="122"/>
  <c r="B101" i="122"/>
  <c r="B98" i="122"/>
  <c r="B95" i="122"/>
  <c r="B92" i="122"/>
  <c r="B89" i="122"/>
  <c r="B86" i="122"/>
  <c r="B83" i="122"/>
  <c r="B80" i="122"/>
  <c r="B74" i="122"/>
  <c r="B71" i="122"/>
  <c r="B68" i="122"/>
  <c r="A13" i="122"/>
  <c r="A11" i="122"/>
  <c r="A8" i="122"/>
  <c r="A7" i="122"/>
  <c r="A6" i="122"/>
  <c r="A5" i="122"/>
  <c r="B91" i="121"/>
  <c r="B88" i="121"/>
  <c r="B85" i="121"/>
  <c r="B82" i="121"/>
  <c r="B79" i="121"/>
  <c r="B76" i="121"/>
  <c r="B73" i="121"/>
  <c r="B70" i="121"/>
  <c r="B67" i="121"/>
  <c r="B64" i="121"/>
  <c r="B61" i="121"/>
  <c r="B58" i="121"/>
  <c r="B55" i="121"/>
  <c r="A15" i="121"/>
  <c r="A13" i="121"/>
  <c r="A8" i="121"/>
  <c r="A7" i="121"/>
  <c r="A6" i="121"/>
  <c r="A5" i="121"/>
  <c r="B270" i="120"/>
  <c r="B267" i="120"/>
  <c r="B264" i="120"/>
  <c r="B261" i="120"/>
  <c r="B258" i="120"/>
  <c r="B255" i="120"/>
  <c r="B252" i="120"/>
  <c r="B249" i="120"/>
  <c r="B246" i="120"/>
  <c r="B243" i="120"/>
  <c r="B240" i="120"/>
  <c r="B237" i="120"/>
  <c r="B234" i="120"/>
  <c r="A17" i="120"/>
  <c r="A15" i="120"/>
  <c r="A9" i="120"/>
  <c r="A8" i="120"/>
  <c r="A7" i="120"/>
  <c r="A6" i="120"/>
  <c r="B83" i="119"/>
  <c r="B80" i="119"/>
  <c r="B77" i="119"/>
  <c r="B74" i="119"/>
  <c r="B71" i="119"/>
  <c r="B68" i="119"/>
  <c r="B65" i="119"/>
  <c r="B62" i="119"/>
  <c r="B59" i="119"/>
  <c r="B56" i="119"/>
  <c r="B53" i="119"/>
  <c r="B50" i="119"/>
  <c r="B47" i="119"/>
  <c r="B102" i="118"/>
  <c r="AM3" i="76"/>
  <c r="M6" i="1" l="1" a="1"/>
  <c r="M6" i="1" s="1"/>
  <c r="D464" i="124"/>
  <c r="D462" i="124"/>
  <c r="D463" i="124"/>
  <c r="D461" i="124"/>
  <c r="D460" i="124"/>
  <c r="D459" i="124"/>
  <c r="D470" i="124"/>
  <c r="D469" i="124"/>
  <c r="D468" i="124"/>
  <c r="D472" i="124"/>
  <c r="D471" i="124"/>
  <c r="D473" i="124"/>
  <c r="D474" i="124"/>
  <c r="D476" i="124"/>
  <c r="D475" i="124"/>
  <c r="D478" i="124"/>
  <c r="D477" i="124"/>
  <c r="D479" i="124"/>
  <c r="D466" i="124"/>
  <c r="D467" i="124"/>
  <c r="D465" i="124"/>
  <c r="D452" i="124"/>
  <c r="D450" i="124"/>
  <c r="D451" i="124"/>
  <c r="D454" i="124"/>
  <c r="D453" i="124"/>
  <c r="D455" i="124"/>
  <c r="D456" i="124"/>
  <c r="D457" i="124"/>
  <c r="D458" i="124"/>
  <c r="D480" i="124"/>
  <c r="D482" i="124"/>
  <c r="D481" i="124"/>
  <c r="D245" i="120"/>
  <c r="D244" i="120"/>
  <c r="D243" i="120"/>
  <c r="D269" i="120"/>
  <c r="D268" i="120"/>
  <c r="D267" i="120"/>
  <c r="D57" i="121"/>
  <c r="D56" i="121"/>
  <c r="D55" i="121"/>
  <c r="D81" i="121"/>
  <c r="D80" i="121"/>
  <c r="D79" i="121"/>
  <c r="D72" i="127"/>
  <c r="D71" i="127"/>
  <c r="D70" i="127"/>
  <c r="D248" i="120"/>
  <c r="D247" i="120"/>
  <c r="D246" i="120"/>
  <c r="D272" i="120"/>
  <c r="D271" i="120"/>
  <c r="D270" i="120"/>
  <c r="D60" i="121"/>
  <c r="D59" i="121"/>
  <c r="D58" i="121"/>
  <c r="D84" i="121"/>
  <c r="D83" i="121"/>
  <c r="D82" i="121"/>
  <c r="D74" i="127"/>
  <c r="D75" i="127"/>
  <c r="D73" i="127"/>
  <c r="D251" i="120"/>
  <c r="D249" i="120"/>
  <c r="D250" i="120"/>
  <c r="D63" i="121"/>
  <c r="D61" i="121"/>
  <c r="D62" i="121"/>
  <c r="D85" i="121"/>
  <c r="D87" i="121"/>
  <c r="D86" i="121"/>
  <c r="D78" i="127"/>
  <c r="D77" i="127"/>
  <c r="D76" i="127"/>
  <c r="D240" i="120"/>
  <c r="D241" i="120"/>
  <c r="D242" i="120"/>
  <c r="D254" i="120"/>
  <c r="D253" i="120"/>
  <c r="D252" i="120"/>
  <c r="D66" i="121"/>
  <c r="D65" i="121"/>
  <c r="D64" i="121"/>
  <c r="D90" i="121"/>
  <c r="D89" i="121"/>
  <c r="D88" i="121"/>
  <c r="D81" i="127"/>
  <c r="D80" i="127"/>
  <c r="D79" i="127"/>
  <c r="D76" i="121"/>
  <c r="D77" i="121"/>
  <c r="D78" i="121"/>
  <c r="D69" i="127"/>
  <c r="D68" i="127"/>
  <c r="D67" i="127"/>
  <c r="D256" i="120"/>
  <c r="D255" i="120"/>
  <c r="D257" i="120"/>
  <c r="D68" i="121"/>
  <c r="D67" i="121"/>
  <c r="D69" i="121"/>
  <c r="D92" i="121"/>
  <c r="D91" i="121"/>
  <c r="D93" i="121"/>
  <c r="D58" i="127"/>
  <c r="D59" i="127"/>
  <c r="D60" i="127"/>
  <c r="D82" i="127"/>
  <c r="D83" i="127"/>
  <c r="D84" i="127"/>
  <c r="D93" i="127"/>
  <c r="D91" i="127"/>
  <c r="D92" i="127"/>
  <c r="D236" i="120"/>
  <c r="D235" i="120"/>
  <c r="D234" i="120"/>
  <c r="D260" i="120"/>
  <c r="D259" i="120"/>
  <c r="D258" i="120"/>
  <c r="D72" i="121"/>
  <c r="D71" i="121"/>
  <c r="D70" i="121"/>
  <c r="D63" i="127"/>
  <c r="D62" i="127"/>
  <c r="D61" i="127"/>
  <c r="D87" i="127"/>
  <c r="D86" i="127"/>
  <c r="D85" i="127"/>
  <c r="D264" i="120"/>
  <c r="D266" i="120"/>
  <c r="D265" i="120"/>
  <c r="D239" i="120"/>
  <c r="D238" i="120"/>
  <c r="D237" i="120"/>
  <c r="D263" i="120"/>
  <c r="D262" i="120"/>
  <c r="D261" i="120"/>
  <c r="D75" i="121"/>
  <c r="D74" i="121"/>
  <c r="D73" i="121"/>
  <c r="D66" i="127"/>
  <c r="D65" i="127"/>
  <c r="D64" i="127"/>
  <c r="D90" i="127"/>
  <c r="D89" i="127"/>
  <c r="D88" i="127"/>
  <c r="D48" i="119"/>
  <c r="D49" i="119"/>
  <c r="D47" i="119"/>
  <c r="D176" i="125"/>
  <c r="D178" i="125"/>
  <c r="D177" i="125"/>
  <c r="D175" i="125"/>
  <c r="D174" i="125"/>
  <c r="D173" i="125"/>
  <c r="D181" i="125"/>
  <c r="D180" i="125"/>
  <c r="D179" i="125"/>
  <c r="D157" i="125"/>
  <c r="D156" i="125"/>
  <c r="D155" i="125"/>
  <c r="D159" i="125"/>
  <c r="D158" i="125"/>
  <c r="D160" i="125"/>
  <c r="D183" i="125"/>
  <c r="D182" i="125"/>
  <c r="D184" i="125"/>
  <c r="D163" i="125"/>
  <c r="D162" i="125"/>
  <c r="D161" i="125"/>
  <c r="D187" i="125"/>
  <c r="D186" i="125"/>
  <c r="D185" i="125"/>
  <c r="D166" i="125"/>
  <c r="D165" i="125"/>
  <c r="D164" i="125"/>
  <c r="D190" i="125"/>
  <c r="D189" i="125"/>
  <c r="D188" i="125"/>
  <c r="D167" i="125"/>
  <c r="D168" i="125"/>
  <c r="D169" i="125"/>
  <c r="D191" i="125"/>
  <c r="D192" i="125"/>
  <c r="D193" i="125"/>
  <c r="D172" i="125"/>
  <c r="D171" i="125"/>
  <c r="D170" i="125"/>
  <c r="D44" i="123"/>
  <c r="D43" i="123"/>
  <c r="D45" i="123"/>
  <c r="D52" i="123"/>
  <c r="D54" i="123"/>
  <c r="D53" i="123"/>
  <c r="D76" i="123"/>
  <c r="D78" i="123"/>
  <c r="D77" i="123"/>
  <c r="D60" i="123"/>
  <c r="D59" i="123"/>
  <c r="D58" i="123"/>
  <c r="D56" i="123"/>
  <c r="D55" i="123"/>
  <c r="D57" i="123"/>
  <c r="D63" i="123"/>
  <c r="D62" i="123"/>
  <c r="D61" i="123"/>
  <c r="D42" i="123"/>
  <c r="D41" i="123"/>
  <c r="D40" i="123"/>
  <c r="D66" i="123"/>
  <c r="D64" i="123"/>
  <c r="D65" i="123"/>
  <c r="D68" i="123"/>
  <c r="D67" i="123"/>
  <c r="D69" i="123"/>
  <c r="D48" i="123"/>
  <c r="D47" i="123"/>
  <c r="D46" i="123"/>
  <c r="D72" i="123"/>
  <c r="D71" i="123"/>
  <c r="D70" i="123"/>
  <c r="D51" i="123"/>
  <c r="D50" i="123"/>
  <c r="D49" i="123"/>
  <c r="D75" i="123"/>
  <c r="D74" i="123"/>
  <c r="D73" i="123"/>
  <c r="D79" i="122"/>
  <c r="D78" i="122"/>
  <c r="D77" i="122"/>
  <c r="D80" i="122"/>
  <c r="D81" i="122"/>
  <c r="D82" i="122"/>
  <c r="D104" i="122"/>
  <c r="D106" i="122"/>
  <c r="D105" i="122"/>
  <c r="D84" i="122"/>
  <c r="D85" i="122"/>
  <c r="D83" i="122"/>
  <c r="D91" i="122"/>
  <c r="D89" i="122"/>
  <c r="D90" i="122"/>
  <c r="D101" i="122"/>
  <c r="D103" i="122"/>
  <c r="D102" i="122"/>
  <c r="D92" i="122"/>
  <c r="D94" i="122"/>
  <c r="D93" i="122"/>
  <c r="D96" i="122"/>
  <c r="D95" i="122"/>
  <c r="D97" i="122"/>
  <c r="D88" i="122"/>
  <c r="D87" i="122"/>
  <c r="D86" i="122"/>
  <c r="D100" i="122"/>
  <c r="D99" i="122"/>
  <c r="D98" i="122"/>
  <c r="D76" i="122"/>
  <c r="D75" i="122"/>
  <c r="D74" i="122"/>
  <c r="D71" i="122"/>
  <c r="D72" i="122"/>
  <c r="D73" i="122"/>
  <c r="D68" i="122"/>
  <c r="D69" i="122"/>
  <c r="D70" i="122"/>
  <c r="D60" i="119"/>
  <c r="D59" i="119"/>
  <c r="D61" i="119"/>
  <c r="D72" i="119"/>
  <c r="D71" i="119"/>
  <c r="D73" i="119"/>
  <c r="D84" i="119"/>
  <c r="D83" i="119"/>
  <c r="D85" i="119"/>
  <c r="D52" i="119"/>
  <c r="D51" i="119"/>
  <c r="D50" i="119"/>
  <c r="D64" i="119"/>
  <c r="D63" i="119"/>
  <c r="D62" i="119"/>
  <c r="D76" i="119"/>
  <c r="D75" i="119"/>
  <c r="D74" i="119"/>
  <c r="D55" i="119"/>
  <c r="D54" i="119"/>
  <c r="D53" i="119"/>
  <c r="D67" i="119"/>
  <c r="D66" i="119"/>
  <c r="D65" i="119"/>
  <c r="D79" i="119"/>
  <c r="D78" i="119"/>
  <c r="D77" i="119"/>
  <c r="D56" i="119"/>
  <c r="D58" i="119"/>
  <c r="D57" i="119"/>
  <c r="D68" i="119"/>
  <c r="D70" i="119"/>
  <c r="D69" i="119"/>
  <c r="D80" i="119"/>
  <c r="D82" i="119"/>
  <c r="D81" i="119"/>
  <c r="D103" i="118"/>
  <c r="D102" i="118"/>
  <c r="D104" i="118"/>
  <c r="C42" i="127" l="1"/>
  <c r="C340" i="124"/>
  <c r="C36" i="121"/>
  <c r="C39" i="121"/>
  <c r="C217" i="120"/>
  <c r="C136" i="125"/>
  <c r="C38" i="127"/>
  <c r="C43" i="121"/>
  <c r="C47" i="121"/>
  <c r="C46" i="127"/>
  <c r="C221" i="120"/>
  <c r="C225" i="120"/>
  <c r="C27" i="119"/>
  <c r="C144" i="125"/>
  <c r="C141" i="125"/>
  <c r="C147" i="125"/>
  <c r="C140" i="125"/>
  <c r="C139" i="125"/>
  <c r="C31" i="123"/>
  <c r="C351" i="124"/>
  <c r="C345" i="124"/>
  <c r="C350" i="124"/>
  <c r="C343" i="124"/>
  <c r="C348" i="124"/>
  <c r="C51" i="122"/>
  <c r="C23" i="123"/>
  <c r="C27" i="123"/>
  <c r="C55" i="122"/>
  <c r="C59" i="122"/>
  <c r="C38" i="119"/>
  <c r="C30" i="119"/>
  <c r="C34" i="119"/>
  <c r="C58" i="118"/>
  <c r="C45" i="127"/>
  <c r="C41" i="127"/>
  <c r="C37" i="127"/>
  <c r="C44" i="127"/>
  <c r="C40" i="127"/>
  <c r="C36" i="127"/>
  <c r="C47" i="127"/>
  <c r="C43" i="127"/>
  <c r="C39" i="127"/>
  <c r="C35" i="127"/>
  <c r="C145" i="125"/>
  <c r="C138" i="125"/>
  <c r="C146" i="125"/>
  <c r="C143" i="125"/>
  <c r="C137" i="125"/>
  <c r="C142" i="125"/>
  <c r="C135" i="125"/>
  <c r="C349" i="124"/>
  <c r="C346" i="124"/>
  <c r="C342" i="124"/>
  <c r="C341" i="124"/>
  <c r="C347" i="124"/>
  <c r="C344" i="124"/>
  <c r="C30" i="123"/>
  <c r="C22" i="123"/>
  <c r="C29" i="123"/>
  <c r="C25" i="123"/>
  <c r="C21" i="123"/>
  <c r="C26" i="123"/>
  <c r="C32" i="123"/>
  <c r="C28" i="123"/>
  <c r="C24" i="123"/>
  <c r="C20" i="123"/>
  <c r="C58" i="122"/>
  <c r="C54" i="122"/>
  <c r="C50" i="122"/>
  <c r="C57" i="122"/>
  <c r="C53" i="122"/>
  <c r="C49" i="122"/>
  <c r="C60" i="122"/>
  <c r="C56" i="122"/>
  <c r="C52" i="122"/>
  <c r="C48" i="122"/>
  <c r="C46" i="121"/>
  <c r="C42" i="121"/>
  <c r="C38" i="121"/>
  <c r="C45" i="121"/>
  <c r="C41" i="121"/>
  <c r="C37" i="121"/>
  <c r="C44" i="121"/>
  <c r="C40" i="121"/>
  <c r="C35" i="121"/>
  <c r="C224" i="120"/>
  <c r="C216" i="120"/>
  <c r="C223" i="120"/>
  <c r="C219" i="120"/>
  <c r="C215" i="120"/>
  <c r="C220" i="120"/>
  <c r="C226" i="120"/>
  <c r="C222" i="120"/>
  <c r="C218" i="120"/>
  <c r="C214" i="120"/>
  <c r="C37" i="119"/>
  <c r="C33" i="119"/>
  <c r="C29" i="119"/>
  <c r="C36" i="119"/>
  <c r="C32" i="119"/>
  <c r="C28" i="119"/>
  <c r="C39" i="119"/>
  <c r="C35" i="119"/>
  <c r="C31" i="119"/>
  <c r="C229" i="120" l="1"/>
  <c r="AL5" i="76" s="1"/>
  <c r="C150" i="125"/>
  <c r="AL10" i="76" s="1"/>
  <c r="C445" i="124"/>
  <c r="AL9" i="76" s="1"/>
  <c r="C63" i="122"/>
  <c r="AL7" i="76" s="1"/>
  <c r="C42" i="119"/>
  <c r="AL4" i="76" s="1"/>
  <c r="C50" i="127"/>
  <c r="AL12" i="76" s="1"/>
  <c r="C35" i="123"/>
  <c r="AL8" i="76" s="1"/>
  <c r="C50" i="121"/>
  <c r="AL6" i="76" s="1"/>
  <c r="B99" i="118"/>
  <c r="B96" i="118"/>
  <c r="B93" i="118"/>
  <c r="B90" i="118"/>
  <c r="B87" i="118"/>
  <c r="B84" i="118"/>
  <c r="B81" i="118"/>
  <c r="B78" i="118"/>
  <c r="B75" i="118"/>
  <c r="B72" i="118"/>
  <c r="B69" i="118"/>
  <c r="B66" i="118"/>
  <c r="D79" i="118" l="1"/>
  <c r="D78" i="118"/>
  <c r="D80" i="118"/>
  <c r="D91" i="118"/>
  <c r="D90" i="118"/>
  <c r="D92" i="118"/>
  <c r="D71" i="118"/>
  <c r="D70" i="118"/>
  <c r="D69" i="118"/>
  <c r="D83" i="118"/>
  <c r="D82" i="118"/>
  <c r="D81" i="118"/>
  <c r="D95" i="118"/>
  <c r="D93" i="118"/>
  <c r="D94" i="118"/>
  <c r="D74" i="118"/>
  <c r="D73" i="118"/>
  <c r="D72" i="118"/>
  <c r="D86" i="118"/>
  <c r="D85" i="118"/>
  <c r="D84" i="118"/>
  <c r="D98" i="118"/>
  <c r="D97" i="118"/>
  <c r="D96" i="118"/>
  <c r="D75" i="118"/>
  <c r="D77" i="118"/>
  <c r="D76" i="118"/>
  <c r="D87" i="118"/>
  <c r="D89" i="118"/>
  <c r="D88" i="118"/>
  <c r="D99" i="118"/>
  <c r="D101" i="118"/>
  <c r="D100" i="118"/>
  <c r="D67" i="118"/>
  <c r="D68" i="118"/>
  <c r="D66" i="118"/>
  <c r="C57" i="118" l="1"/>
  <c r="C48" i="118"/>
  <c r="C50" i="118"/>
  <c r="C49" i="118"/>
  <c r="C52" i="118"/>
  <c r="C47" i="118"/>
  <c r="C54" i="118"/>
  <c r="C53" i="118"/>
  <c r="C56" i="118"/>
  <c r="C51" i="118"/>
  <c r="C55" i="118"/>
  <c r="C46" i="118"/>
  <c r="C61" i="118" l="1"/>
  <c r="AL3" i="76" s="1"/>
  <c r="A28" i="1" s="1"/>
  <c r="F2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tc={D5B5E045-C3E5-47C2-AE6A-640D737A320E}</author>
  </authors>
  <commentList>
    <comment ref="K1" authorId="0" shapeId="0" xr:uid="{D5B5E045-C3E5-47C2-AE6A-640D737A320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Contenu validée par DEA-MES4 (A tenir pour l'indicateur suivi RETEX PVAL)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<sst xmlns="http://schemas.openxmlformats.org/spreadsheetml/2006/main" count="7493" uniqueCount="1086">
  <si>
    <t>ALL SYS VALIDATION PLAN : ROBUSTNESS (NRL Covering)</t>
  </si>
  <si>
    <t xml:space="preserve">Project name : </t>
  </si>
  <si>
    <t>APP : ALL</t>
  </si>
  <si>
    <t>Tests</t>
  </si>
  <si>
    <t>Item :</t>
  </si>
  <si>
    <t>Robustness</t>
  </si>
  <si>
    <t>Requirements</t>
  </si>
  <si>
    <t>Object:</t>
  </si>
  <si>
    <t>validation plan</t>
  </si>
  <si>
    <t>Author:</t>
  </si>
  <si>
    <t>Boris CHERMAIN (DEA-MES4) / DHAFER Meryem</t>
  </si>
  <si>
    <t>Date: 31/07/2024</t>
  </si>
  <si>
    <t>Validator:</t>
  </si>
  <si>
    <t>Date: A PREVOIR</t>
  </si>
  <si>
    <t xml:space="preserve">Aprobator: </t>
  </si>
  <si>
    <t>GENERAL CONCLUSION</t>
  </si>
  <si>
    <t>TEST COVERED</t>
  </si>
  <si>
    <t>% VALIDATED</t>
  </si>
  <si>
    <t>RA CREATED</t>
  </si>
  <si>
    <t>DOCUMENTS REVISION</t>
  </si>
  <si>
    <t>Version No</t>
  </si>
  <si>
    <t>Author</t>
  </si>
  <si>
    <t>Date</t>
  </si>
  <si>
    <t>Modifications</t>
  </si>
  <si>
    <t>V.001</t>
  </si>
  <si>
    <t>B.CHERMAIN</t>
  </si>
  <si>
    <t>Initial official version
Construction of the Validation Plan "Robustness" with projects RETEX and serial life (NRL)</t>
  </si>
  <si>
    <t>V.002</t>
  </si>
  <si>
    <t>N.DELATTRE</t>
  </si>
  <si>
    <t>V.003</t>
  </si>
  <si>
    <t xml:space="preserve">M.DHAFER </t>
  </si>
  <si>
    <t>#7 : Integration of EVA/BLMS requirements The systems  S38, S20,S19 and S17</t>
  </si>
  <si>
    <t>V.004</t>
  </si>
  <si>
    <t>Test #9 added for the NF 1627 :ECHO 40Kwh Cell thermal protection strategy EVA</t>
  </si>
  <si>
    <t>T.ROBIN</t>
  </si>
  <si>
    <t>#8 : showroom mode, retex from DHN</t>
  </si>
  <si>
    <t/>
  </si>
  <si>
    <t>V.005</t>
  </si>
  <si>
    <t>A. MANOHARAN</t>
  </si>
  <si>
    <t>#3 : Interoperability amongst EVSEs</t>
  </si>
  <si>
    <t xml:space="preserve">#8 part 3 : Retex from field validation DZ110. Update of initial condition and steps. </t>
  </si>
  <si>
    <t>#7 : transfering the REQ_SYS_Comm_107391&amp; REQ_SYS_Comm_107392 from the PVAL_ROBUSTNESS  the  test 16 of the PVAL_STO_COM</t>
  </si>
  <si>
    <t>#7 REQ_SYS_Comm_175 removed. STR high level, replaced by requirement for each message</t>
  </si>
  <si>
    <t>DOORS Id</t>
  </si>
  <si>
    <t>Rev</t>
  </si>
  <si>
    <t>MIL Module</t>
  </si>
  <si>
    <t>Requirement title</t>
  </si>
  <si>
    <t>Requirement description</t>
  </si>
  <si>
    <t>Safety</t>
  </si>
  <si>
    <t>NFL4/5</t>
  </si>
  <si>
    <t>Projet Meneur de la NFL</t>
  </si>
  <si>
    <t>LM</t>
  </si>
  <si>
    <t>DMFI / NF</t>
  </si>
  <si>
    <t>Exigence partagée</t>
  </si>
  <si>
    <t>TGA Mandatory</t>
  </si>
  <si>
    <t>PVAL</t>
  </si>
  <si>
    <t>Test</t>
  </si>
  <si>
    <t>Comments</t>
  </si>
  <si>
    <t>BCB</t>
  </si>
  <si>
    <t>HCB/XDD</t>
  </si>
  <si>
    <t>LOCO HEV Step1S</t>
  </si>
  <si>
    <t>LOCO HEV Step1M</t>
  </si>
  <si>
    <t>LOCO PHEV Step1M</t>
  </si>
  <si>
    <t>LOCO PHEV Step1S</t>
  </si>
  <si>
    <t>X10 Ph2 Europe</t>
  </si>
  <si>
    <t>X10 Ph2 Korée</t>
  </si>
  <si>
    <t>5ECHO/4EVER</t>
  </si>
  <si>
    <t>XFK</t>
  </si>
  <si>
    <t>FlexeVan</t>
  </si>
  <si>
    <t>XDD V2Li</t>
  </si>
  <si>
    <t>HCB My25  / BCB My24</t>
  </si>
  <si>
    <t>HCB/XDD Coréee</t>
  </si>
  <si>
    <t>HCB My25+</t>
  </si>
  <si>
    <t>XDD V2Li B03</t>
  </si>
  <si>
    <t>BCB My25</t>
  </si>
  <si>
    <t>HCB My26</t>
  </si>
  <si>
    <t>5ECHO Japon</t>
  </si>
  <si>
    <t>DZ110</t>
  </si>
  <si>
    <t>DZ110 Entry</t>
  </si>
  <si>
    <t>XFK Step2</t>
  </si>
  <si>
    <t>Twingo</t>
  </si>
  <si>
    <t>ArkiId</t>
  </si>
  <si>
    <t>REQ_ROB_1</t>
  </si>
  <si>
    <t>nc</t>
  </si>
  <si>
    <t>SYS_VAL_ROB</t>
  </si>
  <si>
    <t>12V battery discharge</t>
  </si>
  <si>
    <t>The discharge of the 12V battery hasn't to rise no automatic default rehabilitation. It means that after a 12V battery discharge, battery recharge or change implies the rehabilitation of all the vehicle functions</t>
  </si>
  <si>
    <t>No</t>
  </si>
  <si>
    <t>NRLxxx</t>
  </si>
  <si>
    <t>YES</t>
  </si>
  <si>
    <t>NO</t>
  </si>
  <si>
    <t>SYS_ROB</t>
  </si>
  <si>
    <t>#1</t>
  </si>
  <si>
    <t>Q000134667</t>
  </si>
  <si>
    <t>X</t>
  </si>
  <si>
    <t>REQ_SYS_Combo-Fast-Charge_260</t>
  </si>
  <si>
    <t>SYS_VAL_S19</t>
  </si>
  <si>
    <t>DC Combo Connect Status CRC_CLK  NOK [failure_CRCCLCk_Combo_DCExtendedConnectStatus]</t>
  </si>
  <si>
    <t>The charge system shall detect if there is CRC/CLK NOK for the parameter Combo_DCExtendedConnectStatus' [failure_CRCCLCk_Combo_DCExtendedConnectStatus].
- Detection strategy :
The charge system monitors the CRC/CLK of the secured CAN-parameter [Combo_DCExtendedConnectStatus]. If it is detected as NOK, then the failure is raised [failure_CRCCLCk_Combo_DCExtendedConnectStatus = TRUE].
Shall be reset if 
- CRC/CLK is valid again .
OR
- at the next wake-up
- Fail safe mode :
DM_forbid_DCCombo
- A DTC shall be raised when the failure is confirmed.
for C1A and C1A HS use Combo_DCExtendedConnectStatus
for C1A HS EVO use Combo_DCExtendedConnectStatus_V2 (  Combo_DCExtendedConnectStatus is deleted from C1A HS EVO T2 2022 ) 
this diagnostic shall be disabled in case of  periodical technical WakeUp    ETS_SleepMode == 14V Battery Management: 0b01    (see IS131013).
- HMI information :
The charge system shall request the text message 'Fast (DC) Charge Batterie impossible ' [HMI_charge_failure_type = Fast (DC) Charge Batterie impossible ] to the Display &amp; COMMANDS &amp; Sound system</t>
  </si>
  <si>
    <t>LM46 / DMFI03360 ; LM50 / DMFI03888 ; LM47 / DMFI03301 ; LM53 / DMFI04059 ; [IS_[DCCMB]IS131013</t>
  </si>
  <si>
    <t>#2</t>
  </si>
  <si>
    <t>REQ_ROB_3</t>
  </si>
  <si>
    <t>DC box relays blocked open</t>
  </si>
  <si>
    <t>If the DC box relays are blocked open, the precharge failure has to rise</t>
  </si>
  <si>
    <t>#5</t>
  </si>
  <si>
    <t>REQ_ROB_4</t>
  </si>
  <si>
    <t>No CP line for HEVC or PLC card</t>
  </si>
  <si>
    <t xml:space="preserve">The charge hasn't to start if one of the HEVC/PLC component doesn't see the CP line. </t>
  </si>
  <si>
    <t>REQ_ROB_5</t>
  </si>
  <si>
    <t>10 AC/DC succesives charge</t>
  </si>
  <si>
    <t>The charge system has to be robust to 10 succesives charge in AC and DC (no charge failure)</t>
  </si>
  <si>
    <t>RA02182</t>
  </si>
  <si>
    <t>REQ_ROB_6</t>
  </si>
  <si>
    <t>Charge AC/DC possible after powercut</t>
  </si>
  <si>
    <t>The powercut threshold in available power as to be compliant with the voltage level allowing AC/DC Charge</t>
  </si>
  <si>
    <t>#6</t>
  </si>
  <si>
    <t>REQ_SYS_HV_NW_Remote_148</t>
  </si>
  <si>
    <t>SYS_VAL_S41</t>
  </si>
  <si>
    <t>EVA needs</t>
  </si>
  <si>
    <t>The HV system needs to record the following signals for the post traitement analysis.
https://grouperenault.sharepoint.com/:x:/r/teams/S41-HV%26PowernetSystem/Shared%20Documents/Requirements/DOORS-Attachment/EVA_S41_Needs.xlsx?d=w020729740b5b457a8cd88326de4fff3f&amp;csf=1&amp;web=1&amp;e=Wk2ERN</t>
  </si>
  <si>
    <t>#7</t>
  </si>
  <si>
    <t>'REQ_SYS_Peak-Off-Charge-Opt_68</t>
  </si>
  <si>
    <t>1.1</t>
  </si>
  <si>
    <t>[BLMS] Improve knowledge of smartcharging use</t>
  </si>
  <si>
    <t>The charge system shall send this informations to BLMS function in order to improve knowledge of customer use and smartcharging behavior for durability  :
-the number of AC smartcharging missions ([CAN signal :NumACsmartcharging_BLMS])
-the total numbers of AC smartcharging charge breaks ([CAN signal :NumACsmartchargingBreak_BLMS])</t>
  </si>
  <si>
    <t>REQ_TRA_16903</t>
  </si>
  <si>
    <t>REQ_SYS_Combo-Fast-Charge_279</t>
  </si>
  <si>
    <t>[BLMS] [MyF2] Improve knowledge of DC Combo Charge - User&amp;infrastructure</t>
  </si>
  <si>
    <r>
      <rPr>
        <sz val="11"/>
        <color theme="1" tint="4.9989318521683403E-2"/>
        <rFont val="Calibri"/>
        <family val="2"/>
        <scheme val="minor"/>
      </rPr>
      <t>For MyF2  :</t>
    </r>
    <r>
      <rPr>
        <sz val="11"/>
        <color theme="1" tint="4.9989318521683403E-2"/>
        <rFont val="Calibri"/>
        <family val="2"/>
        <charset val="238"/>
        <scheme val="minor"/>
      </rPr>
      <t xml:space="preserve"> The charge system shall send this informations to BLMS function in order to improve knowledge of customer use and charging infrastrutures :
- the DC inlet temperature measurement   ([CAN signal :DCchargeInletTemp_BLMS])
- the charging plug state ([CAN signal :ChargingPlugConnected_v2])
- the infrastructure power limitation ([CAN signal: ChargeSpotPowerLevel])
</t>
    </r>
    <r>
      <rPr>
        <strike/>
        <sz val="11"/>
        <color theme="1" tint="4.9989318521683403E-2"/>
        <rFont val="Calibri"/>
        <family val="2"/>
        <scheme val="minor"/>
      </rPr>
      <t xml:space="preserve">- the type of charge trigger 
- the number of DC Charge relays closing
</t>
    </r>
    <r>
      <rPr>
        <sz val="11"/>
        <color theme="1" tint="4.9989318521683403E-2"/>
        <rFont val="Calibri"/>
        <family val="2"/>
        <charset val="238"/>
        <scheme val="minor"/>
      </rPr>
      <t xml:space="preserve">- the number of DC Charge relays opening ([CAN signal :NumDCchargRelayOpening_BLMS])
- the number of DC Charge relays opening with DC current still present ([CAN signal :NumDCchargRelayOpenWithCurr_BLMS])
</t>
    </r>
    <r>
      <rPr>
        <strike/>
        <sz val="11"/>
        <color theme="1" tint="4.9989318521683403E-2"/>
        <rFont val="Calibri"/>
        <family val="2"/>
        <scheme val="minor"/>
      </rPr>
      <t>- the DCBox relay temperature measurement</t>
    </r>
    <r>
      <rPr>
        <sz val="11"/>
        <color theme="1" tint="4.9989318521683403E-2"/>
        <rFont val="Calibri"/>
        <family val="2"/>
        <charset val="238"/>
        <scheme val="minor"/>
      </rPr>
      <t xml:space="preserve">
- the DC charging station (EVSE) present voltage ([CAN signal : Combo_EVSEPresentVoltage])
- the DC charging station (EVSE) present current ([CAN signal : Combo_EVSEPresentCurrent])
-the DC charging station (EVSE) maximum voltage limit ([CAN signal :Combo_EVSEMaximumVoltageLimit])
-the DC charging station (EVSE) minimum voltage limit ([CAN signal :Combo_EVSEMinimumVoltageLimit])
-the state of DC charge protocol sequence ([CAN signal :Combo_EVSEchargeHLCState])
-the communication status of CPLC ([CAN signal :CPLC_CommunicationStatus])
- the CPL fault type ([CAN signal :CPLC_FaultType])
- the EV target current requested to EVSE ([CAN signal :DCCharge_EVTargetCurrent])
-the EV state ready/not ready to charge ([CAN signal :Combo_EVReady])
-the EV state of DC charge protocol sequence requested to EVSE ([CAN signal :Combo_EVchargeHLCRequest])
-the type of EV error ([CAN signal :Combo_EVErrorCode])
-the maximum power  of EVSE ([CAN signal :Combo_EVSEMaximumPowerLimit_v2]).
-the energy transfert mode ([CAN signal:CPLC_RequestedEnergyTransferMode])</t>
    </r>
  </si>
  <si>
    <t>REQ_TRA_16904</t>
  </si>
  <si>
    <t>REQ_SYS_AC-Charge_329</t>
  </si>
  <si>
    <t>1.0</t>
  </si>
  <si>
    <t>[BLMS] [MyF2] Improve knowledge of AC Charge - User&amp;infrastructure</t>
  </si>
  <si>
    <r>
      <rPr>
        <sz val="11"/>
        <color theme="1" tint="4.9989318521683403E-2"/>
        <rFont val="Calibri"/>
        <family val="2"/>
        <scheme val="minor"/>
      </rPr>
      <t xml:space="preserve">For MyF2 </t>
    </r>
    <r>
      <rPr>
        <sz val="11"/>
        <color theme="1" tint="4.9989318521683403E-2"/>
        <rFont val="Calibri"/>
        <family val="2"/>
        <charset val="238"/>
        <scheme val="minor"/>
      </rPr>
      <t xml:space="preserve">: The charge system shall send this informations to BLMS function in order to improve knowledge of customer use and charging infrastrutures :
- the AC inlet temperature measurement ([CAN signal :ACchargeInletTemp_BLMS])
 - the charging plug state ([CAN signal :ChargingPlugConnected_v2])
- the AC charger power limitation ([CAN signal :CHGAvailableChargingPower_BLMS])
- the AC charger temp value ([CAN signal :CHGTemp_BLMS])
- the AC charger water temp value ([CAN signal :CHGWaterTemp_BLMS])
</t>
    </r>
    <r>
      <rPr>
        <strike/>
        <sz val="11"/>
        <color theme="1" tint="4.9989318521683403E-2"/>
        <rFont val="Calibri"/>
        <family val="2"/>
        <scheme val="minor"/>
      </rPr>
      <t>- the Earth Resistance Value measurement</t>
    </r>
    <r>
      <rPr>
        <sz val="11"/>
        <color theme="1" tint="4.9989318521683403E-2"/>
        <rFont val="Calibri"/>
        <family val="2"/>
        <charset val="238"/>
        <scheme val="minor"/>
      </rPr>
      <t xml:space="preserve">
- the infrastructure power limitation ([CAN signal: ChargeSpotPowerLevel])
</t>
    </r>
    <r>
      <rPr>
        <strike/>
        <sz val="11"/>
        <color theme="1" tint="4.9989318521683403E-2"/>
        <rFont val="Calibri"/>
        <family val="2"/>
        <scheme val="minor"/>
      </rPr>
      <t>- the type of charge trigger</t>
    </r>
    <r>
      <rPr>
        <sz val="11"/>
        <color theme="1" tint="4.9989318521683403E-2"/>
        <rFont val="Calibri"/>
        <family val="2"/>
        <charset val="238"/>
        <scheme val="minor"/>
      </rPr>
      <t xml:space="preserve"> 
- the HVbattery Charge Type ([CAN signal:HVbatteryChargeType_v2])
- the number of AC Charger starts  ([CAN signal:NumACchargeStarts_BLMS])
- the maximum AC charging current (current_limitation_cable_infra [CAN signal : CHGMaxACCurrent_BLMS])
- the battery SOC, SOC IHM and User SOC ([CAN signal : HVBatterySOC_BLMS]),([CAN signal :HVBatteryEnergyLevel]) and ([CAN signal : UserSOC])
- the number of charge mode ([CAN signal : ProgrammedChargeStatus])
-the instant current of HV battery  ([CAN signal : HVBatInstantCurrent_v3])
-the HV battery voltage  ([CAN signal : BMS_HVNetworkVoltage_BLMS])
-the power MAP to know the charge power limitation ([CAN signal : ChargingPower_BLMS ])
-the charging Alert to know the reason of end of charge ([CAN signal : ChargingAlert_v2 ]) =&gt; see REQ_SYS_AC-Charge_260 of the several reasons
-the start of charge trigger to know the reason of start of charge ([CAN signal : HVBatStartOfChargeTrigger ])
- the Charge prohibition by rental ([CAN signal :ChargeProhibitionByRentalDisplay])
- the charge status for HMI ([CAN signal : ChargingStatusDisplay ])
-the number of phase used ([CAN signal :NumberOfPhasesUsed_BLMS])
-the charge remaining time for HMI   ([CAN signal :ChargeRemainingTimeDisplay_V2])
- the EV actual time, EV actual minute and EV actual day ([CAN signal :TimeHour]), ([CAN signal :TimeMinute]) and ([CAN signal :TimeWeekDay])  ==&gt; sys_val_HMI
-the distance totalizer ([CAN signal :DistanceTotalizer])
-the energy transfert mode ([CAN signal:CPLC_RequestedEnergyTransferMode])
- the type of charge (HV battery or HV consumers (ZA)) ([CAN signal:HVChargerStatus])</t>
    </r>
  </si>
  <si>
    <t>REQ_TRA_15064</t>
  </si>
  <si>
    <t>REQ_SYS_Electric_drive_1310</t>
  </si>
  <si>
    <t>SYS_VAL_S40</t>
  </si>
  <si>
    <t>EVA Recording datas</t>
  </si>
  <si>
    <t>Description :
The HEVC shall send to the IVC all the datas needed for EVA diagnostic off board. 
The file below described the correspondance between the network and the vehicle DT. 
For further information, please refer to the REQ of the DT wanted. 
Input conditions : 
Vehicle launch 
Final conditions : 
All the data for EVA are correctly recording as described
Steps :
1 : The vehicle is launch 
2 : All the datas are sent from the HEVC to IVC
3 : The off board diagnostics is available</t>
  </si>
  <si>
    <t>REQ_SYS_Electric_drive_1312</t>
  </si>
  <si>
    <t>EVA Recording for Etech_STEP_1M</t>
  </si>
  <si>
    <t>The system shall send the information contains 
- For the ME : column G
- For the HSG : colums L 
of the "E-Drive EVA by ISR_C1A-HS" from the Excel file from REQ_SYS_Electric_drive_1310.</t>
  </si>
  <si>
    <t>REQ_SYS_Cooling_Design_2618</t>
  </si>
  <si>
    <t>SYS_VAL_S17</t>
  </si>
  <si>
    <t>The HECM calculator of thermal management system (S17) shall send to the connectivity system (S22) the flap position</t>
  </si>
  <si>
    <t>REQ_SYS_Cooling_Design_2616</t>
  </si>
  <si>
    <t>The HECM calculator of thermal management system (S17) shall send to the connectivity system (S22) the eWaterPump moteur speed feedback "EngCoolPmpSpdMes_EVA"</t>
  </si>
  <si>
    <t>REQ_SYS_Cooling_Design_2614</t>
  </si>
  <si>
    <t>The HECM calculator  of thermal management system (S17) shall send to the connectivity system (S22) the eWaterPump moteur speed target "EngCoolPmpSpdTgt_EVA"</t>
  </si>
  <si>
    <t>REQ_SYS_Cooling_Design_2612</t>
  </si>
  <si>
    <t>The HECM calculator of thermal management system (S17) shall send to the connectivity system (S22) the eValve Bitron Position  "CoolanttankValveReq_EVA"</t>
  </si>
  <si>
    <t>REQ_SYS_Cooling_Design_2610</t>
  </si>
  <si>
    <t>The HECM calculator of thermal management system (S17) shall send to the connectivity system (S22) the  WCAC cooling temperature "WcacWaterCoolTemp_EVA"</t>
  </si>
  <si>
    <t>REQ_SYS_Cooling_Design_2608</t>
  </si>
  <si>
    <t>The HECM calculator of thermal management system (S17) shall send to the connectivity system (S22) the PWM eWater Pump circuit WCAC target "WcacWaterCoolPumpMes_EVA"</t>
  </si>
  <si>
    <t>REQ_SYS_Cooling_Design_2606</t>
  </si>
  <si>
    <t>The HECM calculator of thermal management system (S17) shall send to the connectivity system (S22) the PWM eWater Pump circuit WCAC  feedback "WcacWaterCoolPumpTgt_EVA"</t>
  </si>
  <si>
    <t>REQ_SYS_Cooling_Design_2605</t>
  </si>
  <si>
    <t>The HEVC calculator of thermal management system (S17) shall send to the connectivity system (S22) the Low temperature coolant loop performance analysis "EpwtWaterCoolPumpMes_EVA"</t>
  </si>
  <si>
    <t>REQ_SYS_Cooling_Design_2603</t>
  </si>
  <si>
    <t>The HEVC calculator of thermal management system (S17) shall send to the connectivity system (S22) the Cooling temperature Coolant with Heater loop and CTP</t>
  </si>
  <si>
    <t>REQ_SYS_Cooling_Design_2602</t>
  </si>
  <si>
    <t>The HEVC calculator of thermal management system (S17) shall send to the connectivity system (S22) the Cooling temperature Coolant with Heater loop and CTP "HeatLoopWaterTemp"</t>
  </si>
  <si>
    <t>REQ_SYS_Cooling_Design_2601</t>
  </si>
  <si>
    <t>The HEVC calculator of thermal management system (S17) shall send to the connectivity system (S22) the Heating performance analysis  
- "HeatLoopWaterPumpRequest"
-"EngineFanSpeedRequestPWM_ECM"</t>
  </si>
  <si>
    <t>REQ_SYS_Cooling_Design_2599</t>
  </si>
  <si>
    <t>The HECM calculator of thermal management system (S17) shall send to the connectivity system (S22) the MotorFan speed</t>
  </si>
  <si>
    <t>REQ_SYS_Battery-Discharge_224</t>
  </si>
  <si>
    <t>HV CAN inhibition</t>
  </si>
  <si>
    <t>When:
- Vehicle is awake and out of driving AND
- HV relays are open during more than x min (tunable) AND
- HV Network side voltage is available AND
- HV Network side voltage &lt; 60V (tunable) AND
- There is no after relays voltage coherency failure (if existing) AND
- HV Battery Current is available AND 
- HV Battery Current &lt; 5A (tunable)
Then the HV System shall request the HV CAN inhibition and forbid HV Network connection
NO dysfunctional HMI shall be observed ('Electric fault danger' (stop) or 'Electrical motor fault' (stop) or 'Battery charge impossible' or 'Battery charge AC impossible' (service) or 'Battery charge DC impossible' (service) or 'Check electrical system' (service) or 'Next start is forbidden' or any other dysfunctional HMI)
The reabilitation is possible if:
- (Traction is requested or +APC ON) AND
- There is no powercut or powercut level 4 or level 3 is active (for project with powercut strategy)
- There is no powersave or powersave level 1 or level 2 is active (for project with powersave strategy)
OR
- There is a charge request AND
- There is no powercut or powercut level 2 or 3 or 4 are active (for project with powercut strategy)
- There is no powersave or powersave level 1 or level 2 or level 3 is active (for project with powersave strategy)
OR
- After sales manuel opening of HV relays is active
Note:
Powercut level 4 (powersave level 1) -&gt; powercut out of charge and out of driving
Powercut level 3 (powersave level 2) -&gt; powercut in driving (with monitoring of current)
Powercut level 2 -&gt; powercut in charging (with monitoring of current)</t>
  </si>
  <si>
    <t>CR013878</t>
  </si>
  <si>
    <t>#8</t>
  </si>
  <si>
    <t>NF1194</t>
  </si>
  <si>
    <t>REQ_SYS_AC-Charge_140</t>
  </si>
  <si>
    <t>in case of AC HLC 5% spot , the charge system shall :
1- start communication with the charging spot when control pilot 5% is detected ( to confirm if the spot is AC or DC )
2 - if the the transfer mode proposed by the charging spot is equal to AC core ( AC HLC ) then the charge systeme shall stop the HLC communication with AC spot
3- after few seconds the AC spot shall switch to AC basic mode ( control pilot different from 5% ) then the charge system shall strat AC basic charge without any .
during the sequence 1/2/3 the charge system shall not confirm any failures  , no LED/HMI failures shall be displayed and AC basic shall start in less than :
F0: 90 sec
F1 :  less than 30 sec</t>
  </si>
  <si>
    <t>REQ_SYS_GRA_NEW_394</t>
  </si>
  <si>
    <t>SYS_VAL_S38</t>
  </si>
  <si>
    <t>[ParkActuatorRequest] for Data</t>
  </si>
  <si>
    <t>GRA shall make information on [ParkActuatorRequest] available for EVA System</t>
  </si>
  <si>
    <t>REQ_SYS_GRA_NEW_395</t>
  </si>
  <si>
    <t>SYS_VAL_S39</t>
  </si>
  <si>
    <t xml:space="preserve">[ParkStatus]  for Data </t>
  </si>
  <si>
    <t>GRA shall make information on [ParkStatus] available for EVA System</t>
  </si>
  <si>
    <t>REQ_SYS_GRA_NEW_396</t>
  </si>
  <si>
    <t>[ManualParkRequest] for Data</t>
  </si>
  <si>
    <t>GRA shall make information on [ManualParkRequest] available for EVA System</t>
  </si>
  <si>
    <t>REQ_SYS_Plug-charge_187</t>
  </si>
  <si>
    <t>[BLMS] [MyF3][MyF4.1]  Improve knowledge of PnC - User&amp;infrastructure</t>
  </si>
  <si>
    <t>For EVA function, the charge system shall send this informations to BLMS function in order to improve knowledge of customer use and charging infrastructures:
-Service: EVA. 
-Description: -the date of the contract expiration.
-Signals CAN: -PnCcontractCertifExpiry_Month.
                                    - PnCcontractCertifExpiry_Day.
                             -PnCcontractCertifExpiry_Year.
-Type of vehicle: EV.
-MyF: MyF3 -MyF4.1
-Trigger: CertificateExpiry_Changed.</t>
  </si>
  <si>
    <t>REQ_SYS_Plug-charge_188</t>
  </si>
  <si>
    <t>For EVA function, the charge system shall send this informations to BLMS function in order to improve knowledge of customer use and charging infrastructures:
-Service: EVA. 
-Description: -the date of the contract validity.
-Signals CAN: - PnCcontractCertifValidity_Month.
                             -PnCcontractCertifValidity_Year.
-Type of vehicle: EV.
-MyF: MyF3 -MyF4.1
-Trigger: PlugAndChargeCertificateValidityYear_Changed.</t>
  </si>
  <si>
    <t>REQ_SYS_Plug-charge_189</t>
  </si>
  <si>
    <t>For EVA function, the charge system shall send this informations to BLMS function in order to improve knowledge of customer use and charging infrastructures:
-Service: EVA. 
-Description: Allow the HEVC to be aware of the EVSE P&amp;C capability and then alert the customer about a possible uncompatibility.
-Signal CAN: PnCchargeStationIdentMode.
-Type of vehicle: EV.
-MyF: MyF3 -MyF4.1
-Triggers: - PnCStationIdentMode_changed
                     -periodic_60_Seconds_EVChargePlugConnected.</t>
  </si>
  <si>
    <t>REQ_SYS_Plug-charge_190</t>
  </si>
  <si>
    <t>For EVA function, the charge system shall send this informations to BLMS function in order to improve knowledge of customer use and charging infrastructures:
-Service: EVA. 
-Description: the authorization to start communication with the charging station.
-Signal CAN: PnCHEVCauthorizationReq.
-Type of vehicle: EV.
-MyF: MyF3 -MyF4.1
-Trigger: PlugAndChargeIVC_RequestActivation_changed.</t>
  </si>
  <si>
    <t>REQ_SYS_Plug-charge_191</t>
  </si>
  <si>
    <t>For EVA function, the charge system shall send this informations to BLMS function in order to improve knowledge of customer use and charging infrastructures:
-Service: EVA. 
-Description: Monitor the progress of certificate installation and raise errors.
-Signal CAN: CertificateInstallationStatus.
-Type of vehicle: EV.
-MyF: MyF3 -MyF4.1
-Trigger: PlugAndChargeCertificateStatusInstallation_changed.</t>
  </si>
  <si>
    <t>REQ_SYS_V2G_525</t>
  </si>
  <si>
    <t>[BLMS] [MyF3][MyF4.1]  Improve knowledge of V2G - User&amp;infrastructure</t>
  </si>
  <si>
    <t>For EVA function, the charge system shall send this informations to BLMS function in order to improve knowledge of customer use:
o	Service: EVA. 
o	Description: The signal is used to give a feedback to the customer of the V2G service activation.
o	 Signal CAN: V2G_ActivationState.
o	Type of vehicle: EV.
o	MyF: MyF3 -MyF4.1
o	Trigger: ChargeV2GActivationState_changed.</t>
  </si>
  <si>
    <t>REQ_SYS_V2G_526</t>
  </si>
  <si>
    <t>For EVA function, the charge system shall send this informations to BLMS function in order to improve knowledge of customer use and charging infrastructures:
o	Service: EVA. 
o	Description: -the active power target set by the reversible charging station for offboard analysis.
             -the reactive power target set by the reversible charging station for offboard analysis.
               -the measured active power produced by the vehicle for offboard analysis.
           -the maximum discharging power accepted by the vehicle for offboard analysis.
          -the maximum charging power accepted by the vehicle for offboard analysis
o	 Signals CAN: -EVSE_TargetActivePower_v2_EVA.
                                    - EVSE_TargetReactivePower_v2_EVA.
                             -EV_PresentActivePower_EVA.
                             -V2G_EVmaxDischargePower_v2_EVA.
                           -V2G_EVminDischargePower_v2_EVA.
o	Type of vehicle: EV.
o	MyF: MyF3 -MyF4.1
o	Trigger: periodic_60_Seconds_EVChargePlugConnected.</t>
  </si>
  <si>
    <t>REQ_SYS_V2G_527</t>
  </si>
  <si>
    <t>For EVA function, the charge system shall send this informations to BLMS function in order to improve knowledge of customer use and charging infrastructures:
o	Service: EVA. 
o	Description: the maximum discharging/charging power accepted by the charging stations..
o	 Signals CAN: V2G_EVSEmaximumDischargePower_v2.
                                    V2X_EVSEmaximumChargePower.
o	Type of vehicle: EV.
o	MyF: MyF3 -MyF4.1
o	Trigger: periodic_60_Seconds_EVChargePlugConnected.</t>
  </si>
  <si>
    <t>REQ_SYS_V2G_528</t>
  </si>
  <si>
    <t>The charge system shall count the total energy discharged and charged during V2G, so only when the feedback of charger is “V2G” [CAN signal: CHGLoadState ==V2G].
this calculation is based on the integral of active power measured by charger and its efficiency:
-	when [CHGLoadState ==V2G] AND [ACmeasuredactivePower &gt; 0], the total energy charged shall be incremented.
-	when [CHGLoadState ==V2G] AND [ACmeasuredactivePower &lt; 0], the total energy discharged shall be incremented.
-	when [CAN signal: ACmeasuredactivePower = 0], the total energy discharged and charged shall be constant.
For EVA function, the charge system shall send this informations to BLMS function in order to improve knowledge of customer use and charging infrastructures:
o	Service: EVA. 
o	Description: -V2G total discharge Energy.
                        - V2G total charge Energy.
o	Signals CAN: -V2G_TotalChargedEnergy_EVA.
                        -V2G_TotalDischargedEnergy_EVA.
o	Type of vehicle: EV.
o	MyF: MyF3 -MyF4.1
o	Trigger: EndOfMission_EVChargePlugConnected.</t>
  </si>
  <si>
    <t>REQ_SYS_V2G_529</t>
  </si>
  <si>
    <t>The charge system shall count the total energy discharged during V2X sessions (V2G and V2L) by summing the V2L total discharge Energy (see Req 2) and V2G total discharge Energy (see Req 1).
For EVA function, the charge system shall send this informations to BLMS function in order to improve knowledge of customer use:
o	Service: EVA. 
o	Description: V2X Energy durability counter
o	 Signal CAN: V2X_HVBat_EnergyDurabilityCounter _EVA.
o	Type of vehicle: EV.
o	MyF: MyF3 -MyF4.1
o	Trigger: EndOfMission.</t>
  </si>
  <si>
    <t>REQ_SYS_V2G_530</t>
  </si>
  <si>
    <t>For EVA function, the charge system shall send this informations to BLMS function in order to improve knowledge of customer use:
o	Service: EVA. 
o	Description: V2G SOC limitation level.
o	 Signal CAN: V2X_SOClimitationLevelState.
o	Type of vehicle: EV.
o	MyF: MyF3 -MyF4.1
o	Trigger: StateOfChargeLimitationLevelState_changed.</t>
  </si>
  <si>
    <t>REQ_SYS_V2L_675</t>
  </si>
  <si>
    <t>[BLMS] [MyF3][MyF4.1]  Improve knowledge of V2L</t>
  </si>
  <si>
    <t>For EVA function, the charge system shall send this informations to BLMS function in order to improve knowledge of customer use:
-Service: EVA. 
-Description: V2G SOC limitation level.
- Signal CAN: V2X_SOClimitationLevelState.
-Type of vehicle: EV.
-MyF: MyF3 -MyF4.1
-Trigger: StateOfChargeLimitationLevelState_changed.</t>
  </si>
  <si>
    <t>REQ_SYS_V2L_676</t>
  </si>
  <si>
    <t>The charge system shall count the total energy discharged and charged during VLG, so only when the feedback of charger is “V2L” [CAN signal: CHGLoadState ==V2L].
this calculation is based on the integral of power measured by charger and its efficiency:
-	when [CHGLoadState ==V2L] AND [(MAINSRMSVOLATGE * MAINSRMSCURRENT) &gt; 0], the total energy discharged shall be incremented.
-	when [ (MAINSRMSVOLATGE * MAINSRMSCURRENT) = 0], the total energy discharged shall be constant.
For EVA function, the charge system shall send this informations to BLMS function in order to improve knowledge of customer use:
-Service: EVA. 
-Description: V2L total discharge Energy.
-Signal CAN: V2L_TotalDischargedEnergy_EVA.
-Type of vehicle: EV.
-MyF: MyF3 -MyF4.1
-Trigger: EndOfMission_EVChargePlugConnected.</t>
  </si>
  <si>
    <t>REQ_SYS_V2L_677</t>
  </si>
  <si>
    <t>The charge system shall count the total energy discharged during V2X sessions (V2G and V2L) by summing the V2L total discharge Energy (see REQ_SYS_V2L_676) and V2G total discharge Energy (see REQ_SYS_V2G_528).
For EVA function, the charge system shall send this informations to BLMS function in order to improve knowledge of customer use:
-Service: EVA. 
-Description: V2X Energy durability counter
- Signal CAN: V2X_HVBat_EnergyDurabilityCounter _EVA.
-Type of vehicle: EV.
-MyF: MyF3 -MyF4.1
-Trigger: EndOfMission.</t>
  </si>
  <si>
    <t>REQ_SYS_V2L_678</t>
  </si>
  <si>
    <t>For EVA function, the charge system shall send this informations to BLMS function in order to improve knowledge of customer use:
-Service: CDU. 
-Description: The instant power during V2L mode.
- Signal CAN: V2L_InstantPower.
-Type of vehicle: EV.
-MyF: MyF3 -MyF4.1
-Trigger: periodic_60_Seconds_InstantPowerV2L.</t>
  </si>
  <si>
    <t>REQ_SYS_V2L_679</t>
  </si>
  <si>
    <t>For EVA function, the charge system shall send this informations to BLMS function in order to improve knowledge of customer use:
-Service: CDU. 
-Description: The V2L mode start/ stop.
- Signal CAN: V2L_StartStop_Status_EVA.
-Type of vehicle: EV.
-MyF: MyF3 -MyF4.1
-Trigger: StartStopStatus_changed.</t>
  </si>
  <si>
    <t>REQ_SYS_Comm_107378</t>
  </si>
  <si>
    <t>SYS_VAL_S20</t>
  </si>
  <si>
    <t>Over The Air Service - State Of Health Algo - SOHE  [HVBatteryStateOfHealthEnergyAlgo_OTA]</t>
  </si>
  <si>
    <t>For MYF4 and further MyFx
When the vehicle is awake, the storage system S20 shall remote to Data Over The Air services the State Of Health Algo [HVBatteryStateOfHealthEnergyAlgo_OTA] (CAN), with the triggers:
Start of Charge (EV-PHEV)
End of Charge (EV-PHEV)
For information:
CAN signal: HVBatHealth_Algo_EVA</t>
  </si>
  <si>
    <t>REQ_SYS_Comm_107379</t>
  </si>
  <si>
    <t>Over The Air Service - State Of Health Model - SOHE  [HVBatteryStateOfHealthEnergyModel_OTA]</t>
  </si>
  <si>
    <t>For MYF4 and further MyFx
When the vehicle is awake, the storage system S20 shall remote to Data Over The Air services the State Of Health Model [HVBatteryStateOfHealthEnergyModel_OTA] (CAN), with the triggers:
start of mission
end of mission
For information:
CAN signal: HVBatHealth_Model_EVA</t>
  </si>
  <si>
    <t>REQ_SYS_Comm_107380</t>
  </si>
  <si>
    <t>Over The Air Service - Durability V2X matrix [V2XDurabilityTSOCMatrix_OTA]</t>
  </si>
  <si>
    <t>For MYF4 and further MyFx
When the vehicle is awake, the storage system S20 shall remote to Data Over The Air services the Durability V2X matrix [V2XDurabilityTSOCMatrix_OTA] (DID), with the triggers:
end of mission  (if [HighVoltageBatteryModeRequest] = V2G or V2L)
For information:
DID: BMS $92D2</t>
  </si>
  <si>
    <t>REQ_SYS_Comm_107381</t>
  </si>
  <si>
    <t>Over The Air Service - Number of DC Charges [HighVoltageBatteryOveralNumberOfDCChargeEnd_OTA]</t>
  </si>
  <si>
    <t>For MYF4 and further MyFx
When the vehicle is awake, the storage system S20 shall remote to Data Over The Air services the number of DC Charges [HighVoltageBatteryOveralNumberOfDCChargeEnd_OTA] (CAN), with the triggers:
End of mission
For information:
CAN signal : NumDCchargRelayOpening_BLMS</t>
  </si>
  <si>
    <t>REQ_SYS_Comm_107382</t>
  </si>
  <si>
    <t>Over The Air Service - Durability ChargeSustaining Historical matrix [DrivingCSDurabilityMatrixEnergy_OTA]</t>
  </si>
  <si>
    <t>For MYF4 and further MyFx
When the vehicle is awake, the storage system S20 shall remote to Data Over The Air services the Durability Charge Sustaining matrix [DrivingCSDurabilityMatrixEnergy_OTA] (DID), with the triggers:
end of mission
For information:
DID: BMS $91FF</t>
  </si>
  <si>
    <t>Only xhev</t>
  </si>
  <si>
    <t>REQ_SYS_Comm_107383</t>
  </si>
  <si>
    <t>Over The Air Service - Energy Discharged in ChargeSustaining [HVBatteryGlobalEnergyCumulatedInDischargeCS_OTA]</t>
  </si>
  <si>
    <t>For MYF4 and further MyFx
When the vehicle is awake, the storage system S20 shall remote to Data Over The Air services the Energy Discharged in Charge Sustaining [HVBatteryGlobalEnergyCumulatedInDischargeCS_OTA] (DID), with the triggers:
Start of Journey 
End of Journey 
For information:
DID: BMS $9244</t>
  </si>
  <si>
    <t>REQ_SYS_Comm_107385</t>
  </si>
  <si>
    <t>Over The Air Service - Energy Discharged in V2X [HVBatteryGlobalEnergyCumulatedInDischargeV2X_OTA]</t>
  </si>
  <si>
    <t>For MYF4 and further MyFx
When the vehicle is awake, the storage system S20 shall remote to Data Over The Air services the Energy Discharged in V2X [HVBatteryGlobalEnergyCumulatedInDischargeV2X_OTA] (DID), with the triggers:
end of mission  (if [HighVoltageBatteryModeRequest] = V2G or V2L)
For information:
DID: BMS $92D3</t>
  </si>
  <si>
    <t>REQ_SYS_Comm_107386</t>
  </si>
  <si>
    <t>Over The Air Service - Time to Arrive to next DC Charge Station - ERP [TimeToNextDCChargeChargingStation_OTA]</t>
  </si>
  <si>
    <t>For MYF4 and further MyFx
When the vehicle is awake, the storage system S20 shall remote to Data Over The Air services the Time to arrive at next DC Charge Station (ERP) [TimeToNextDCChargeChargingStation_OTA] (CAN), with the triggers:
Every 1 minute
For information:
CAN signal : DCcharge_NextStationTimeArrival</t>
  </si>
  <si>
    <t>REQ_SYS_Comm_107387</t>
  </si>
  <si>
    <t>Over The Air Service - Activation Thermomanagement - ERP [HVBatteryTempTargetForDCChargeAnticipatedFlag_OTA]</t>
  </si>
  <si>
    <t>For MYF4 and further MyFx
When the vehicle is awake, the storage system S20 shall remote to Data Over The Air services the activation of Battery Thermomanagement (ERP) [HVBatteryTempTargetForDCChargeAnticipatedFlag_OTA] (CAN), with the triggers:
Every 1 minute
For information:
CAN signal : BatteryWatterTempActivationReq</t>
  </si>
  <si>
    <t>REQ_SYS_Comm_107388</t>
  </si>
  <si>
    <t>Over The Air Service - Battery Temperature Target for DC Charge - ERP [HVBatteryTempTargetForDCChargeAnticipated_OTA]</t>
  </si>
  <si>
    <t>For MYF4 and further MyFx
When the vehicle is awake, the storage system S20 shall remote to Data Over The Air services the battery temperature target for DC Charge (ERP) [HVBatteryTempTargetForDCChargeAnticipated_OTA] (CAN), with the triggers:
Every 1 minute
For information:
CAN signal : WaterBatteryTempTarget</t>
  </si>
  <si>
    <t>REQ_SYS_Comm_107389</t>
  </si>
  <si>
    <t>Over The Air Service - Predicted SOC at next DC Charge Station - ERP [SOCPredictedAtQCStation_OTA]</t>
  </si>
  <si>
    <t>For MYF4 and further MyFx
When the vehicle is awake, the storage system S20 shall remote to Data Over The Air services the Predicted SOC at next DC Charge Station (ERP) [SOCPredictedAtQCStation_OTA] (CAN), with the triggers:
Every 1 minute
For information:
CAN signal : SOCPredictedAtQCStation</t>
  </si>
  <si>
    <t>REQ_SYS_Comm_107390</t>
  </si>
  <si>
    <t>Over The Air Service - ERP Activation Status - ERP</t>
  </si>
  <si>
    <t>For MYF4 and further MyFx
When the vehicle is awake, the storage system S20 shall remote to Data Over The Air services the ERP Activation Status (CAN - STR SYS S41), with the triggers:
Every 1 minute
For information:
CAN signal : ERP_ActivationStatus</t>
  </si>
  <si>
    <t>REQ_SYS_Comm_107391</t>
  </si>
  <si>
    <t>Over The Air Service - Current Level of Gassing estimated - Gassing [GassingLevelEstimated_OTA]</t>
  </si>
  <si>
    <t>For MYF4 and further MyFx
When the vehicle is awake, the storage system S20 shall remote to Data Over The Air services the current level of battery gassing estimated [GassingLevelEstimated_OTA] (DID), with the triggers:
One time per month
For information:
DID: BMS $9295</t>
  </si>
  <si>
    <t>REQ_SYS_Comm_107392</t>
  </si>
  <si>
    <t>Over The Air Service - Remaining Time before venting - Gassing [TimeToVentingPredicted_OTA]</t>
  </si>
  <si>
    <t>For MYF4 and further MyFx
When the vehicle is awake, the storage system S20 shall remote to Data Over The Air services the remaining time before venting [TimeToVentingPredicted_OTA] (DID), with the triggers:
One time per month
For information:
DID: BMS $9296</t>
  </si>
  <si>
    <t>REQ_SYS_Comm_488</t>
  </si>
  <si>
    <r>
      <t xml:space="preserve">Over The Air Service - State Of Health - SOHE
</t>
    </r>
    <r>
      <rPr>
        <sz val="11"/>
        <color theme="1"/>
        <rFont val="Calibri"/>
        <family val="2"/>
        <charset val="238"/>
        <scheme val="minor"/>
      </rPr>
      <t>[HVBatteryStateOfHealthEnergy_OTA]</t>
    </r>
  </si>
  <si>
    <r>
      <rPr>
        <b/>
        <sz val="11"/>
        <color theme="1" tint="4.9989318521683403E-2"/>
        <rFont val="Calibri"/>
        <family val="2"/>
        <scheme val="minor"/>
      </rPr>
      <t>For MYF2 and further MyFx</t>
    </r>
    <r>
      <rPr>
        <sz val="11"/>
        <color theme="1" tint="4.9989318521683403E-2"/>
        <rFont val="Calibri"/>
        <family val="2"/>
        <charset val="238"/>
        <scheme val="minor"/>
      </rPr>
      <t xml:space="preserve">
When the vehicle is awake, the storage system S20 shall remote to Data Over The Air services the State Of Health [HVBatteryStateOfHealthEnergy_OTA] (CAN), with the triggers:
Start of Charge (EV-PHEV)
End of Charge (EV-PHEV)
Start Of Mission
End Of Mission
For information:
CAN signal: HVBatHealth_BLMS</t>
    </r>
  </si>
  <si>
    <t>REQ_SYS_Comm_489</t>
  </si>
  <si>
    <t>Over The Air Service - Cell Voltages
[HighVoltageBatteryCellsVoltage_OTA]</t>
  </si>
  <si>
    <r>
      <rPr>
        <b/>
        <sz val="11"/>
        <color theme="1" tint="4.9989318521683403E-2"/>
        <rFont val="Calibri"/>
        <family val="2"/>
        <scheme val="minor"/>
      </rPr>
      <t>For MYF2 and further MyFx</t>
    </r>
    <r>
      <rPr>
        <sz val="11"/>
        <color theme="1" tint="4.9989318521683403E-2"/>
        <rFont val="Calibri"/>
        <family val="2"/>
        <charset val="238"/>
        <scheme val="minor"/>
      </rPr>
      <t xml:space="preserve">
When the vehicle is awake, the storage system S20 shall remote to Data Over The Air services the whole cell voltages [HighVoltageBatteryCellsVoltage_OTA] (DID), with the triggers:
</t>
    </r>
    <r>
      <rPr>
        <sz val="11"/>
        <color theme="1" tint="4.9989318521683403E-2"/>
        <rFont val="Calibri"/>
        <family val="2"/>
        <scheme val="minor"/>
      </rPr>
      <t>Power Relay Open.</t>
    </r>
    <r>
      <rPr>
        <sz val="11"/>
        <color theme="1" tint="4.9989318521683403E-2"/>
        <rFont val="Calibri"/>
        <family val="2"/>
        <charset val="238"/>
        <scheme val="minor"/>
      </rPr>
      <t xml:space="preserve">
For information:
DID : BMS $9021, $9022, $9023, $9024, $9025, $9026, $9027, $9028, $9029, $902A, $902B, $902C, $902D, $902E, $902F, $9030, $9031, $9032, $9033, $9034, $9035, $9036, $9037, $9038, $9039, $903A, $903B, $903C, $903D, $903E, $903F, $9041, $9042, $9043, $9044, $9045, $9046, $9047, $9048, $9049, $904A, $904B, $904C, $904D, $904E, $904F, $9050, $9051, $9052, $9053, $9054, $9055, $9056, $9057, $9058, $9059, $905A, $905B, $905C, $905D, $905E, $905F, $9061, $9062, $9063, $9064, $9065, $9066, $9067, $9068, $9069, $906A, $906B, $906C, $906D, $906E, $906F, $9070, $9071, $9072, $9073, $9074, $9075, $9076, $9077, $9078, $9079, $907A, $907B, $907C, $907D, $907E, $907F, $9081, $9082, $9083</t>
    </r>
  </si>
  <si>
    <t>REQ_SYS_Comm_490</t>
  </si>
  <si>
    <r>
      <t xml:space="preserve">Over The Air Service - Average Battery Temperature
</t>
    </r>
    <r>
      <rPr>
        <sz val="11"/>
        <color theme="1"/>
        <rFont val="Calibri"/>
        <family val="2"/>
        <charset val="238"/>
        <scheme val="minor"/>
      </rPr>
      <t>[HighVoltageBatteryTemperature_OTA]</t>
    </r>
  </si>
  <si>
    <r>
      <rPr>
        <b/>
        <sz val="11"/>
        <color theme="1" tint="4.9989318521683403E-2"/>
        <rFont val="Calibri"/>
        <family val="2"/>
        <scheme val="minor"/>
      </rPr>
      <t>For MYF2 and further MyFx</t>
    </r>
    <r>
      <rPr>
        <sz val="11"/>
        <color theme="1" tint="4.9989318521683403E-2"/>
        <rFont val="Calibri"/>
        <family val="2"/>
        <charset val="238"/>
        <scheme val="minor"/>
      </rPr>
      <t xml:space="preserve">
When the vehicle is awake, the storage system S20 shall remote to Data Over The Air services the Average Battery Temperature [HighVoltageBatteryTemperature_OTA] (CAN), with the triggers:
Start of Journey 
End of Journey 
Start of Charge (EV-PHEV)
End of Charge (EV-PHEV)
Every 1 minute when driving
Every 1 minute when charging (EV-PHEV)
For information:
CAN signal: HVbatteryTemperature</t>
    </r>
  </si>
  <si>
    <t>REQ_SYS_Comm_491</t>
  </si>
  <si>
    <r>
      <t xml:space="preserve">Over The Air Service - Maximum Battery Temperature
</t>
    </r>
    <r>
      <rPr>
        <sz val="11"/>
        <color theme="1"/>
        <rFont val="Calibri"/>
        <family val="2"/>
        <charset val="238"/>
        <scheme val="minor"/>
      </rPr>
      <t>[HighVoltageBatteryMaximumTemperature_OTA]</t>
    </r>
  </si>
  <si>
    <r>
      <rPr>
        <b/>
        <sz val="11"/>
        <color theme="1" tint="4.9989318521683403E-2"/>
        <rFont val="Calibri"/>
        <family val="2"/>
        <scheme val="minor"/>
      </rPr>
      <t>For MYF2 and further MyFx</t>
    </r>
    <r>
      <rPr>
        <sz val="11"/>
        <color theme="1" tint="4.9989318521683403E-2"/>
        <rFont val="Calibri"/>
        <family val="2"/>
        <charset val="238"/>
        <scheme val="minor"/>
      </rPr>
      <t xml:space="preserve">
When the vehicle is awake, the storage system S20 shall remote to Data Over The Air services the Maximum Battery Temperature [HighVoltageBatteryMaximumTemperature_OTA] (CAN), with the triggers:
Start of Journey 
End of Journey 
Start of Charge (EV-PHEV)
End of Charge (EV-PHEV)
Every 1 minute when driving
Every 1 minute when charging (EV-PHEV)
</t>
    </r>
    <r>
      <rPr>
        <b/>
        <sz val="11"/>
        <color theme="1" tint="4.9989318521683403E-2"/>
        <rFont val="Calibri"/>
        <family val="2"/>
        <scheme val="minor"/>
      </rPr>
      <t>From MyF3 :</t>
    </r>
    <r>
      <rPr>
        <sz val="11"/>
        <color theme="1" tint="4.9989318521683403E-2"/>
        <rFont val="Calibri"/>
        <family val="2"/>
        <charset val="238"/>
        <scheme val="minor"/>
      </rPr>
      <t xml:space="preserve">
</t>
    </r>
    <r>
      <rPr>
        <b/>
        <sz val="11"/>
        <color theme="1" tint="4.9989318521683403E-2"/>
        <rFont val="Calibri"/>
        <family val="2"/>
        <scheme val="minor"/>
      </rPr>
      <t xml:space="preserve">start of mission (From MyF3)
end of mission (From MyF3)
start of preconditioning (From MyF3)  (PreConditioningBattery_HVACmodet 0-&gt;1)
end of preconditioning (From MyF3)   (PreConditioningBattery_HVACmodet 1-&gt;0)
Sampling every 1min during Mission
When technical wake up is requested (V_WakeUpType =  Selective Wake-Up Mode 1: 0b001) (From MyF3)
</t>
    </r>
    <r>
      <rPr>
        <sz val="11"/>
        <color theme="1" tint="4.9989318521683403E-2"/>
        <rFont val="Calibri"/>
        <family val="2"/>
        <charset val="238"/>
        <scheme val="minor"/>
      </rPr>
      <t>For information:
CAN signal: HVBatteryTempMax_BLMS</t>
    </r>
  </si>
  <si>
    <t>REQ_SYS_Comm_492</t>
  </si>
  <si>
    <r>
      <t xml:space="preserve">Over The Air Service - Minimum Battery Temperature
</t>
    </r>
    <r>
      <rPr>
        <sz val="11"/>
        <color theme="1"/>
        <rFont val="Calibri"/>
        <family val="2"/>
        <charset val="238"/>
        <scheme val="minor"/>
      </rPr>
      <t>[HighVoltageBatteryMinimumTemperature_OTA]</t>
    </r>
  </si>
  <si>
    <r>
      <rPr>
        <b/>
        <sz val="11"/>
        <color theme="1" tint="4.9989318521683403E-2"/>
        <rFont val="Calibri"/>
        <family val="2"/>
        <scheme val="minor"/>
      </rPr>
      <t xml:space="preserve">For MYF2 and further MyFx </t>
    </r>
    <r>
      <rPr>
        <sz val="11"/>
        <color theme="1" tint="4.9989318521683403E-2"/>
        <rFont val="Calibri"/>
        <family val="2"/>
        <charset val="238"/>
        <scheme val="minor"/>
      </rPr>
      <t xml:space="preserve">
When the vehicle is awake, the storage system S20 shall remote to Data Over The Air services the Minimum Battery Temperature [HighVoltageBatteryMinimumTemperature_OTA] (CAN), with the triggers:
Start of Journey 
End of Journey 
Start of Charge
End of Charge
Every 1 minute when driving
Every 1 minute when charging
</t>
    </r>
    <r>
      <rPr>
        <b/>
        <sz val="11"/>
        <color theme="1" tint="4.9989318521683403E-2"/>
        <rFont val="Calibri"/>
        <family val="2"/>
        <scheme val="minor"/>
      </rPr>
      <t>From MyF3 :</t>
    </r>
    <r>
      <rPr>
        <sz val="11"/>
        <color theme="1" tint="4.9989318521683403E-2"/>
        <rFont val="Calibri"/>
        <family val="2"/>
        <charset val="238"/>
        <scheme val="minor"/>
      </rPr>
      <t xml:space="preserve">
start of mission (From MyF3)
end of mission  (From MyF3)
start of preconditioning  (From MyF3)      (PreConditioningBattery_HVACmodet 0-&gt;1)
end of preconditioning  (From MyF3)      (PreConditioningBattery_HVACmodet 1-&gt;0)
Sampling every 1min during Mission 
When technical wake up is requested (V_WakeUpType =  Selective Wake-Up Mode 1: 0b001)   (From MyF3)
For information:
CAN signal: HVBatteryTempMin_BLMS</t>
    </r>
  </si>
  <si>
    <t>REQ_SYS_Comm_493</t>
  </si>
  <si>
    <r>
      <t xml:space="preserve">Over The Air Service - The external temperature
</t>
    </r>
    <r>
      <rPr>
        <sz val="11"/>
        <color theme="1"/>
        <rFont val="Calibri"/>
        <family val="2"/>
        <charset val="238"/>
        <scheme val="minor"/>
      </rPr>
      <t>[ExternalTemperature_OTA]</t>
    </r>
  </si>
  <si>
    <r>
      <rPr>
        <sz val="11"/>
        <color theme="1" tint="4.9989318521683403E-2"/>
        <rFont val="Calibri"/>
        <family val="2"/>
        <scheme val="minor"/>
      </rPr>
      <t xml:space="preserve">For MYF2 and further MyFx </t>
    </r>
    <r>
      <rPr>
        <sz val="11"/>
        <color theme="1" tint="4.9989318521683403E-2"/>
        <rFont val="Calibri"/>
        <family val="2"/>
        <charset val="238"/>
        <scheme val="minor"/>
      </rPr>
      <t xml:space="preserve">
When the vehicle is awake, the storage system S20 shall remote to Data Over The Air services the external temperature [ExternalTemperature_OTA]  (CAN), with the triggers:
Start of Journey 
End of Journey 
Start of Charge (EV-PHEV)
End of Charge (EV-PHEV)
Every 5 minutes
For information:
CAN signal: ExternalTemperature</t>
    </r>
  </si>
  <si>
    <t>REQ_SYS_Comm_494</t>
  </si>
  <si>
    <r>
      <t xml:space="preserve">Over The Air Service - SoC Battery - BSOC
</t>
    </r>
    <r>
      <rPr>
        <sz val="11"/>
        <color theme="1"/>
        <rFont val="Calibri"/>
        <family val="2"/>
        <charset val="238"/>
        <scheme val="minor"/>
      </rPr>
      <t>[HighVoltageBatteryStateOfCharge_OTA]</t>
    </r>
  </si>
  <si>
    <t>For MYF2 and further MyFx 
When the vehicle is awake, the storage system S20 shall remote to Data Over The Air services the State of Charge of the Battery (BSOC) [HighVoltageBatteryStateOfCharge_OTA] (CAN), with the triggers:
Start of Journey 
End of Journey 
Start of Charge (EV-PHEV)
End of Charge (EV-PHEV)
Start Of Mission
End Of Mission
Every 60s
For information:
CAN signal: HVBatterySOC_BLMS</t>
  </si>
  <si>
    <t>REQ_SYS_Comm_495</t>
  </si>
  <si>
    <r>
      <t xml:space="preserve">Over The Air Service - SOC Battery - USOC
</t>
    </r>
    <r>
      <rPr>
        <sz val="11"/>
        <color theme="1"/>
        <rFont val="Calibri"/>
        <family val="2"/>
        <charset val="238"/>
        <scheme val="minor"/>
      </rPr>
      <t>[HVEnergyLevelSource_OTA]</t>
    </r>
  </si>
  <si>
    <t>For MYF2 and further MyFx 
When the vehicle is awake, the storage system S20 shall remote to Data Over The Air services the User SOC [HVEnergyLevelSource_OTA] (CAN), with the triggers:
Start of Journey 
End of Journey 
Start of Charge (EV-PHEV)
End of Charge (EV-PHEV)
Start Of Mission
End Of Mission
Every 60s
For information:
CAN signal: UserSOC</t>
  </si>
  <si>
    <t>REQ_SYS_Comm_496</t>
  </si>
  <si>
    <r>
      <t xml:space="preserve">Over The Air Service - SOC Battery - USOC Display
</t>
    </r>
    <r>
      <rPr>
        <sz val="11"/>
        <color theme="1"/>
        <rFont val="Calibri"/>
        <family val="2"/>
        <charset val="238"/>
        <scheme val="minor"/>
      </rPr>
      <t>[HVBatteryEnergyLevelForDriverHMI_OTA]</t>
    </r>
  </si>
  <si>
    <t>For MYF2 and further MyFx 
When the vehicle is awake, the storage system S20 shall remote to Data Over The Air services the User SOC Displayed [HVBatteryEnergyLevelForDriverHMI_OTA] (CAN), with the triggers:
Start of Journey 
End of Journey 
Start of Charge (EV-PHEV)
End of Charge (EV-PHEV)
Start Of Mission
End Of Mission
Every 60s
For information:
CAN signal: HVBatteryEnergyLevel</t>
  </si>
  <si>
    <t>REQ_SYS_Comm_497</t>
  </si>
  <si>
    <r>
      <t xml:space="preserve">Over The Air Service - Durability Parking matrix 
</t>
    </r>
    <r>
      <rPr>
        <sz val="11"/>
        <color theme="1"/>
        <rFont val="Calibri"/>
        <family val="2"/>
        <charset val="238"/>
        <scheme val="minor"/>
      </rPr>
      <t>[ParkingDurabilityTSOCMatrix_OTA]</t>
    </r>
  </si>
  <si>
    <r>
      <t xml:space="preserve">For MYF2 and further MyFx
When the vehicle is awake, the storage system S20 shall remote to Data Over The Air services the Durability Parking matrix [ParkingDurabilityTSOCMatrix_OTA] (DID), with the triggers:
Every 1 day when driving
Every 1 day when charging
End of charge 
End of mission 
</t>
    </r>
    <r>
      <rPr>
        <sz val="11"/>
        <color theme="1" tint="4.9989318521683403E-2"/>
        <rFont val="Calibri"/>
        <family val="2"/>
        <scheme val="minor"/>
      </rPr>
      <t xml:space="preserve">From MYF4, the size of Matrix changed : New: 7x7
</t>
    </r>
    <r>
      <rPr>
        <sz val="11"/>
        <color theme="1" tint="4.9989318521683403E-2"/>
        <rFont val="Calibri"/>
        <family val="2"/>
        <charset val="238"/>
        <scheme val="minor"/>
      </rPr>
      <t xml:space="preserve">
For information:
DID: BMS $91D2</t>
    </r>
  </si>
  <si>
    <t>S</t>
  </si>
  <si>
    <t>REQ_SYS_Comm_498</t>
  </si>
  <si>
    <r>
      <t xml:space="preserve">Over The Air Service - Durability Driving CD Matrix
</t>
    </r>
    <r>
      <rPr>
        <sz val="11"/>
        <color theme="1"/>
        <rFont val="Calibri"/>
        <family val="2"/>
        <charset val="238"/>
        <scheme val="minor"/>
      </rPr>
      <t>[DrivingDurabilityTSOCMatrix_OTA]</t>
    </r>
  </si>
  <si>
    <t>For MYF2 and further MyFx
When the vehicle is awake, the storage system S20 shall remote to Data Over The Air services the Durability Driving CD matrix [DrivingDurabilityTSOCMatrix_OTA] (DID), with the triggers:
Every 1 day when driving
Every 1 day when charging
End of charge 
End of mission
End of journey (from MyF3)
From MYF4, the size of Matrix changed : New: 7x7
For information:
DID: BMS $91D1</t>
  </si>
  <si>
    <t>REQ_SYS_Comm_499</t>
  </si>
  <si>
    <r>
      <t xml:space="preserve">Over The Air Service - Vehicle GlobalKWh
</t>
    </r>
    <r>
      <rPr>
        <sz val="11"/>
        <color theme="1"/>
        <rFont val="Calibri"/>
        <family val="2"/>
        <charset val="238"/>
        <scheme val="minor"/>
      </rPr>
      <t>[VehicleGlobalEnergyDischarged_OTA]</t>
    </r>
  </si>
  <si>
    <t>For MYF2 and further MyFx
When the vehicle is awake, the storage system S20 shall remote to Data Over The Air services the Vehicle GlobalKWh (Energie discharged by the vehicle) [VehicleGlobalEnergyDischarged_OTA] (DID), with the triggers:
Start of Journey 
End of Journey 
Start of Charge (EV-PHEV)
End of Charge (EV-PHEV)
Start Of Mission (from MyF3)
End Of Mission (from MyF3)
For information:
DID: BMS $9243</t>
  </si>
  <si>
    <t>REQ_SYS_Comm_500</t>
  </si>
  <si>
    <r>
      <t xml:space="preserve">Over The Air Service - Pack GlobalKWh
</t>
    </r>
    <r>
      <rPr>
        <sz val="11"/>
        <color theme="1"/>
        <rFont val="Calibri"/>
        <family val="2"/>
        <charset val="238"/>
        <scheme val="minor"/>
      </rPr>
      <t>[PackGlobalEnergyDischarged_OTA]</t>
    </r>
  </si>
  <si>
    <r>
      <rPr>
        <b/>
        <sz val="11"/>
        <color theme="1" tint="4.9989318521683403E-2"/>
        <rFont val="Calibri"/>
        <family val="2"/>
        <scheme val="minor"/>
      </rPr>
      <t xml:space="preserve">For MYF2 and further MyFx </t>
    </r>
    <r>
      <rPr>
        <sz val="11"/>
        <color theme="1" tint="4.9989318521683403E-2"/>
        <rFont val="Calibri"/>
        <family val="2"/>
        <charset val="238"/>
        <scheme val="minor"/>
      </rPr>
      <t xml:space="preserve">
When the vehicle is awake, the storage system S20 shall remote to Data Over The Air services the Pack GlobalKWh (Energie discharged by the pack) [PackGlobalEnergyDischarged_OTA] (DID), with the triggers:
Start of Journey 
End of Journey 
Start of Charge
End of Charge
For information:
DID: BMS $9245</t>
    </r>
  </si>
  <si>
    <t>REQ_SYS_Comm_501</t>
  </si>
  <si>
    <r>
      <t xml:space="preserve">Over The Air Service - Absolute time pack 
</t>
    </r>
    <r>
      <rPr>
        <sz val="11"/>
        <color theme="1"/>
        <rFont val="Calibri"/>
        <family val="2"/>
        <charset val="238"/>
        <scheme val="minor"/>
      </rPr>
      <t>[HVAbsoluteTimePack_OTA]</t>
    </r>
  </si>
  <si>
    <r>
      <t xml:space="preserve">For MYF2 and further MyFx
When the vehicle is awake, the storage system S20 shall remote to Data Over The Air services the time spent in minute since the first use of the battery [HVAbsoluteTimePack_OTA] (DID), with the triggers:
</t>
    </r>
    <r>
      <rPr>
        <sz val="11"/>
        <color theme="1" tint="4.9989318521683403E-2"/>
        <rFont val="Calibri"/>
        <family val="2"/>
        <scheme val="minor"/>
      </rPr>
      <t xml:space="preserve">End of Journey 
End of Charge (EV-PHEV)
</t>
    </r>
    <r>
      <rPr>
        <sz val="11"/>
        <color theme="1" tint="4.9989318521683403E-2"/>
        <rFont val="Calibri"/>
        <family val="2"/>
        <charset val="238"/>
        <scheme val="minor"/>
      </rPr>
      <t>For information:
DID = BMS $91C1</t>
    </r>
  </si>
  <si>
    <t>REQ_SYS_Comm_502</t>
  </si>
  <si>
    <t>Over The Air Service - Battery Mileage
[HVBatteryPackMileage_OTA]</t>
  </si>
  <si>
    <r>
      <t xml:space="preserve">For MYF2 and further MyFx 
When the vehicle is awake, the storage system S20 shall remote to Data Over The Air services the Battery Mileage [HVBatteryPackMileage_OTA] (DID), with the triggers:
</t>
    </r>
    <r>
      <rPr>
        <b/>
        <sz val="11"/>
        <color theme="1" tint="4.9989318521683403E-2"/>
        <rFont val="Calibri"/>
        <family val="2"/>
        <scheme val="minor"/>
      </rPr>
      <t>End of</t>
    </r>
    <r>
      <rPr>
        <sz val="11"/>
        <color theme="1" tint="4.9989318521683403E-2"/>
        <rFont val="Calibri"/>
        <family val="2"/>
        <scheme val="minor"/>
      </rPr>
      <t xml:space="preserve"> Journey 
</t>
    </r>
    <r>
      <rPr>
        <b/>
        <sz val="11"/>
        <color theme="1" tint="4.9989318521683403E-2"/>
        <rFont val="Calibri"/>
        <family val="2"/>
        <scheme val="minor"/>
      </rPr>
      <t>End of</t>
    </r>
    <r>
      <rPr>
        <sz val="11"/>
        <color theme="1" tint="4.9989318521683403E-2"/>
        <rFont val="Calibri"/>
        <family val="2"/>
        <scheme val="minor"/>
      </rPr>
      <t xml:space="preserve"> Charge (EV-PHEV)
</t>
    </r>
    <r>
      <rPr>
        <sz val="11"/>
        <color theme="1" tint="4.9989318521683403E-2"/>
        <rFont val="Calibri"/>
        <family val="2"/>
        <charset val="238"/>
        <scheme val="minor"/>
      </rPr>
      <t xml:space="preserve">For information:
</t>
    </r>
    <r>
      <rPr>
        <b/>
        <sz val="11"/>
        <color theme="1" tint="4.9989318521683403E-2"/>
        <rFont val="Calibri"/>
        <family val="2"/>
        <scheme val="minor"/>
      </rPr>
      <t>DID: BMS $91CD</t>
    </r>
    <r>
      <rPr>
        <sz val="11"/>
        <color theme="1" tint="4.9989318521683403E-2"/>
        <rFont val="Calibri"/>
        <family val="2"/>
        <charset val="238"/>
        <scheme val="minor"/>
      </rPr>
      <t xml:space="preserve">
</t>
    </r>
    <r>
      <rPr>
        <b/>
        <sz val="11"/>
        <color theme="1" tint="4.9989318521683403E-2"/>
        <rFont val="Calibri"/>
        <family val="2"/>
        <scheme val="minor"/>
      </rPr>
      <t>$91CF</t>
    </r>
  </si>
  <si>
    <t>REQ_SYS_Comm_503</t>
  </si>
  <si>
    <r>
      <t xml:space="preserve">Over The Air Service - BMS2 Fault type
</t>
    </r>
    <r>
      <rPr>
        <sz val="11"/>
        <color theme="1"/>
        <rFont val="Calibri"/>
        <family val="2"/>
        <charset val="238"/>
        <scheme val="minor"/>
      </rPr>
      <t>[BMS2FaultTypeSafetyModeFlag_OTA]</t>
    </r>
  </si>
  <si>
    <r>
      <rPr>
        <b/>
        <sz val="11"/>
        <color theme="1" tint="4.9989318521683403E-2"/>
        <rFont val="Calibri"/>
        <family val="2"/>
        <scheme val="minor"/>
      </rPr>
      <t>For MYF2 and further MyFx</t>
    </r>
    <r>
      <rPr>
        <sz val="11"/>
        <color theme="1" tint="4.9989318521683403E-2"/>
        <rFont val="Calibri"/>
        <family val="2"/>
        <charset val="238"/>
        <scheme val="minor"/>
      </rPr>
      <t xml:space="preserve">
When the vehicle is awake, the storage system S20 shall remote to Data Over The Air services the slave BMS2 Fault type [BMS2FaultTypeSafetyModeFlag_OTA] (CAN), with the triggers:
Start of Journey 
End of Journey 
Start of Charge (EV-PHEV)
End of Charge (EV-PHEV)
Start Of Mission
End Of Mission
BMS Fault type state changing
For information:
CAN signal: BMS2_FaultType_BLMS</t>
    </r>
  </si>
  <si>
    <t>REQ_SYS_Comm_504</t>
  </si>
  <si>
    <r>
      <t xml:space="preserve">Over The Air Service - BMS Fault type
</t>
    </r>
    <r>
      <rPr>
        <sz val="11"/>
        <color theme="1"/>
        <rFont val="Calibri"/>
        <family val="2"/>
        <charset val="238"/>
        <scheme val="minor"/>
      </rPr>
      <t>[BMSFaultTypeSafetyModeFlag_OTA]</t>
    </r>
  </si>
  <si>
    <r>
      <rPr>
        <b/>
        <sz val="11"/>
        <color theme="1" tint="4.9989318521683403E-2"/>
        <rFont val="Calibri"/>
        <family val="2"/>
        <scheme val="minor"/>
      </rPr>
      <t>For MYF2 and further MyFx</t>
    </r>
    <r>
      <rPr>
        <sz val="11"/>
        <color theme="1" tint="4.9989318521683403E-2"/>
        <rFont val="Calibri"/>
        <family val="2"/>
        <charset val="238"/>
        <scheme val="minor"/>
      </rPr>
      <t xml:space="preserve">
When the vehicle is awake, the storage system S20 shall remote to Data Over The Air services the BMS Fault type [BMSFaultTypeSafetyModeFlag_OTA] (CAN), with the triggers:
Start of Journey 
End of Journey 
Start of Charge (EV-PHEV)
End of Charge (EV-PHEV)
Start Of Mission
End Of Mission
BMS Fault type state changing
For information:
CAN signal: BMS_FaultType_BLMS</t>
    </r>
  </si>
  <si>
    <t>REQ_SYS_Comm_505</t>
  </si>
  <si>
    <r>
      <t xml:space="preserve">Over The Air Service - Battery ID number (BIN)
</t>
    </r>
    <r>
      <rPr>
        <sz val="11"/>
        <color theme="1"/>
        <rFont val="Calibri"/>
        <family val="2"/>
        <charset val="238"/>
        <scheme val="minor"/>
      </rPr>
      <t>[BatteryIdentificationNumberBIN_OTA]</t>
    </r>
  </si>
  <si>
    <r>
      <rPr>
        <sz val="11"/>
        <color theme="1" tint="4.9989318521683403E-2"/>
        <rFont val="Calibri"/>
        <family val="2"/>
        <scheme val="minor"/>
      </rPr>
      <t>For MYF2 and further MyFx</t>
    </r>
    <r>
      <rPr>
        <sz val="11"/>
        <color theme="1" tint="4.9989318521683403E-2"/>
        <rFont val="Calibri"/>
        <family val="2"/>
        <charset val="238"/>
        <scheme val="minor"/>
      </rPr>
      <t xml:space="preserve">
When the vehicle is awake, the storage system S20 shall remote to Data Over The Air services the [BatteryIdentificationNumberBIN_OTA] (DID), with the triggers:
End Of Mission
For information:
DID: BMS $901B</t>
    </r>
  </si>
  <si>
    <t>REQ_SYS_Comm_506</t>
  </si>
  <si>
    <r>
      <t xml:space="preserve">Over The Air Service - Battery Available energy
</t>
    </r>
    <r>
      <rPr>
        <sz val="11"/>
        <color theme="1"/>
        <rFont val="Calibri"/>
        <family val="2"/>
        <charset val="238"/>
        <scheme val="minor"/>
      </rPr>
      <t>[HVBatteryAvailableEnergy_OTA]</t>
    </r>
  </si>
  <si>
    <r>
      <rPr>
        <sz val="11"/>
        <color theme="1" tint="4.9989318521683403E-2"/>
        <rFont val="Calibri"/>
        <family val="2"/>
        <scheme val="minor"/>
      </rPr>
      <t>For MYF2 and further MyFx</t>
    </r>
    <r>
      <rPr>
        <sz val="11"/>
        <color theme="1" tint="4.9989318521683403E-2"/>
        <rFont val="Calibri"/>
        <family val="2"/>
        <charset val="238"/>
        <scheme val="minor"/>
      </rPr>
      <t xml:space="preserve">
When the vehicle is awake, the storage system S20 shall remote to Data Over The Air services the Battery Available energy [HVBatteryAvailableEnergy_OTA] (CAN), with the triggers:
Start of Journey 
End of Journey 
Start of Charge (EV-PHEV)
End of Charge (EV-PHEV)
Start Of Mission
End Of Mission
Every 60s
For information:
CAN signal: AvailableEnergy_HEVC</t>
    </r>
  </si>
  <si>
    <t>REQ_SYS_Comm_507</t>
  </si>
  <si>
    <t>Over The Air Service - Battery cooling loop Temperature [HVBatteryCoolingLoopTemp_OTA]</t>
  </si>
  <si>
    <r>
      <rPr>
        <sz val="11"/>
        <color theme="1" tint="4.9989318521683403E-2"/>
        <rFont val="Calibri"/>
        <family val="2"/>
        <scheme val="minor"/>
      </rPr>
      <t>For MYF2 and further MyFx</t>
    </r>
    <r>
      <rPr>
        <sz val="11"/>
        <color theme="1" tint="4.9989318521683403E-2"/>
        <rFont val="Calibri"/>
        <family val="2"/>
        <charset val="238"/>
        <scheme val="minor"/>
      </rPr>
      <t xml:space="preserve">
When the vehicle is awake, the storage system S20 shall remote to Data Over The Air services the Battery cooling fluid Temperature [HVBatteryCoolingLoopTemp_OTA] (CAN), with the triggers:
Start of Journey 
End of Journey 
Start of charge (EV-PHEV) (from MyF3)
End of charge (EV-PHEV) (from MyF3)
Every 60s 
</t>
    </r>
    <r>
      <rPr>
        <sz val="11"/>
        <color theme="1" tint="4.9989318521683403E-2"/>
        <rFont val="Calibri"/>
        <family val="2"/>
        <scheme val="minor"/>
      </rPr>
      <t xml:space="preserve">+from MyF3 : </t>
    </r>
    <r>
      <rPr>
        <sz val="11"/>
        <color theme="1" tint="4.9989318521683403E-2"/>
        <rFont val="Calibri"/>
        <family val="2"/>
        <charset val="238"/>
        <scheme val="minor"/>
      </rPr>
      <t xml:space="preserve">
When technical wake up is requested (V_WakeUpType =  Selective Wake-Up Mode 1: 0b001))
For information:
CAN signal: HVBatteryCoolingLoopTemperature</t>
    </r>
  </si>
  <si>
    <t>REQ_SYS_Comm_508</t>
  </si>
  <si>
    <r>
      <t xml:space="preserve">Over The Air Service - Battery Current information
</t>
    </r>
    <r>
      <rPr>
        <sz val="11"/>
        <color theme="1"/>
        <rFont val="Calibri"/>
        <family val="2"/>
        <charset val="238"/>
        <scheme val="minor"/>
      </rPr>
      <t>[HVBatteryInstantaneousCurrent_OTA]</t>
    </r>
  </si>
  <si>
    <r>
      <rPr>
        <sz val="11"/>
        <color theme="1" tint="4.9989318521683403E-2"/>
        <rFont val="Calibri"/>
        <family val="2"/>
        <scheme val="minor"/>
      </rPr>
      <t>For MYF2 and further MyFx</t>
    </r>
    <r>
      <rPr>
        <sz val="11"/>
        <color theme="1" tint="4.9989318521683403E-2"/>
        <rFont val="Calibri"/>
        <family val="2"/>
        <charset val="238"/>
        <scheme val="minor"/>
      </rPr>
      <t xml:space="preserve">
When the vehicle is awake, the storage system S20 shall remote to Data Over The Air services the Battery Current information [HVBatteryInstantaneousCurrent_OTA]  (CAN), with the triggers:
</t>
    </r>
    <r>
      <rPr>
        <b/>
        <sz val="11"/>
        <color theme="1" tint="4.9989318521683403E-2"/>
        <rFont val="Calibri"/>
        <family val="2"/>
        <scheme val="minor"/>
      </rPr>
      <t xml:space="preserve">Start of Journey 
End of Journey 
Start of Charge (EV-PHEV)
End of Charge (EV-PHEV)
Every 1s
</t>
    </r>
    <r>
      <rPr>
        <sz val="11"/>
        <color theme="1" tint="4.9989318521683403E-2"/>
        <rFont val="Calibri"/>
        <family val="2"/>
        <charset val="238"/>
        <scheme val="minor"/>
      </rPr>
      <t>For information:
CAN signal: HVBatInstantCurrent_BLMS (C1A)  / HVbatInstantCurrent_BLMS_v2 (C1A-HS, C1A-HSevo)</t>
    </r>
  </si>
  <si>
    <t>REQ_SYS_Comm_519</t>
  </si>
  <si>
    <t>Over The Air Service - VehicleMileage [VehicleMileage_OTA]</t>
  </si>
  <si>
    <r>
      <rPr>
        <b/>
        <sz val="11"/>
        <color theme="1" tint="4.9989318521683403E-2"/>
        <rFont val="Calibri"/>
        <family val="2"/>
        <scheme val="minor"/>
      </rPr>
      <t>For MyF3 and further MyFx</t>
    </r>
    <r>
      <rPr>
        <sz val="11"/>
        <color theme="1" tint="4.9989318521683403E-2"/>
        <rFont val="Calibri"/>
        <family val="2"/>
        <charset val="238"/>
        <scheme val="minor"/>
      </rPr>
      <t xml:space="preserve">
When the vehicle is awake, the storage system S20 shall remote to Data Over The Air services the Distance Totalizer [VehicleMileage_OTA] (DID), with the triggers:
start of charge (EV-PHEV)
end of charge (EV-PHEV)
start of journey
end of journey
For information:
CAN: DistanceTotalizer</t>
    </r>
  </si>
  <si>
    <t>REQ_SYS_Comm_520</t>
  </si>
  <si>
    <t>Over The Air Service - Resistive state of health [HVBatteryStateOfHealthResistance_OTA]</t>
  </si>
  <si>
    <r>
      <rPr>
        <b/>
        <sz val="11"/>
        <color theme="1" tint="4.9989318521683403E-2"/>
        <rFont val="Calibri"/>
        <family val="2"/>
        <scheme val="minor"/>
      </rPr>
      <t>For MyF3 and further MyFx</t>
    </r>
    <r>
      <rPr>
        <sz val="11"/>
        <color theme="1" tint="4.9989318521683403E-2"/>
        <rFont val="Calibri"/>
        <family val="2"/>
        <charset val="238"/>
        <scheme val="minor"/>
      </rPr>
      <t xml:space="preserve">
When the vehicle is awake, the storage system S20 shall remote to Data Over The Air services the resistive State Of health [HVBatteryStateOfHealthResistance_OTA], with the triggers:
start of charge (EV-PHEV)
end of charge (EV-PHEV)
Start Of Mission
End Of Mission
For information:
CAN: HVBatResistiveStateOfHealth_BLMS</t>
    </r>
  </si>
  <si>
    <t xml:space="preserve">REQ_SYS_Comm_521 </t>
  </si>
  <si>
    <t>Over The Air Service - Cell overvoltage alert [HVBatteryOverVoltageAlert_OTA]</t>
  </si>
  <si>
    <t>For MyF3 and further MyFx
When the vehicle is awake, the storage system S20 shall remote to Data Over The Air services the Cell overvoltage alert [HVBatteryOverVoltageAlert_OTA], with the triggers:
[HVBatteryOverVoltageAlert_OTA] changing state
For information:
CAN: HVB_OverVoltageAlert</t>
  </si>
  <si>
    <t>REQ_SYS_Comm_522</t>
  </si>
  <si>
    <t>Over The Air Service - Cell undervoltage alert [HVBatteryUnderVoltageAlert_OTA]</t>
  </si>
  <si>
    <t>For MyF3 and further MyFx
When the vehicle is awake, the storage system S20 shall remote to Data Over The Air services the Cell undervoltage alert [HVBatteryUnderVoltageAlert_OTA], with the triggers:
[HVBatteryUnderVoltageAlert_OTA] changing state
For information:
CAN: HVB_UnderVoltageAlert</t>
  </si>
  <si>
    <t>REQ_SYS_Comm_523</t>
  </si>
  <si>
    <t>Over The Air Service - Battery Preconditionning activation [HVBatteryProgrammedPreConditionningRequest_OTA]</t>
  </si>
  <si>
    <t>For MyF3 and further MyFx
When the vehicle is awake, the storage system S20 shall remote to Data Over The Air services the Battery Preconditionning activation [HVBatteryProgrammedPreConditionningRequest_OTA], with the triggers:
[HVBatteryProgrammedPreConditionningRequest_OTA] changing state
For information:
CAN: PreConditioningBattery_HVACmode</t>
  </si>
  <si>
    <t>REQ_SYS_Comm_524</t>
  </si>
  <si>
    <t>Over The Air Service - The busbar unscrewing alert [HVBatteryBusbarUnscrewingAlert_OTA]</t>
  </si>
  <si>
    <t>For MyF3 and further MyFx
When the vehicle is awake, the storage system S20 shall remote to Data Over The Air services the Battery Total balancing time [HVBatteryBusbarUnscrewingAlert_OTA], with the triggers:
[HVBatteryBusbarUnscrewingAlert_OTA] changing state
For information:
CAN: BusbarUnscrewingAlert</t>
  </si>
  <si>
    <t>REQ_SYS_Comm_525</t>
  </si>
  <si>
    <t>Over The Air Service - Current target for heating grid [HeatingGridCurrentRequest_OTA]</t>
  </si>
  <si>
    <r>
      <rPr>
        <b/>
        <sz val="11"/>
        <color theme="1" tint="4.9989318521683403E-2"/>
        <rFont val="Calibri"/>
        <family val="2"/>
        <scheme val="minor"/>
      </rPr>
      <t>For MyF3 and further MyFx</t>
    </r>
    <r>
      <rPr>
        <sz val="11"/>
        <color theme="1" tint="4.9989318521683403E-2"/>
        <rFont val="Calibri"/>
        <family val="2"/>
        <charset val="238"/>
        <scheme val="minor"/>
      </rPr>
      <t xml:space="preserve">
When the vehicle is awake, the storage system S20 shall remote to Data Over The Air services the current target for heating grid [HeatingGridCurrentRequest_OTA], with the triggers:
</t>
    </r>
    <r>
      <rPr>
        <sz val="11"/>
        <color theme="1" tint="4.9989318521683403E-2"/>
        <rFont val="Calibri"/>
        <family val="2"/>
        <scheme val="minor"/>
      </rPr>
      <t xml:space="preserve">Every 1 minute 
start of charge 
end of charge
start of mission 
end of mission
start of journey
end of journey
</t>
    </r>
    <r>
      <rPr>
        <b/>
        <sz val="11"/>
        <color theme="1" tint="4.9989318521683403E-2"/>
        <rFont val="Calibri"/>
        <family val="2"/>
        <scheme val="minor"/>
      </rPr>
      <t xml:space="preserve">start of preconditioning (PreConditioningBattery_HVACmodet 0-&gt;1
when technical wake-up is requested (V_WakeUpType =  Selective Wake-Up Mode 1: 0b001)
</t>
    </r>
    <r>
      <rPr>
        <sz val="11"/>
        <color theme="1" tint="4.9989318521683403E-2"/>
        <rFont val="Calibri"/>
        <family val="2"/>
        <charset val="238"/>
        <scheme val="minor"/>
      </rPr>
      <t>For information:
CAN: HeatingGridCurrentRequest_Data Over The Air Services</t>
    </r>
  </si>
  <si>
    <t>Only xHEV</t>
  </si>
  <si>
    <t>REQ_SYS_Comm_526</t>
  </si>
  <si>
    <t>Over The Air Service - Thermal incident alert displayed [ThermalIncidentAlert_OTA]</t>
  </si>
  <si>
    <r>
      <rPr>
        <b/>
        <sz val="11"/>
        <color theme="1" tint="4.9989318521683403E-2"/>
        <rFont val="Calibri"/>
        <family val="2"/>
        <scheme val="minor"/>
      </rPr>
      <t>For MyF3 and further MyFx</t>
    </r>
    <r>
      <rPr>
        <sz val="11"/>
        <color theme="1" tint="4.9989318521683403E-2"/>
        <rFont val="Calibri"/>
        <family val="2"/>
        <charset val="238"/>
        <scheme val="minor"/>
      </rPr>
      <t xml:space="preserve">
When the vehicle is awake, the storage system S20 shall remote to Data Over The Air services the thermal incident alert displayed [ThermalIncidentAlert_OTA], with the triggers:
Start of mission 
[ThermalIncidentAlert_OTA] changing state
For information:
CAN: TiAlertDisplay_Data Over The Air Services</t>
    </r>
  </si>
  <si>
    <t>REQ_SYS_Comm_527</t>
  </si>
  <si>
    <r>
      <t xml:space="preserve">Over The Air Service - Battery pack pressure 
</t>
    </r>
    <r>
      <rPr>
        <b/>
        <sz val="11"/>
        <color rgb="FFC00000"/>
        <rFont val="Calibri"/>
        <family val="2"/>
        <scheme val="minor"/>
      </rPr>
      <t>[HighVoltageBatteryPressure_OTA]</t>
    </r>
  </si>
  <si>
    <r>
      <t xml:space="preserve">For MyF3 and further MyFx
When the vehicle is awake, the storage system S20 shall remote to Data Over The Air services The Battery pack pressure [HighVoltageBatteryPressure_OTA], with the triggers:
Every 1 second
For information:
CAN: </t>
    </r>
    <r>
      <rPr>
        <b/>
        <sz val="11"/>
        <color theme="1" tint="4.9989318521683403E-2"/>
        <rFont val="Calibri"/>
        <family val="2"/>
        <scheme val="minor"/>
      </rPr>
      <t>HVBatteryPressure_Data</t>
    </r>
    <r>
      <rPr>
        <sz val="11"/>
        <color theme="1" tint="4.9989318521683403E-2"/>
        <rFont val="Calibri"/>
        <family val="2"/>
        <charset val="238"/>
        <scheme val="minor"/>
      </rPr>
      <t xml:space="preserve"> Over The Air Services</t>
    </r>
  </si>
  <si>
    <t>REQ_SYS_Comm_528</t>
  </si>
  <si>
    <t>Over The Air Service - SOCE (State Of Certified Energy)
[HVBatteryStateOfCertifiedEnergy_OTA]</t>
  </si>
  <si>
    <r>
      <rPr>
        <b/>
        <sz val="11"/>
        <color theme="1" tint="4.9989318521683403E-2"/>
        <rFont val="Calibri"/>
        <family val="2"/>
        <scheme val="minor"/>
      </rPr>
      <t>For MyF3 and further MyFx</t>
    </r>
    <r>
      <rPr>
        <sz val="11"/>
        <color theme="1" tint="4.9989318521683403E-2"/>
        <rFont val="Calibri"/>
        <family val="2"/>
        <charset val="238"/>
        <scheme val="minor"/>
      </rPr>
      <t xml:space="preserve">
When the vehicle is awake, the storage system S20 shall remote to Data Over The Air services the State Of Certified Energy [HVBatteryStateOfCertifiedEnergy_OTA], with the triggers:
start of charge 
end of charge
start of journey
end of journey
For information:
CAN: StateOfCertifiedEnergy_v2</t>
    </r>
  </si>
  <si>
    <t>REQ_SYS_Comm_529</t>
  </si>
  <si>
    <r>
      <t xml:space="preserve">Over The Air Service - SOCR (State Of Certified Range)
</t>
    </r>
    <r>
      <rPr>
        <sz val="11"/>
        <color theme="1"/>
        <rFont val="Calibri"/>
        <family val="2"/>
        <charset val="238"/>
        <scheme val="minor"/>
      </rPr>
      <t>[HVBatteryStateOfCertifiedRange_OTA]</t>
    </r>
  </si>
  <si>
    <t>For MyF3 and further MyFx
When the vehicle is awake, the storage system S20 shall remote to Data Over The Air services the State Of Certified Range [HVBatteryStateOfCertifiedRange_OTA], with the triggers:
start of charge 
end of charge
start of journey
end of journey
For information:
CAN: StateOfCertifiedRange_v2</t>
  </si>
  <si>
    <t>REQ_SYS_Comm_530</t>
  </si>
  <si>
    <t>Over The Air Service - Total Energy dicharged in V2X [HVBatteryGlobalEnergyCumulatedInDischargeV2X_OTA]</t>
  </si>
  <si>
    <t>For MyF3 and further MyFx
When the vehicle is awake, the storage system S20 shall remote to Data Over The Air services the total Energy dicharged in V2X [HVBatteryGlobalEnergyCumulatedInDischargeV2X_OTA] (computed by S19 - Charge System), with the triggers:
end of mission
For information:
CAN: V2X_HVBat_EnergyDurabilityCount</t>
  </si>
  <si>
    <t>REQ_SYS_Comm_531</t>
  </si>
  <si>
    <t>Over The Air Service - Total Energy Charged in V2G
[HVBatteryGlobalEnergyCumulatedInChargeV2G_OTA]</t>
  </si>
  <si>
    <r>
      <t xml:space="preserve">For MyF3 and further MyFx
When the vehicle is awake, the storage system S20 shall remote to Data Over The Air services the Total Energy Charged in V2G [HVBatteryGlobalEnergyCumulatedInChargeV2G_OTA] (computed by S19 - Charge System), with the triggers:
end of mission
For information:
CAN: </t>
    </r>
    <r>
      <rPr>
        <sz val="11"/>
        <color theme="1" tint="4.9989318521683403E-2"/>
        <rFont val="Calibri"/>
        <family val="2"/>
        <scheme val="minor"/>
      </rPr>
      <t xml:space="preserve">V2G_TotalChargedEnergy_Data </t>
    </r>
    <r>
      <rPr>
        <sz val="11"/>
        <color theme="1" tint="4.9989318521683403E-2"/>
        <rFont val="Calibri"/>
        <family val="2"/>
        <charset val="238"/>
        <scheme val="minor"/>
      </rPr>
      <t>Over The Air Services</t>
    </r>
  </si>
  <si>
    <t>REQ_SYS_Comm_532</t>
  </si>
  <si>
    <t>Over The Air Service - Total Energy Discharged in V2G
[HVBatteryEnergyCumulatedInDischargeV2G_OTA]</t>
  </si>
  <si>
    <r>
      <t xml:space="preserve">For MyF3 and further MyFx
When the vehicle is awake, the storage system S20 shall remote to Data Over The Air services the Total Energy Discharged in V2G [HVBatteryEnergyCumulatedInDischargeV2G_OTA] (computed by S19 - Charge System), with the triggers:
end of mission
For information:
CAN: </t>
    </r>
    <r>
      <rPr>
        <b/>
        <sz val="11"/>
        <color theme="1" tint="4.9989318521683403E-2"/>
        <rFont val="Calibri"/>
        <family val="2"/>
        <scheme val="minor"/>
      </rPr>
      <t>V2G_TotalDischargedEnergy_Data</t>
    </r>
    <r>
      <rPr>
        <sz val="11"/>
        <color theme="1" tint="4.9989318521683403E-2"/>
        <rFont val="Calibri"/>
        <family val="2"/>
        <charset val="238"/>
        <scheme val="minor"/>
      </rPr>
      <t xml:space="preserve"> Over The Air Services</t>
    </r>
  </si>
  <si>
    <t>REQ_SYS_Comm_533</t>
  </si>
  <si>
    <r>
      <t xml:space="preserve">Over The Air Service - Total Energy Discharged in V2L
</t>
    </r>
    <r>
      <rPr>
        <sz val="11"/>
        <color theme="1"/>
        <rFont val="Calibri"/>
        <family val="2"/>
        <charset val="238"/>
        <scheme val="minor"/>
      </rPr>
      <t>[HVBatteryEnergyCumulatedInDischargeV2L_OTA]</t>
    </r>
  </si>
  <si>
    <r>
      <t xml:space="preserve">For MyF3 and further MyFx
When the vehicle is awake, the storage system S20 shall remote to Data Over The Air services the Total Energy Discharged in V2L [HVBatteryEnergyCumulatedInDischargeV2L_OTA] (computed by S19 - Charge System), with the triggers:
end of mission
For information:
CAN: </t>
    </r>
    <r>
      <rPr>
        <b/>
        <sz val="11"/>
        <color theme="1" tint="4.9989318521683403E-2"/>
        <rFont val="Calibri"/>
        <family val="2"/>
        <scheme val="minor"/>
      </rPr>
      <t>V2L_TotalDischargedEnergy_Data</t>
    </r>
    <r>
      <rPr>
        <sz val="11"/>
        <color theme="1" tint="4.9989318521683403E-2"/>
        <rFont val="Calibri"/>
        <family val="2"/>
        <charset val="238"/>
        <scheme val="minor"/>
      </rPr>
      <t xml:space="preserve"> Over The Air Services</t>
    </r>
  </si>
  <si>
    <t>REQ_SYS_Comm_534</t>
  </si>
  <si>
    <t>Over The Air Service - Number of AC charge
[HighVoltageBatteryOveralNumberOfACChargeStart_OTA]</t>
  </si>
  <si>
    <t>For MyF3 and further MyFx
When the vehicle is awake, the storage system S20 shall remote to Data Over The Air services the Number of AC charge start [HighVoltageBatteryOveralNumberOfACChargeStart_OTA], with the triggers:
end of mission
For information:
CAN: NumACchargeStarts_BLMS</t>
  </si>
  <si>
    <t>REQ_SYS_AC-Charge_489</t>
  </si>
  <si>
    <t>[BLMS] [MyF3] Improve knowledge of AC Charge - User&amp;infrastructure</t>
  </si>
  <si>
    <r>
      <t xml:space="preserve">For MyF3: The connectivity system shall transmit to the EVA Data center the following charge datas (CAN signals) related to AC charge feature :
- [CAN signal : OperatingTypeStatus_BLMS] with the trigger change of state.
- [CAN signal :NumHVbattRelaysOpening_BLMS] with the trigger change of state.
-[CAN signal : SC_TargetSOC_EVA] with the trigger change of state.
- [CAN signal: ControlPilot_Dutycycle_EVA] with the trigger : Sampled every 60s if ChargingPlugConnected_v2= Charging Plug is Connected (0b01).
- [CAN signal : DetLogic_maxcurrent_EVA] with the trigger start of charge.
- [CAN signal : MainsRMSVoltage_EVA] with the trigger :Sampled every 1min during charge.
- [CAN signal : MainsRMSCurrent_EVA] with the trigger :Sampled every 1min during charge.
- [CAN signal : ProgrammedChargeStatus_HEVC] with the trigger change of state.
- [CAN signal : ChargeAuthorization_BCM_v2] with the trigger change of state.
- [CAN signal : InstantChargingApparentPower] with the trigger : Sampled every 60s if ChargingPlugConnected_v2= Charging Plug is Connected (0b01).
- [CAN signal : CustomerDepartureTime_EVA] with the triggers: start of charge, end of charge, start of journey, end of journey, start of mission, end of mission and Sampled every 1min if ChargingPlugConnected_v2= Charging Plug is Connected (0b01).
</t>
    </r>
    <r>
      <rPr>
        <sz val="11"/>
        <color theme="1" tint="4.9989318521683403E-2"/>
        <rFont val="Calibri"/>
        <family val="2"/>
        <scheme val="minor"/>
      </rPr>
      <t>Note: as no 'not available value' is defined in the signals BLMS MainsRMSVoltage_EVA and MainsRMSCurrent_EVA, the EV charging system can transmit the value 0 out of charge.</t>
    </r>
  </si>
  <si>
    <t>REQ_SYS_AC-Charge_488</t>
  </si>
  <si>
    <r>
      <rPr>
        <sz val="11"/>
        <color theme="1" tint="4.9989318521683403E-2"/>
        <rFont val="Calibri"/>
        <family val="2"/>
        <scheme val="minor"/>
      </rPr>
      <t>For MyF3 :</t>
    </r>
    <r>
      <rPr>
        <sz val="11"/>
        <color theme="1" tint="4.9989318521683403E-2"/>
        <rFont val="Calibri"/>
        <family val="2"/>
        <charset val="238"/>
        <scheme val="minor"/>
      </rPr>
      <t xml:space="preserve"> The charge system shall send this informations to BLMS function in order to improve knowledge of customer use and/or charging infrastrutures :
-the number of AC charge missions or DC charge missions and also the type of charge ([CAN signal : OperatingTypeStatus_BLMS])
-the number of battery relays opening  ([CAN signal :NumHVbattRelaysOpening_BLMS])
-the SOC target ([CAN signal : SC_TargetSOC_EVA])
- the duty cycle of control pilot ([CAN signal: ControlPilot_Dutycycle_EVA]) ( ControlPilot_Dutycycle_EVA is the same value as  internal HEVC Dutycycle %).
-the max cable current ([CAN signal : DetLogic_maxcurrent_EVA])
-the instant voltage measurement in input of the charger  ([CAN signal : MainsRMSVoltage_EVA])
-the instant current measurement in input of the charger  ([CAN signal : MainsRMSCurrent_EVA])
-the charge mode used ([CAN signal : ProgrammedChargeStatus_HEVC])
-the charge mode sysnthesis requested by the customer  ([CAN signal : ChargeAuthorization_BCM_v2])
- the instant charging power ( for AC and DC charge) ([CAN signal : InstantChargingApparentPower])
- the customer departure time ([CAN signal : CustomerDepartureTime_EVA])</t>
    </r>
  </si>
  <si>
    <t>REQ_SYS_combo-Fast-charge_459</t>
  </si>
  <si>
    <t>[BLMS] [MyF3] Improve knowledge of DC Combo Charge - User&amp;infrastructure</t>
  </si>
  <si>
    <r>
      <rPr>
        <sz val="11"/>
        <color theme="1" tint="4.9989318521683403E-2"/>
        <rFont val="Calibri"/>
        <family val="2"/>
        <scheme val="minor"/>
      </rPr>
      <t>For MyF3 :</t>
    </r>
    <r>
      <rPr>
        <sz val="11"/>
        <color theme="1" tint="4.9989318521683403E-2"/>
        <rFont val="Calibri"/>
        <family val="2"/>
        <charset val="238"/>
        <scheme val="minor"/>
      </rPr>
      <t xml:space="preserve"> The charge system shall send this informations to BLMS function in order to improve knowledge of customer use and/or charging infrastrutures :
- the maximum EVSE DC charging current (sweet 400 [CAN signal : Combo_EVSEMaximumCurrentLimit_v2] and for sweet 200 [CAN signal : Combo_EVSEMaximumCurrentLimit])
-the number of AC charge missions or DC charge missions and also the type of charge ([CAN signal : OperatingTypeStatus_BLMS])
-the present current of EVSE ([CAN signal :Combo_EVSEPresentCurrent_v2]).</t>
    </r>
  </si>
  <si>
    <t>REQ_SYS_combo-Fast-charge_484</t>
  </si>
  <si>
    <t>[BLMS] [MyF3][MyF4.1]  Improve knowledge of DC Combo Charge - User&amp;infrastructure</t>
  </si>
  <si>
    <t>For EVA function, the charge system shall send this informations to BLMS function in order to improve knowledge of customer use and charging infrastructures:
-Service: EVA. 
-Description: the charge profile status/ Number of Slot/profile duration / profile power .
-Signals CAN: -EVchargingProfileSlotNumber.
                             - EVchargingProfileStatus.
                             -EVchargingProfileDuration_v2.
                           -EVchargingProfilePower_v2.
-Type of vehicle: EV.
-MyF: MyF3 -MyF4.1
-Trigger: EV_ChargingProfileStatus_changed.</t>
  </si>
  <si>
    <t>REQ_SYS_combo-Fast-charge_485</t>
  </si>
  <si>
    <t>For EVA function, the charge system shall send this informations to BLMS function in order to improve knowledge of customer use and charging infrastructures:
-Service: EVA. 
-Description: the schedule information / slot number / Duration / power allowed / cost.
-Signals CAN: - EVSEscheduleSlotNumber_V2.
                             -EVSEscheduleDuration_V2.
                             -EVSEschedulePowerAllowed_V3.
                             -EVSEscheduleStatus_V2
                            -EVSEscheduleCost_V2.
-Type of vehicle: EV.
-MyF: MyF3 -MyF4.1
-Trigger: EV_SupplyEquipmentScheduleTransmissionStatus_changed.</t>
  </si>
  <si>
    <t>REQ_SYS_combo-Fast-charge_486</t>
  </si>
  <si>
    <t>For EVA function, the charge system shall send this informations to BLMS function in order to improve knowledge of customer use:
-Service: EVA. 
-Description: the service selected by the vehicle.
- Signal CAN: ChargingStationComType.
-Type of vehicle: EV.
-MyF: MyF3 -MyF4.1
-Trigger: StationComTypePnC_changed.</t>
  </si>
  <si>
    <t>REQ_SYS_Comm_509</t>
  </si>
  <si>
    <t>Over The Air Service - Cell highest voltage [HighVoltageBatteryCellHighestVoltage_OTA]</t>
  </si>
  <si>
    <r>
      <rPr>
        <b/>
        <sz val="11"/>
        <color theme="1" tint="4.9989318521683403E-2"/>
        <rFont val="Calibri"/>
        <family val="2"/>
        <scheme val="minor"/>
      </rPr>
      <t xml:space="preserve">For MYF2 and further MyFx 
</t>
    </r>
    <r>
      <rPr>
        <sz val="11"/>
        <color theme="1" tint="4.9989318521683403E-2"/>
        <rFont val="Calibri"/>
        <family val="2"/>
        <charset val="238"/>
        <scheme val="minor"/>
      </rPr>
      <t xml:space="preserve">
When the vehicle is awake, the storage system S20 shall remote to Data Over The Air services the Cell highest voltage [HighVoltageBatteryCellHighestVoltage_OTA] (CAN), with the triggers:
Start of Journey 
End of Journey 
Start of Charge (EV-PHEV)
End of Charge (EV-PHEV)
Start Of Mission
End Of Mission
Every 60s
When Power Relays Open
For information:
CAN signal: CellHighestVoltage_BLMS</t>
    </r>
  </si>
  <si>
    <t>REQ_SYS_Comm_510</t>
  </si>
  <si>
    <t>Over The Air Service - Cell highest voltage ID [HighVoltageBatteryCellHighestVoltageID_OTA]</t>
  </si>
  <si>
    <r>
      <t xml:space="preserve">For MYF2 and further MyFx 
When the vehicle is awake, the storage system S20 shall remote to Data Over The Air services the Cell highest voltage ID [HighVoltageBatteryCellHighestVoltageID_OTA] (CAN), with the triggers:
Start of Journey 
End of Journey 
Start of Charge (EV-PHEV)
End of Charge (EV-PHEV)
Start Of Mission
End Of Mission
Every 60s
</t>
    </r>
    <r>
      <rPr>
        <b/>
        <sz val="11"/>
        <color theme="1" tint="4.9989318521683403E-2"/>
        <rFont val="Calibri"/>
        <family val="2"/>
        <scheme val="minor"/>
      </rPr>
      <t>When Power Relays Open</t>
    </r>
    <r>
      <rPr>
        <sz val="11"/>
        <color theme="1" tint="4.9989318521683403E-2"/>
        <rFont val="Calibri"/>
        <family val="2"/>
        <charset val="238"/>
        <scheme val="minor"/>
      </rPr>
      <t xml:space="preserve">
For information:
CAN signal: BMS_CellHighestVoltageID_BLMS</t>
    </r>
  </si>
  <si>
    <t>REQ_SYS_Comm_511</t>
  </si>
  <si>
    <t>Over The Air Service - Cell lowest voltage [HighVoltageBatteryCellLowestVoltage_OTA]</t>
  </si>
  <si>
    <t>For MYF2 and further MyFx 
When the vehicle is awake, the storage system S20 shall remote to Data Over The Air services the Cell lowest voltage ID [HighVoltageBatteryCellLowestVoltage_OTA] (CAN), with the triggers:
Start of Journey 
End of Journey 
Start of Charge (EV-PHEV)
End of Charge (EV-PHEV)
Start Of Mission
End Of Mission
Every 60s
When Power Relays Open
For information:
CAN signal: CellLowestVoltage_BLMS</t>
  </si>
  <si>
    <t>REQ_SYS_Comm_512</t>
  </si>
  <si>
    <t>Over The Air Service - Cell lowest voltage ID [HighVoltageBatteryCellLowestVoltageID_OTA]</t>
  </si>
  <si>
    <t>For MYF2 and further MyFx
When the vehicle is awake, the storage system S20 shall remote to Data Over The Air services the Cell lowest voltage ID [HighVoltageBatteryCellLowestVoltageID_OTA] (CAN), with the triggers:
Start of Journey 
End of Journey 
Start of Charge (EV-PHEV)
End of Charge (EV-PHEV)
Start Of Mission
End Of Mission
Every 60s
When Power Relays Open
For information:
CAN signal: BMS_CellLowestVoltageID_BLMS</t>
  </si>
  <si>
    <t>REQ_SYS_Comm_513</t>
  </si>
  <si>
    <t>Over The Air Service - Complete charge status [HighVoltageBatteryOveralNumberOfCompleteCharge_OTA]</t>
  </si>
  <si>
    <r>
      <rPr>
        <sz val="11"/>
        <color theme="1" tint="4.9989318521683403E-2"/>
        <rFont val="Calibri"/>
        <family val="2"/>
        <scheme val="minor"/>
      </rPr>
      <t>For MYF2 and further MyFx</t>
    </r>
    <r>
      <rPr>
        <sz val="11"/>
        <color theme="1" tint="4.9989318521683403E-2"/>
        <rFont val="Calibri"/>
        <family val="2"/>
        <charset val="238"/>
        <scheme val="minor"/>
      </rPr>
      <t xml:space="preserve">
When the vehicle is awake, the storage system S20 shall remote to Data Over The Air services the Complete charge status [HighVoltageBatteryOveralNumberOfCompleteCharge_OTA] (DID), with the triggers:
Start of Journey 
End of Journey 
Start of Charge
End of Charge
For information:
DID BMS: $9208</t>
    </r>
  </si>
  <si>
    <t>REQ_SYS_Comm_514</t>
  </si>
  <si>
    <t>Over The Air Service - HV Battery voltage [HighVoltageBatteryNetworkVoltage_OTA]</t>
  </si>
  <si>
    <r>
      <rPr>
        <b/>
        <sz val="11"/>
        <color theme="1" tint="4.9989318521683403E-2"/>
        <rFont val="Calibri"/>
        <family val="2"/>
        <scheme val="minor"/>
      </rPr>
      <t xml:space="preserve">For MYF2 and further MyFx </t>
    </r>
    <r>
      <rPr>
        <sz val="11"/>
        <color theme="1" tint="4.9989318521683403E-2"/>
        <rFont val="Calibri"/>
        <family val="2"/>
        <charset val="238"/>
        <scheme val="minor"/>
      </rPr>
      <t xml:space="preserve">
When the vehicle is awake, the storage system S20 shall remote to Data Over The Air services the HV Battery voltage [HighVoltageBatteryNetworkVoltage_OTA] (CAN), with the triggers:
Every 60s
For information:
CAN signal: BMS_HVNetworkVoltage_BLMS</t>
    </r>
  </si>
  <si>
    <t>REQ_SYS_Comm_515</t>
  </si>
  <si>
    <t>Over The Air Service - HV Battery Operating type status [HighVoltageBatteryMode_OTA]</t>
  </si>
  <si>
    <r>
      <rPr>
        <b/>
        <sz val="11"/>
        <color theme="1" tint="4.9989318521683403E-2"/>
        <rFont val="Calibri"/>
        <family val="2"/>
        <scheme val="minor"/>
      </rPr>
      <t>For MYF2 and further MyFx</t>
    </r>
    <r>
      <rPr>
        <sz val="11"/>
        <color theme="1" tint="4.9989318521683403E-2"/>
        <rFont val="Calibri"/>
        <family val="2"/>
        <charset val="238"/>
        <scheme val="minor"/>
      </rPr>
      <t xml:space="preserve">
When the vehicle is awake, the storage system S20 shall remote to Data Over The Air services the HV Battery Operating type status [HighVoltageBatteryMode_OTA] (CAN), with the triggers:
[HighVoltageBatteryMode_OTA] state changing
For information:
CAN signal: OperatingTypeStatus_BLMS</t>
    </r>
  </si>
  <si>
    <t>REQ_SYS_Comm_516</t>
  </si>
  <si>
    <t>Over The Air Service - Partial charge status [HighVoltageBatteryOveralNumberOfPartialCharge_OTA]</t>
  </si>
  <si>
    <t>For MYF2 and further MyFx 
When the vehicle is awake, the storage system S20 shall remote to Data Over The Air services the Partial charge status [HighVoltageBatteryOveralNumberOfPartialCharge_OTA] (DID), with the triggers:
Start of Journey 
End of Journey 
Start of Charge
End of Charge
For information:
DID : BMS $920D</t>
  </si>
  <si>
    <t>REQ_SYS_Comm_517</t>
  </si>
  <si>
    <t>Over The Air Service - SOH AP ratio of available discharge power [HVBatteryStateOfHealthAvailablePower_OTA]</t>
  </si>
  <si>
    <t>For MYF2 and further MyFx 
When the vehicle is awake, the storage system S20 shall remote to Data Over The Air services the ratio of available discharge power versus BOL [HVBatteryStateOfHealthAvailablePower_OTA] (DID), with the triggers:
End of Charge (EV-PHEV)
End Of Mission
For information:
DID BMS: 91BB</t>
  </si>
  <si>
    <t>REQ_SYS_Comm_518</t>
  </si>
  <si>
    <t>Over The Air Service - SOH GP ratio of available regenerative power [HVBatteryStateOfHealthGeneratedPower_OTA]</t>
  </si>
  <si>
    <t>For MYF2 and further MyFx 
When the vehicle is awake, the storage system S20 shall remote to Data Over The Air services the ratio of available regenerated power versus BOL [HVBatteryStateOfHealthGeneratedPower_OTA] (DID), with the triggers:
End of Charge (EV-PHEV)
End Of Mission
For information:
DID BMS: 91BC</t>
  </si>
  <si>
    <t>REQ_SYS_Comm_107481</t>
  </si>
  <si>
    <t>1.3</t>
  </si>
  <si>
    <t>Over The Air Service - DID with datas about HV Battery tabs estimated temperature</t>
  </si>
  <si>
    <t>From MYF6
When the vehicle is awake, the storage system S20 shall remote to Data Over The Air services informations DIDs about HV Battery tabs derating, with the trigger: End Of Journey
10 historicals shall be recorded for each data (the newest at top position)
For information, DID list:
$9799: HV Battery Mode when the HV Battery tabs estimated temperature is above a threshold 
$979A: Duration time when the HV Battery tabs estimated temperature is above a threshold 
$979B: HV Battery tabs estimated maximum temperature when the HV Battery tabs estimated temperature is above a threshold 
$979C: HV Battery maximum temperature when the HV Battery tabs estimated temperature is above a threshold 
$979D: HV Battery charge powermap minimal value when the HV Battery tabs estimated temperature is above a threshold 
$979E: HV Battery discharge powermap minimal value when the HV Battery tabs estimated temperature is above a threshold 
$979F: HV Battery regenerative powermap minimal value when the HV Battery tabs estimated temperature is above a threshold 
Note:
1rt project with the strategy is ECHO 40 kWh (ECHO 52 kWh is not concerned)
For project without the strategy, DIDs information shall be equal to 0</t>
  </si>
  <si>
    <t>ECHO 40Kwh</t>
  </si>
  <si>
    <t>DMFI07336 - NF1627</t>
  </si>
  <si>
    <t>#9</t>
  </si>
  <si>
    <t>REQ_ROB-Interop-V2G_001</t>
  </si>
  <si>
    <t>0.0</t>
  </si>
  <si>
    <t>#3</t>
  </si>
  <si>
    <t>REQ_ROB-Interop-DC_001</t>
  </si>
  <si>
    <t>REQ_ROB-Interop-DC_002</t>
  </si>
  <si>
    <t>REQ_ROB-Interop-DC_003</t>
  </si>
  <si>
    <t>REQ_ROB-Interop-DC_004</t>
  </si>
  <si>
    <t>REQ_ROB-Interop-AC_001</t>
  </si>
  <si>
    <t>REQ_ROB-Interop-AC_002</t>
  </si>
  <si>
    <t>REQ_ROB-Interop-AC_003</t>
  </si>
  <si>
    <t>REQ_ROB-Interop-AC_004</t>
  </si>
  <si>
    <t>HEVC</t>
  </si>
  <si>
    <t>INV</t>
  </si>
  <si>
    <t>SW</t>
  </si>
  <si>
    <t>CAL</t>
  </si>
  <si>
    <t>Test1</t>
  </si>
  <si>
    <t>Spec1
Spec2
Spec3</t>
  </si>
  <si>
    <t>Cxx_
Cbx_
Ctp_</t>
  </si>
  <si>
    <t>Spec1
Spec2</t>
  </si>
  <si>
    <t>Cal</t>
  </si>
  <si>
    <t>GENERAL DESCRIPTION</t>
  </si>
  <si>
    <t>PROJET</t>
  </si>
  <si>
    <t>Validation Informations</t>
  </si>
  <si>
    <t>INPUT</t>
  </si>
  <si>
    <t xml:space="preserve">INITIAL </t>
  </si>
  <si>
    <t>VALIDATION</t>
  </si>
  <si>
    <t>TEST REFERENCE</t>
  </si>
  <si>
    <r>
      <t xml:space="preserve">ID of ARKITECT TEST
</t>
    </r>
    <r>
      <rPr>
        <sz val="10"/>
        <color theme="1"/>
        <rFont val="Calibri"/>
        <family val="2"/>
        <scheme val="minor"/>
      </rPr>
      <t>(reference of the test under arKItect)</t>
    </r>
  </si>
  <si>
    <t>Test Name</t>
  </si>
  <si>
    <t>Required for DDMRS</t>
  </si>
  <si>
    <t>LAST UPDATE</t>
  </si>
  <si>
    <t>LOCO HEV</t>
  </si>
  <si>
    <t>LOCO HEV STEP 1 M</t>
  </si>
  <si>
    <t>LOCO PHEV STEP 1 M</t>
  </si>
  <si>
    <t>LOCO PHEV GEN 1</t>
  </si>
  <si>
    <t>X10 Ph2 EUROPE</t>
  </si>
  <si>
    <t>ECHO / 4EVER</t>
  </si>
  <si>
    <t>HCB Ly25+</t>
  </si>
  <si>
    <t>TEST REALISATION DATE</t>
  </si>
  <si>
    <t>NOM Valideur</t>
  </si>
  <si>
    <t>VALIDATION SUPPORT</t>
  </si>
  <si>
    <t>TOOLS NEEDED</t>
  </si>
  <si>
    <t>SPECIFICAL CONFIGURATION</t>
  </si>
  <si>
    <t>TEST TO PLAY</t>
  </si>
  <si>
    <t>INITIAL CONDITION</t>
  </si>
  <si>
    <t>DT</t>
  </si>
  <si>
    <t>STATUS</t>
  </si>
  <si>
    <t>COMMENTS</t>
  </si>
  <si>
    <t>REQUIREMENTS COVERED</t>
  </si>
  <si>
    <t>VAL_ALL_ROBUSTNESS_1.001</t>
  </si>
  <si>
    <t>VAL_ALL_ROBUSTNESS_1
12V battery discharge/shut down</t>
  </si>
  <si>
    <t>Vehicle N°XXX</t>
  </si>
  <si>
    <t>DDT2000
INCA</t>
  </si>
  <si>
    <t>VAL_ALL_ROBUSTNESS_2.001</t>
  </si>
  <si>
    <t>VAL_ALL_ROBUSTNESS_2
Impact of the RTP on DTC</t>
  </si>
  <si>
    <t>INCA
CANALYSER</t>
  </si>
  <si>
    <t>VAL_ALL_ROBUSTNESS_3.001</t>
  </si>
  <si>
    <t>VAL_ALL_ROBUSTNESS_3 Inter-Operability - Charging stations vs Available charge modes</t>
  </si>
  <si>
    <t>VAL_ALL_ROBUSTNESS_4.001</t>
  </si>
  <si>
    <t>VAL_ALL_ROBUSTNESS_4
INVs/BMS Reset</t>
  </si>
  <si>
    <t>VAL_ALL_ROBUSTNESS_5.001</t>
  </si>
  <si>
    <t>VAL_ALL_ROBUSTNESS_5
AC/DC Charge</t>
  </si>
  <si>
    <t>VAL_ALL_ROBUSTNESS_6.001</t>
  </si>
  <si>
    <t>VAL_ALL_ROBUSTNESS_6
Charge AC/DC after powercut</t>
  </si>
  <si>
    <t>VAL_ALL_ROBUSTNESS_7.004</t>
  </si>
  <si>
    <t>VAL_ALL_ROBUSTNESS_7
BLMS</t>
  </si>
  <si>
    <t>VAL_ALL_ROBUSTNESS_8.001</t>
  </si>
  <si>
    <t xml:space="preserve">VAL_ALL_ROBUSTNESS_8 
Showroom Test </t>
  </si>
  <si>
    <t>VAL_ALL_ROBUSTNESS_9.001</t>
  </si>
  <si>
    <t>VAL_ALL_ROBUSTNESS_9
Cell thermal protection strategy EVA</t>
  </si>
  <si>
    <t>x</t>
  </si>
  <si>
    <t>DDT 
Tunecad</t>
  </si>
  <si>
    <t>VAL_ALL_ROBUSTNESS_10.001</t>
  </si>
  <si>
    <t>VAL_ALL_ROBUSTNESS_10</t>
  </si>
  <si>
    <t>1.</t>
  </si>
  <si>
    <t>Target of the test/context</t>
  </si>
  <si>
    <t>System validation for HV  and 48V powernet</t>
  </si>
  <si>
    <t>2.</t>
  </si>
  <si>
    <t>Test Timming</t>
  </si>
  <si>
    <t>XXXX - XXXX</t>
  </si>
  <si>
    <t>3.</t>
  </si>
  <si>
    <t>Reference documents</t>
  </si>
  <si>
    <t>ECU</t>
  </si>
  <si>
    <t>Type</t>
  </si>
  <si>
    <t>File version</t>
  </si>
  <si>
    <t xml:space="preserve">CDC </t>
  </si>
  <si>
    <t>CAN synthesis</t>
  </si>
  <si>
    <t>DICO</t>
  </si>
  <si>
    <t>CAN</t>
  </si>
  <si>
    <t>CANV  (DBC + xls)</t>
  </si>
  <si>
    <t>CAN ETS  (DBC + xls)</t>
  </si>
  <si>
    <t>PEC</t>
  </si>
  <si>
    <t>DCDC</t>
  </si>
  <si>
    <t>Other Documents</t>
  </si>
  <si>
    <t>4.</t>
  </si>
  <si>
    <t>Vehicle identification and configuration</t>
  </si>
  <si>
    <t>Identification</t>
  </si>
  <si>
    <t>Configuration</t>
  </si>
  <si>
    <t>5.</t>
  </si>
  <si>
    <t>Used Equipments</t>
  </si>
  <si>
    <t>-ETAS 690     ( INCA ans CAN monitoring )</t>
  </si>
  <si>
    <t>-VN1610 interface ( Canalyzer )</t>
  </si>
  <si>
    <t>-Cable DERELEK USB DIAG3  (DDT2000)</t>
  </si>
  <si>
    <t>-Gateway CAN</t>
  </si>
  <si>
    <t>Target of the test: 12V Battery Discharge/shut down</t>
  </si>
  <si>
    <t>Result (with screenshot + written details)</t>
  </si>
  <si>
    <t>Note</t>
  </si>
  <si>
    <t>result 1 :</t>
  </si>
  <si>
    <t xml:space="preserve"> Protocol of the test</t>
  </si>
  <si>
    <t>Steps</t>
  </si>
  <si>
    <t>Actions</t>
  </si>
  <si>
    <t>Expected results</t>
  </si>
  <si>
    <t>Signals</t>
  </si>
  <si>
    <t>Part 1</t>
  </si>
  <si>
    <t>Functions rehabilitation after recharge of the battery</t>
  </si>
  <si>
    <t>Initial State</t>
  </si>
  <si>
    <t>Vehicle asleep with a load on 12V battery to discharge it</t>
  </si>
  <si>
    <t>Start the discharge of the battery (partial discharge before the periodic technical wake-up)</t>
  </si>
  <si>
    <t>12VBatteryVoltage &lt; 8V</t>
  </si>
  <si>
    <t>NR</t>
  </si>
  <si>
    <t>Check that no wake up occurs</t>
  </si>
  <si>
    <t xml:space="preserve">If Wakeup, check the DTC </t>
  </si>
  <si>
    <t>1.2</t>
  </si>
  <si>
    <t xml:space="preserve">Recharge the battery </t>
  </si>
  <si>
    <t>Check that all functions are rehabilitated : Wakeup / Traction / Charge ..</t>
  </si>
  <si>
    <t>for traction, we expect Vxx_vs &gt; 0.</t>
  </si>
  <si>
    <t>Check that all DTC passed to historic without any other actions than battery change</t>
  </si>
  <si>
    <t>Vehicle awake with a load on 12V battery to discharge it (same protocol than in PWP but till 12V battery discharge)</t>
  </si>
  <si>
    <t>Check that ther is no side effects : 400V relay closure, noises, ….)</t>
  </si>
  <si>
    <t>1.4</t>
  </si>
  <si>
    <t>1.5</t>
  </si>
  <si>
    <t>Change the RTP frequency at 1h.</t>
  </si>
  <si>
    <t>1.6</t>
  </si>
  <si>
    <t>Start the discharge of the battery (partial discharge with a periodic technical wake-up)</t>
  </si>
  <si>
    <t>1.7</t>
  </si>
  <si>
    <t>Part 2</t>
  </si>
  <si>
    <t>Battery 12V Shut down</t>
  </si>
  <si>
    <t>Vehicle in sleeping phase (no 400V) but awake</t>
  </si>
  <si>
    <t>2.1</t>
  </si>
  <si>
    <t>Switch off the battery 12V, replug it and awake the vehicle</t>
  </si>
  <si>
    <t>Vehicle in ready mode</t>
  </si>
  <si>
    <t>2.2</t>
  </si>
  <si>
    <t>Switch off the battery 12V, asleep the vehicle, replug it and awake the vehicle</t>
  </si>
  <si>
    <t>Part 3</t>
  </si>
  <si>
    <t>Functions rehabilitation after battery change</t>
  </si>
  <si>
    <t>3.1</t>
  </si>
  <si>
    <t>3.2</t>
  </si>
  <si>
    <t>3.3</t>
  </si>
  <si>
    <t>Change the battery</t>
  </si>
  <si>
    <t>Requirement Status</t>
  </si>
  <si>
    <t>Global Conclusion on the test</t>
  </si>
  <si>
    <t>Test #1</t>
  </si>
  <si>
    <t>DRAFT</t>
  </si>
  <si>
    <t>NOK</t>
  </si>
  <si>
    <t>OK</t>
  </si>
  <si>
    <t>Target of the test: Impact of the RTP on DTC</t>
  </si>
  <si>
    <t>RTP : Periodical Technical wakeup</t>
  </si>
  <si>
    <t>Technical wakeup</t>
  </si>
  <si>
    <t>Vehicle awake</t>
  </si>
  <si>
    <t>Save the DTC present before sleeping (best case : no DTC on HV Components "HEVC,DCDC,INVs,BMSs,OBC,HECM, …."</t>
  </si>
  <si>
    <t>Let the vehicle realised a RTP</t>
  </si>
  <si>
    <t>Check that no DTC rises</t>
  </si>
  <si>
    <t>If DTC present, check that all functions are available for criticity of previous step</t>
  </si>
  <si>
    <t>Extrafeeding</t>
  </si>
  <si>
    <t xml:space="preserve">Let the vehicle realised a RTP with extrafeeding </t>
  </si>
  <si>
    <t>Technical wakeup post end of charge</t>
  </si>
  <si>
    <t>Vehicle awake in charge</t>
  </si>
  <si>
    <t>Let the vehicle perform a end of charge</t>
  </si>
  <si>
    <t>Test #2</t>
  </si>
  <si>
    <t>Target of the test: Inter-Operability - Charging stations vs Available charge modes</t>
  </si>
  <si>
    <t>This test is mainly focussed to check the reacitivity on vehicle side, robustness to different types of charging stations and available features of charging/Smart charging. So make sure to prepare the charging station environments before commencing the tests.</t>
  </si>
  <si>
    <t>result 2 :</t>
  </si>
  <si>
    <t>result 3 :</t>
  </si>
  <si>
    <t>These usecases needs a CPLC on PROD environment with PROD V2G and PnC certificates. As well the EVCCID of the CPLC being PAIRED with the SPECIFIC mobilize chargers in order to pass the aggregator authorization. Contact PEV of the project or the PVAL/INFRA team for assistance on this topic.</t>
  </si>
  <si>
    <t>Robustness to V2G ( smart charging ) charging stations</t>
  </si>
  <si>
    <t xml:space="preserve">Vehicle with available production certificates for V2G and PnC features and both the service well activated </t>
  </si>
  <si>
    <t>Program a V2G session for about in 2 hours and as well activate the PnC toggle on the IVI</t>
  </si>
  <si>
    <t>V2G Toggle :
- V2G_ActivationRequest / Vnx_hv_chg_v2g_act_req_stt
- DepartureTime : SC_DepartureTime / Vxx_hv_chg_ivi_dept
- Presoak activation :  SC_PresoakActivationStatus / Vnx_ivi_psoak_act_stt
- SOC Min Limitation : V2X_SOClimitationLevelRequest2 / Vxx_v2x_soc_lim_lvl_cs
- SOC Target : SC_TargetSOC / Vxx_schg_soc_tg
- Vbx_ac_v2g_chg_ned
PnC Toggle :
- Vnx_hv_chg_pnc_act_req_ivi_stt = 'Nnx_hv_chg_pnc_act_req_stt' 
- Vnx_hv_chg_pnc_act_stt = 'Nnx_hv_chg_pnc_act_stt'
- Vnx_hv_chg_pnc_cert_stt</t>
  </si>
  <si>
    <t>Plug on to the vehicle with a Mobilize V2G charging station paired with the current CPLC</t>
  </si>
  <si>
    <t>Vbx_ac_cmbo_chg_plg_pres == TRUE</t>
  </si>
  <si>
    <t>Check that the vehicle establishes a 15118_20 protocol upon a 5% CP detection and the system enters into V2G chargeloop</t>
  </si>
  <si>
    <t>Vxx_ctl_pilt_dyc == 5%
Vxx_ctl_pilt_frq = 1000Hz
Vxx_ctl_pilt_v == 8-9V
Vnx_ac_v2g_plc_hndshk_spv_stt == Nnx_ac_v2g_spv_hndshk_1_stt
Combo_EVchargeHLCRequest_v2 / Vnx_plc_hndshk_plc_req_stt == Nnx_ev_plc_com_set_req_20_stt
EVSESelectedProtocol / Vnx_hv_chg_evse_prl_sel_stt == 0 -&gt; 'Nnx_hv_chg_evse_15118_20_prl_sel_stt'
and then Chargeloop V2G
V2G_ActivationState = Charge Service activated and V2G session ongoing
Vnx_ac_v2g_chg_spv_stt == 6 -&gt; 'Nnx_ac_v2g_chg_spv_bpt_chg_stt'
Combo_EVSEchargeHLCState_v2 / Vnx_dc_cmbo_evse_hlc_stt == 11 -&gt; 'Nnx_dc_cmbo_evse_bpt_stt'</t>
  </si>
  <si>
    <t>Check that the system doesn't tries to establish a handshake request for DC charging</t>
  </si>
  <si>
    <t>Vnx_dc_cmbo_chg_spv_stt == Nnx_dc_cmbo_spv_ini_stt</t>
  </si>
  <si>
    <t>Unplug to stop the session.</t>
  </si>
  <si>
    <t>With the V2G and PnC feature active, on another Mobilize charging station supporting V2G, but not paired up with this EVCCID of the CPLC, plug on to the vehicle.</t>
  </si>
  <si>
    <t>Check that the system does a request for the V2G initially and the its ain't authorized to proceed.
Can be confirmed by no advancement on Handshake lvl2. Simply Handshake phase isn't surpassed.</t>
  </si>
  <si>
    <t>Vnx_ac_v2g_plc_hndshk_spv_stt == Nnx_ac_v2g_spv_hndshk_1_stt
Combo_EVchargeHLCRequest_v2 / Vnx_plc_hndshk_plc_req_stt == Nnx_ev_plc_com_set_req_20_stt
EVSESelectedProtocol / Vnx_hv_chg_evse_prl_sel_stt == 0 -&gt; 'Nnx_hv_chg_evse_15118_20_prl_sel_stt'
then, no authorisation.
Vnx_ac_v2g_plc_hndshk_spv_stt =!= Nnx_ac_v2g_spv_hndshk_2_stt</t>
  </si>
  <si>
    <t>Check that upon a certain delay, the system tends to start an AC basic charge.</t>
  </si>
  <si>
    <t>Vxx_ctl_pilt_dyc == 8% - 97%
Vxx_ctl_pilt_frq = 1000Hz
Vxx_ctl_pilt_v == 8-9V
then AC basic charge
Vnx_ac_bas_chg_spv_stt == Nnx_ac_bas_chg_spv_chg_on_stt
or even the charge system enters a ZA mode if the current is already over the SOC target
Vbx_hv_chg_end == TRUE
Vbx_hv_chg_zer_i_act == TRUE</t>
  </si>
  <si>
    <t>Unplug to stop the charge.</t>
  </si>
  <si>
    <t>Turn OFF the PnC feature with only V2G active, plug on to a Mobilize charger paired with the current CPLC.</t>
  </si>
  <si>
    <t>V2G Toggle :
- V2G_ActivationRequest / Vnx_hv_chg_v2g_act_req_stt
- DepartureTime : SC_DepartureTime / Vxx_hv_chg_ivi_dept
- Presoak activation :  SC_PresoakActivationStatus / Vnx_ivi_psoak_act_stt
- SOC Min Limitation : V2X_SOClimitationLevelRequest2 / Vxx_v2x_soc_lim_lvl_cs
- SOC Target : SC_TargetSOC / Vxx_schg_soc_tg
- Vbx_ac_v2g_chg_ned
PnC Toggle :
- Vnx_hv_chg_pnc_act_req_ivi_stt = 'Nnx_hv_chg_pnc_deact_req_stt' 
- Vnx_hv_chg_pnc_act_stt = 'Nnx_hv_chg_pnc_no_act_stt'
- Vnx_hv_chg_pnc_cert_stt</t>
  </si>
  <si>
    <t>Unplug to stop the Session.</t>
  </si>
  <si>
    <t>1.8</t>
  </si>
  <si>
    <t>With only V2G feature active, plug the vehicle to a Mobilize charging station that isn't paired with the current CPLC.</t>
  </si>
  <si>
    <t>1.9</t>
  </si>
  <si>
    <t>1.10</t>
  </si>
  <si>
    <t>Turn OFF V2G and turn on the PnC toggle, and plug on to the vehicle with a mobilize charger paired with the current CPLC.</t>
  </si>
  <si>
    <t>Check that the system does a request for the 15118_2 and the its ain't authorized to proceed.
Can be confirmed by no advancement on Handshake lvl2. Simply Handshake phase isn't surpassed.</t>
  </si>
  <si>
    <t>Vnx_ac_v2g_plc_hndshk_spv_stt == Nnx_ac_v2g_spv_hndshk_1_stt
Combo_EVchargeHLCRequest_v2 / Vnx_plc_hndshk_plc_req_stt == Nnx_ev_plc_com_set_req_20_stt
EVSESelectedProtocol / Vnx_hv_chg_evse_prl_sel_stt == 0 -&gt; 'Nnx_hv_chg_evse_15118_2_prl_sel_stt'
then, no authorisation.
Vnx_ac_v2g_plc_hndshk_spv_stt =!= Nnx_ac_v2g_spv_hndshk_2_stt</t>
  </si>
  <si>
    <t>1.11</t>
  </si>
  <si>
    <t>1.12</t>
  </si>
  <si>
    <t>Turn OFF both V2G and PnC and plug on to the vehicle with a Mobilize charger paired with the current CPLC.</t>
  </si>
  <si>
    <t>Robustness to DC charging stations [Compatible with PnC]</t>
  </si>
  <si>
    <t>With both V2G and PnC features Toggled ON, plug on to the vehicle with a DC charging Station compatible with PnC on PROD environment</t>
  </si>
  <si>
    <t>Check that the systems requests for a PnC session and its authorised and the charge session is launched. In PnC mode.</t>
  </si>
  <si>
    <t>Combo_EVchargeHLCRequest_v2 / Vnx_plc_hndshk_plc_req_stt == Nnx_ev_plc_com_set_req_20_stt
and then after a timeout,
Combo_EVchargeHLCRequest_v2 / Vnx_plc_hndshk_plc_req_stt == Nnx_ev_plc_com_set_req_2_stt
EVSESelectedProtocol / Vnx_hv_chg_evse_prl_sel_stt == 0 -&gt; 'Nnx_hv_chg_evse_15118_2_prl_sel_stt'
Vnx_hv_chg_pnc_auth_req_stt == 1 -&gt; 'Nnx_hv_chg_pnc_auth_pnc_ses_req_stt'
And PnC Session launched :
Vnx_dc_cmbo_chg_spv_stt == 10 -&gt; 'Nnx_dc_cmbo_spv_chg_mod_stt'
Vnx_hv_chg_pnc_evse_id_mod_stt == 1 -&gt; 'Nnx_hv_chg_pnc_evse_id_mod_pnc_stt'</t>
  </si>
  <si>
    <t>Unplug to stop the Charge session</t>
  </si>
  <si>
    <t>2.3</t>
  </si>
  <si>
    <t>Deactivate PnC Toggle and with only V2G active, plug on to the vehicle with the DC EVSE compatible with PnC</t>
  </si>
  <si>
    <t>Check that the system request for a V2G bi-directional AC charge and without response switches to DC DIN charging and awaits the authorization by badge or by Card</t>
  </si>
  <si>
    <t>Combo_EVchargeHLCRequest_v2 / Vnx_plc_hndshk_plc_req_stt == Nnx_ev_plc_com_set_req_20_stt
EVSESelectedProtocol / Vnx_hv_chg_evse_prl_sel_stt == 0 -&gt; 'Nnx_hv_chg_evse_15118_2_prl_sel_stt'
Vnx_hv_chg_pnc_auth_req_stt == 0 -&gt; 'Nnx_hv_chg_pnc_auth_ext_id_req_stt'
the system awaits auhtorsation by card after handshake phase
Vnx_dc_cmbo_chg_spv_stt == 2 -&gt; 'Nnx_dc_cmbo_spv_hndshk_1_stt'</t>
  </si>
  <si>
    <t>2.4</t>
  </si>
  <si>
    <t>Pass on the RFID card at the EVSE to authorize the charge (payment)</t>
  </si>
  <si>
    <t>Vnx_dc_cmbo_chg_spv_stt == 2 -&gt; 'Nnx_dc_cmbo_spv_hndshk_2_stt'</t>
  </si>
  <si>
    <t>Check that the DC charging session starts on external identification mode, i.e payment done by charge pass or paid by card</t>
  </si>
  <si>
    <t>Vnx_dc_cmbo_chg_spv_stt == 10 -&gt; 'Nnx_dc_cmbo_spv_chg_mod_stt'
Vnx_hv_chg_pnc_evse_id_mod_stt == 0 -&gt; 'Nnx_hv_chg_pnc_evse_id_mod_ext_id_stt'</t>
  </si>
  <si>
    <t>result 4 :</t>
  </si>
  <si>
    <t>result 5 :</t>
  </si>
  <si>
    <t>result 6 :</t>
  </si>
  <si>
    <t>2.5</t>
  </si>
  <si>
    <t>2.6</t>
  </si>
  <si>
    <t>Deactivate V2G and activate only the PnC toggle and plug on to the vehicle with the same EVSE</t>
  </si>
  <si>
    <t>2.7</t>
  </si>
  <si>
    <t>2.8</t>
  </si>
  <si>
    <t>Deactivate both V2G and PnC toggles and plug on to the vehicle with the EVSE compatible with PnC</t>
  </si>
  <si>
    <t>Check that the system doesn't request for a V2G bi-directional AC charge nor PnC and switches to DC DIN charging and awaits the authorization by badge or by Card</t>
  </si>
  <si>
    <t>2.9</t>
  </si>
  <si>
    <t>Vnx_dc_cmbo_chg_spv_stt == 3 -&gt; 'Nnx_dc_cmbo_spv_hndshk_2_stt'</t>
  </si>
  <si>
    <t>Robustness to DC charging stations [Compatible with PnC but with a corrupted TLS certificate]</t>
  </si>
  <si>
    <t>With both V2G and PnC features Toggled ON, plug on to the vehicle with a DC charging Station compatible with PnC but TLS non supportive certificates.</t>
  </si>
  <si>
    <t xml:space="preserve">Check that the system sets up a request for V2G/PnC but since the TLS Comm isn't estblished, only DIN protocol be seen as the response from the EVSE. After a timeout, the communication establishment is interupted. </t>
  </si>
  <si>
    <t>Combo_EVchargeHLCRequest_v2 / Vnx_plc_hndshk_plc_req_stt == Nnx_ev_plc_com_set_req_20_stt
EVSESelectedProtocol / Vnx_hv_chg_evse_prl_sel_stt == 2 -&gt; 'Nnx_hv_chg_evse_din_prl_sel_stt'
and then after a timeout, 
Combo_EVchargeHLCRequest_v2 / Vnx_plc_hndshk_plc_req_stt == 9 -&gt; 'Nnx_ev_plc_stop_req_stt'
so
Vnx_dc_cmbo_chg_spv_stt == 0 -&gt; 'Nnx_dc_cmbo_spv_ini_stt'</t>
  </si>
  <si>
    <t>Check that the CPLC sends in a faultType and that deactivates the PnC request</t>
  </si>
  <si>
    <t>CPLC_FaultType == FaultType 1 [Vnx_cplc_fault_typ_stt == 1 -&gt; 'Nnx_cplc_fault_typ_ctrc_nok_stt']
Vbx_dma_hvchg_pnc_no_req == TRUE
Vnx_hv_chg_pnc_act_stt == 0 -&gt; 'Nnx_hv_chg_pnc_no_act_stt'</t>
  </si>
  <si>
    <t>Check that the client is alerted with a "Non Compatibilty of the EVSE" at the dashboard</t>
  </si>
  <si>
    <t>PnCchargeStationCompatibility == 1 [Not Compatible] 
Vbx_hv_chg_pnc_evse_cmpat_dspl == TRUE</t>
  </si>
  <si>
    <t>Unplug, replug the charger</t>
  </si>
  <si>
    <t xml:space="preserve">Check that the system sets up a request for V2G but since the TLS Comm isn't estblished, only DIN protocol be seen as the response from the EVSE. After a timeout, the EV awaits the badging of the client for autorisation. Payment. </t>
  </si>
  <si>
    <t>Combo_EVchargeHLCRequest_v2 / Vnx_plc_hndshk_plc_req_stt == Nnx_ev_plc_com_set_req_20_stt
EVSESelectedProtocol / Vnx_hv_chg_evse_prl_sel_stt == 2 -&gt; 'Nnx_hv_chg_evse_din_prl_sel_stt'
the system awaits auhtorsation by card after handshake phase
Vnx_dc_cmbo_chg_spv_stt == 2 -&gt; 'Nnx_dc_cmbo_spv_hndshk_1_stt'</t>
  </si>
  <si>
    <t>Check that there is no CPLC FaultType</t>
  </si>
  <si>
    <t>Check that the client isn't alerted with a "Non Compatibilty of the EVSE" at the dashboard</t>
  </si>
  <si>
    <t>PnCchargeStationCompatibility == 0 [No Alert] 
Vbx_hv_chg_pnc_evse_cmpat_dspl == FALSE</t>
  </si>
  <si>
    <t>3.4</t>
  </si>
  <si>
    <t>Stop the charge and unplug</t>
  </si>
  <si>
    <t>3.5</t>
  </si>
  <si>
    <t>Turn OFF PnC and with only V2G toggle active plug on to the vehicle with the EVSE compatible PnC but error upon TLS Certificates</t>
  </si>
  <si>
    <t>3.6</t>
  </si>
  <si>
    <t>3.7</t>
  </si>
  <si>
    <t>3.8</t>
  </si>
  <si>
    <t>3.9</t>
  </si>
  <si>
    <t>Turn OFF V2G and with only PnC toggle active plug on to the vehicle with the EVSE compatible PnC but error upon TLS Certificates</t>
  </si>
  <si>
    <t>3.10</t>
  </si>
  <si>
    <t>3.11</t>
  </si>
  <si>
    <t xml:space="preserve">CPLC_FaultType == NO FaultType  [Vnx_cplc_fault_typ_stt == 0 
</t>
  </si>
  <si>
    <t>result 7 :</t>
  </si>
  <si>
    <t>result 8 :</t>
  </si>
  <si>
    <t>result 9 :</t>
  </si>
  <si>
    <t>3.12</t>
  </si>
  <si>
    <t>3.13</t>
  </si>
  <si>
    <t>Turn OFF both V2G and PnC toggle and plug on to the vehicle with the EVSE compatible PnC but error upon TLS Certificates</t>
  </si>
  <si>
    <t>3.14</t>
  </si>
  <si>
    <t>Part 4</t>
  </si>
  <si>
    <t>Robustness to DC charging stations [Compatible with PnC but with PnC certificates on Preprod or dev]</t>
  </si>
  <si>
    <t>4.1</t>
  </si>
  <si>
    <t>4.2</t>
  </si>
  <si>
    <t>4.3</t>
  </si>
  <si>
    <t>4.4</t>
  </si>
  <si>
    <t>4.5</t>
  </si>
  <si>
    <t>4.6</t>
  </si>
  <si>
    <t>4.7</t>
  </si>
  <si>
    <t>4.8</t>
  </si>
  <si>
    <t>4.9</t>
  </si>
  <si>
    <t>4.10</t>
  </si>
  <si>
    <t>4.11</t>
  </si>
  <si>
    <t>4.12</t>
  </si>
  <si>
    <t>4.13</t>
  </si>
  <si>
    <t>4.14</t>
  </si>
  <si>
    <t>Part 5</t>
  </si>
  <si>
    <t>Robustness to DC charging stations [Non-Compatible with PnC]</t>
  </si>
  <si>
    <t>5.1</t>
  </si>
  <si>
    <t>With both V2G and PnC features Toggled ON, plug on to the vehicle with a DC charging Station non compatible with PnC</t>
  </si>
  <si>
    <t>5.2</t>
  </si>
  <si>
    <t>PnCchargeStationCompatibility == 1 [Not Compatible]
Vbx_hv_chg_pnc_evse_cmpat_dspl == TRUE</t>
  </si>
  <si>
    <t>5.3</t>
  </si>
  <si>
    <t>5.4</t>
  </si>
  <si>
    <t>Turn OFF PnC and with only V2G toggle active plug on to the vehicle with a DC charging Station non compatible with PnC</t>
  </si>
  <si>
    <t>5.5</t>
  </si>
  <si>
    <t>5.6</t>
  </si>
  <si>
    <t>5.7</t>
  </si>
  <si>
    <t>Turn OFF V2G and with only PnC toggle active plug on to the vehicle with a DC charging Station non compatible with PnC</t>
  </si>
  <si>
    <t>5.8</t>
  </si>
  <si>
    <t>5.9</t>
  </si>
  <si>
    <t>5.10</t>
  </si>
  <si>
    <t>Turn OFF both V2G and PnC toggles, plug on to the vehicle with a DC charging Station non compatible with PnC</t>
  </si>
  <si>
    <t xml:space="preserve">Check that the system doesn't sets up a request for V2G but since the TLS Comm isn't estblished, only DIN protocol be seen as the response from the EVSE. After a timeout, the EV awaits the badging of the client for autorisation. Payment. </t>
  </si>
  <si>
    <t>Combo_EVchargeHLCRequest_v2 / Vnx_plc_hndshk_plc_req_stt == Nnx_ev_plc_com_set_req_stt
EVSESelectedProtocol / Vnx_hv_chg_evse_prl_sel_stt == 2 -&gt; 'Nnx_hv_chg_evse_din_prl_sel_stt'
the system awaits auhtorsation by card after handshake phase
Vnx_dc_cmbo_chg_spv_stt == 2 -&gt; 'Nnx_dc_cmbo_spv_hndshk_1_stt'</t>
  </si>
  <si>
    <t>5.11</t>
  </si>
  <si>
    <t>Part 6</t>
  </si>
  <si>
    <t>Robustness to AC charging stations [AC Basic EVSEs]</t>
  </si>
  <si>
    <t>6.1</t>
  </si>
  <si>
    <t>With both V2G and PnC features Toggled ON, plug on to the vehicle with an AC Basic EVSE [ICCPD or a Three phased EVSE]</t>
  </si>
  <si>
    <t>Check that the system tends to start an AC basic charge.</t>
  </si>
  <si>
    <t>Vxx_ctl_pilt_dyc == 8% - 97%
Vxx_ctl_pilt_frq = 1000Hz
Vxx_ctl_pilt_v == 8-9V
then AC basic charge
Vnx_ac_bas_chg_spv_stt == Nnx_ac_bas_chg_spv_chg_on_stt
or even the charge system enters a ZA mode if the current SOC is already over the SOC target
Vbx_hv_chg_end == TRUE
Vbx_hv_chg_zer_i_act == TRUE</t>
  </si>
  <si>
    <t>6.2</t>
  </si>
  <si>
    <t>6.3</t>
  </si>
  <si>
    <t>Turn OFF PnC and with only V2G toggle active plug on to the vehicle with an AC Basic EVSE [ICCPD or a Three phased EVSE]</t>
  </si>
  <si>
    <t>6.4</t>
  </si>
  <si>
    <t>6.5</t>
  </si>
  <si>
    <t>Turn OFF V2G and with only PnC toggle active plug on to the vehicle with an AC Basic EVSE [ICCPD or a Three phased EVSE]</t>
  </si>
  <si>
    <t>6.6</t>
  </si>
  <si>
    <t>6.7</t>
  </si>
  <si>
    <t>Turn OFF both V2G and PnC toggles, plug on to the vehicle with an AC Basic EVSE [ICCPD or a Three phased EVSE]</t>
  </si>
  <si>
    <t>Part 7</t>
  </si>
  <si>
    <t>Robustness to AC charging stations [EVSE Compatible with AC PnC but corrupted certificates Hubject]</t>
  </si>
  <si>
    <t>7.1</t>
  </si>
  <si>
    <t>With both V2G and PnC features Toggled ON, plug on to the vehicle with an EVSE compatible with AC PnC but corrupted certificates</t>
  </si>
  <si>
    <t>7.2</t>
  </si>
  <si>
    <t>7.3</t>
  </si>
  <si>
    <t>Turn OFF PnC and with only V2G toggle active plug on to the vehicle with an EVSE compatible with AC PnC but corrupted certificates</t>
  </si>
  <si>
    <t>7.4</t>
  </si>
  <si>
    <t>7.5</t>
  </si>
  <si>
    <t>Turn OFF V2G and with only PnC toggle active plug on to the vehicle with an EVSE compatible with AC PnC but corrupted certificates</t>
  </si>
  <si>
    <t>7.6</t>
  </si>
  <si>
    <t>7.7</t>
  </si>
  <si>
    <t>Turn OFF both V2G and PnC toggles, plug on to the vehicle with an EVSE compatible with AC PnC but corrupted certificates</t>
  </si>
  <si>
    <t>Part 8</t>
  </si>
  <si>
    <t>Robustness to AC charging stations [An HLC EVSE but non compatible with PnC - HAGER] so no TLS</t>
  </si>
  <si>
    <t>8.1</t>
  </si>
  <si>
    <t xml:space="preserve">With both V2G and PnC features Toggled ON, plug on to the vehicle with an EVSE non-compatible with AC PnC </t>
  </si>
  <si>
    <t>8.2</t>
  </si>
  <si>
    <t>8.3</t>
  </si>
  <si>
    <t>Turn OFF PnC and with only V2G toggle active plug on to the vehicle with an EVSE non-compatible with AC PnC</t>
  </si>
  <si>
    <t>8.4</t>
  </si>
  <si>
    <t>8.5</t>
  </si>
  <si>
    <t>Turn OFF V2G and with only PnC toggle active plug on to the vehicle with an EVSE non-compatible with AC PnC</t>
  </si>
  <si>
    <t>8.6</t>
  </si>
  <si>
    <t>8.7</t>
  </si>
  <si>
    <t>Turn OFF both V2G and PnC toggles, plug on to the vehicle with an EVSE non-compatible with AC PnC</t>
  </si>
  <si>
    <t>Part 9</t>
  </si>
  <si>
    <t>Robustness to AC charging stations [EVSEcompatible with PnC - But faulty TLS certificates] TLS Failure</t>
  </si>
  <si>
    <t>9.1</t>
  </si>
  <si>
    <t>With both V2G and PnC features Toggled ON, plug on to the vehicle with an EVSE compatible with AC PnC but faulty TLS certifcates having a TLS failure</t>
  </si>
  <si>
    <t>9.2</t>
  </si>
  <si>
    <t>9.3</t>
  </si>
  <si>
    <t>Turn OFF PnC and with only V2G toggle active plug on to the vehicle with AC PnC but faulty TLS certifcates having a TLS failure</t>
  </si>
  <si>
    <t>9.4</t>
  </si>
  <si>
    <t>9.5</t>
  </si>
  <si>
    <t>Turn OFF V2G and with only PnC toggle active plug on to the vehicle with AC PnC but faulty TLS certifcates having a TLS failure</t>
  </si>
  <si>
    <t>9.6</t>
  </si>
  <si>
    <t>9.7</t>
  </si>
  <si>
    <t>Turn OFF both V2G and PnC toggles, plug on to the vehicle with AC PnC but faulty TLS certifcates having a TLS failure</t>
  </si>
  <si>
    <t>Test #3</t>
  </si>
  <si>
    <t xml:space="preserve">Target of the test: </t>
  </si>
  <si>
    <t>Part X</t>
  </si>
  <si>
    <t>X.1</t>
  </si>
  <si>
    <t>Test #4</t>
  </si>
  <si>
    <t>Target of the test: AC/DC Charge</t>
  </si>
  <si>
    <t>10 successives charge</t>
  </si>
  <si>
    <t>Vehicle ready to charge in AC</t>
  </si>
  <si>
    <t>Realise 10 AC succesives charge of 5 minutes with sleeping of the vehicle between each charge</t>
  </si>
  <si>
    <t>Check that all the charge are realised &gt; no failure</t>
  </si>
  <si>
    <t>Realise 10 AC succesives charge of 5 minutes with no sleeping of the vehicle between each charge</t>
  </si>
  <si>
    <t>Vehicle ready to charge in DC</t>
  </si>
  <si>
    <t>Realise 10 DC succesives charge of 5 minutes with sleeping of the vehicle between each charge</t>
  </si>
  <si>
    <t>For Vehicle with DC Charge</t>
  </si>
  <si>
    <t>Realise 10 DC succesives charge of 5 minutes with no sleeping of the vehicle between each charge</t>
  </si>
  <si>
    <t>Vehicle ready to charge in AC and DC (EVSE with 2 charge modes)</t>
  </si>
  <si>
    <t>Realise 10 AC/DC alternatively charge of 5 minutes with sleeping of the vehicle between each charge</t>
  </si>
  <si>
    <t>Realise  10 AC/DC alternatively charge of 5 minutes with no sleeping of the vehicle between each charge</t>
  </si>
  <si>
    <r>
      <t xml:space="preserve">DC box relays blocked open </t>
    </r>
    <r>
      <rPr>
        <b/>
        <sz val="12"/>
        <color rgb="FFFF0000"/>
        <rFont val="Calibri"/>
        <family val="2"/>
        <scheme val="minor"/>
      </rPr>
      <t>- Covered in CHG_DC_DYSF test 3 part 1</t>
    </r>
  </si>
  <si>
    <t>BreakoutBox to force relay open and Electrical default inhibated</t>
  </si>
  <si>
    <t>Start a DC Charge</t>
  </si>
  <si>
    <t>Check that the DC charge is stopped and the vehicle go to sleep after that ( Communication failure or Emergency stop from the charging spot send by the CPLC card to the HEVC or HEVC reactivity)</t>
  </si>
  <si>
    <t>Breakoutbox on CP line for PLC and CPL for HEVC</t>
  </si>
  <si>
    <t>Open the CP line only between Inlet and PLC card launch the AC charge</t>
  </si>
  <si>
    <t>Check that the AC charge start</t>
  </si>
  <si>
    <t>Open the CP line only between Inlet and PLC card launch the DC charge</t>
  </si>
  <si>
    <t xml:space="preserve">Check that the DC charge doesn't start, a failure rises and the vehicle can go in sleep mode </t>
  </si>
  <si>
    <t>Close the CP line between Inlet and PLC card.
Open the CP line only between Inlet and HEVC.
launch the AC charge</t>
  </si>
  <si>
    <t>Check that the AC charge doesn't start, a failure rises and the vehicle can go in sleep mode</t>
  </si>
  <si>
    <t>Close the CP line between Inlet and PLC card.
Open the CP line only between Inlet and HEVC.
launch the DC charge</t>
  </si>
  <si>
    <t>Check that the DC charge doesn't start, a failure rises and the vehicle can go in sleep mode</t>
  </si>
  <si>
    <t>Part4</t>
  </si>
  <si>
    <r>
      <t>Vehicle with no AC HLC in front of EVSE with AC HLC &gt;</t>
    </r>
    <r>
      <rPr>
        <b/>
        <sz val="12"/>
        <color rgb="FFFF0000"/>
        <rFont val="Calibri"/>
        <family val="2"/>
        <scheme val="minor"/>
      </rPr>
      <t xml:space="preserve"> Covered by INFRA TEAM VALIDATION</t>
    </r>
  </si>
  <si>
    <t>Try a AC charge</t>
  </si>
  <si>
    <t>Check that the fallback to AC BASIC is ok without any failures and default HMI</t>
  </si>
  <si>
    <r>
      <t xml:space="preserve">UseCase "sleeping" BFB Phase In Fleet (RA02735 : IS128392) </t>
    </r>
    <r>
      <rPr>
        <b/>
        <sz val="12"/>
        <color rgb="FFFF0000"/>
        <rFont val="Calibri"/>
        <family val="2"/>
        <scheme val="minor"/>
      </rPr>
      <t>- Covered in HV_SFTY part 1a</t>
    </r>
  </si>
  <si>
    <t>Ready to charge in AC with IC-CPD</t>
  </si>
  <si>
    <t>Plug the cable only at vehicle side and wait more than 2 minutes</t>
  </si>
  <si>
    <t>For all</t>
  </si>
  <si>
    <t>Check that the charge doesn't start, a failure rises</t>
  </si>
  <si>
    <t>evse_v_no_sig</t>
  </si>
  <si>
    <t>When default present, unlock the plug and let the plug in the inlet. Plug the charge cable on EVSE side.</t>
  </si>
  <si>
    <t xml:space="preserve">Check that the charge start or if it's not the case chaech that the charge doesn't start due to no replug (IS133712) and that the vehicle can go in sleep mode </t>
  </si>
  <si>
    <t>Test #5</t>
  </si>
  <si>
    <t>Target of the test: Charge AC/DC after powercut</t>
  </si>
  <si>
    <t>AC Charge possible after powercut</t>
  </si>
  <si>
    <t>Vehicle at low SOC at 20°C</t>
  </si>
  <si>
    <t>Discharge in real conditions of driving or life on board the HT battery to rise the powercut</t>
  </si>
  <si>
    <t>Powercut level 3 - cf HV_PWP 10</t>
  </si>
  <si>
    <t>Check the battery voltage</t>
  </si>
  <si>
    <t>BMS_HVNetworkVoltage_v2 &gt; 260V</t>
  </si>
  <si>
    <t>Start an AC Charge</t>
  </si>
  <si>
    <t>Check that the charge is possible</t>
  </si>
  <si>
    <t>DC Charge possible after powercut</t>
  </si>
  <si>
    <t>Test #6</t>
  </si>
  <si>
    <t xml:space="preserve">Target of the test: BLMS </t>
  </si>
  <si>
    <t>Vehicle asleep and the vehicle is equiped with MyF2 or further MyFx software</t>
  </si>
  <si>
    <t>Wake up the car with the key and accept to share the information</t>
  </si>
  <si>
    <t>Check that these signals are present on the Vehicle can (PT FD) and the values are ok</t>
  </si>
  <si>
    <t>BMS_HVNetworkVoltage_BLMS = BMS_HVNetworkVoltage_v2 = Vxx_hvbus_v_hvb_mux
ME_InverterHVNetworkVoltage_BLMS = InverterHVNetworkVoltage = Vxx_hvbus_v_inv1_mux
PowerRelayState_BLMS = PowerRelayState = Vnx_hvsys_cnt_hevc_trsm = Closed
DCDCHVNetworkVoltage_EVA = DCDCHVNetworkVoltage_V2 = Vxx_hvbus_v_dcdc_mux
HVbatInstantCurrent_BLMS_v2 = HVBatInstantCurrent_v3 = Vxx_hvb_i_mes_mux
HVIsolationImpedance_BLMS = HVIsolationImpedance_RCY = Vxx_bms2_insr_mes_mux
NumHVbattRelaysOpening_BLMS = Vnx_hv_cnt_ctr = the same value of step 1.1
ME_InverterCurrent_BLMS_v2 = ME_InverterCurrent = Vxx_inv1_i_mes_mux
HSG_InverterCurrent_BLMS_v2 = HSG_InverterCurrent_v2 = Vxx_inv2_i_mes_mux
DCDCCurrentOutput_BLMS = DCDCCurrentOutput = Vxx_prod_dcdc_crt_mux
AllowedBatteryPower_BLMS = Vxx_hvb_avl_dchg_pow_hevc_gw_trsm = AvailablePower_v5
DCDCInputPower_EVA = DCDCInputPower = Vxx_hv_dcdc_pow_mux
BMS_FaultType_BLMS = BMS_FaultType = Vnx_bms1_fault_typ_hevc_mux
HVBatterySOC_BLMS = HVBatterySOC_HV = Vxx_hvb_bsoc_mux
BMS2_FaultType_BLMS = BMS2_FaultType = Vnx_bms2_fault_typ_mux
ME_ElecMachineWorkingMode_BLMS = Vbx_me_work_md_hevc_gw_mux = ElecMAchineWorkingMode
AuxConsumption_LastTrip = Vxx_aux_cum_cons_last_trp_100ms
TotalConsumption_LastTrip = Vxx_cum_cons_last_trp_100ms</t>
  </si>
  <si>
    <t xml:space="preserve">
REQ_SYS_Comm_488
REQ_SYS_Comm_489
REQ_SYS_Comm_490
REQ_SYS_Comm_491
REQ_SYS_Comm_492
REQ_SYS_Comm_493
REQ_SYS_Comm_494
REQ_SYS_Comm_495
REQ_SYS_Comm_496
REQ_SYS_Comm_497
REQ_SYS_Comm_498
REQ_SYS_Comm_499
REQ_SYS_Comm_500
REQ_SYS_Comm_501
REQ_SYS_Comm_502
REQ_SYS_Comm_503
REQ_SYS_Comm_504
REQ_SYS_Comm_505
REQ_SYS_Comm_506
REQ_SYS_Comm_507
REQ_SYS_Comm_508
REQ_SYS_Comm_509
REQ_SYS_Comm_510
REQ_SYS_Comm_511
REQ_SYS_Comm_512
REQ_SYS_Comm_513
REQ_SYS_Comm_514
REQ_SYS_Comm_515
REQ_SYS_Comm_516
REQ_SYS_Comm_517
REQ_SYS_Comm_518
</t>
  </si>
  <si>
    <t>Check that thes informations are uploaded in cloud by over the air and readable by the datascientist (during [8 years and 160kkm]) :</t>
  </si>
  <si>
    <t>HVBatterySOC_HV = HVBatterySOC_BLMS = Vxx_hvb_bsoc_mux
HVBatteryEnergyLevel = Vxx_hvb_soc_mmi_100ms
HVBatteryCoolingLoopTemperature = HVBatteryCoolingLoopTemp = Vxx_hvb_wat_brnc_temp
HVB_CellOverVoltageAlert = HVB_CellOverVoltageAlert_HV = Vbx_bat_ov_v_alert_hevc_gw_mux
HVB_CellUnderVoltageAlert = HVB_CellUnderVoltageAlert_HV = Vbx_bat_ud_v_alert_hevc_gw_mux
AvailableEnergy_HEVC = AvailableEnergy_v2 = Vxx_hvb_avl_dchg_egy_est_mux
HVBatHealth_BLMS = HVBatHealth_v2 = Vxx_hvb_soh_mux_100ms
$9021, $9022, $9023, $9024, $9025, $9026, $9027, $9028, $9029, $902A, $902B, $902C, $902D, $902E, $902F, $9030, $9031, $9032, $9033, $9034, $9035, $9036, $9037, $9038, $9039, $903A, $903B, $903C, $903D, $903E, $903F, $9041, $9042, $9043, $9044, $9045, $9046, $9047, $9048, $9049, $904A, $904B, $904C, $904D, $904E, $904F, $9050, $9051, $9052, $9053, $9054, $9055, $9056, $9057, $9058, $9059, $905A, $905B, $905C, $905D, $905E, $905F, $9061, $9062, $9063, $9064, $9065, $9066, $9067, $9068, $9069, $906A, $906B, $906C, $906D, $906E, $906F, $9070, $9071, $9072, $9073, $9074, $9075, $9076, $9077, $9078, $9079, $907A, $907B, $907C, $907D, $907E, $907F, $9081, $9082, $9083
Ztx_prk_mtrx : Parking history (T°Max/BSOC) ( $91D2) 
Zxx_kwh_chg : Charge Deplating Driving history (T°Max/BSOC) ($91D1)
Zxx_kwh_chg : Cumulated energy in charge ($9243)
Zxx_kwh_dch_cd : Cumulated energy in discharge : CD mode ($9245)
Zxx_Abs_Time_Pack_saved: Absolute Time ($91C1)
Zxx_dist_pack_mem : Battery mileage ($91CF) 
Ztx_BIN : Battery Identification Number ($901B) 
$9208
$920D
$91BB
$91BC
HVBatResistiveStateOfHealth_BLMS = HVBatResistiveStateOfHealth = Vxx_hvb_rstv_soh_hevc_gw_mux
HVBatSerialNumber_BLMS = HVBatSerialNumber = Vnx_hvb_ser_nr_hevc_gw_mux
BMS_CellHighestVoltageID_BLMS = BMS_CellHighestVoltageID = Vxx_bms_h_v_id_hevc_gw_mux
BMS_MaxTempProbeID_BLMS = BMS_MaxTempProbeID = Vxx_bms_max_temp_hevc_gw_mux
BMS_CellLowestVoltageID_BLMS = BMS_CellLowestVoltageID = Vxx_bms_l_v_id_hevc_gw_mux
BMS_MinTempProbeID_BLMS = BMS_MinTempProbeID = Vxx_bms_min_temp_hevc_gw_mux
BusbarUnscrewingAlert = BusbarUnscrewingAlert_HV = 
WarmUpRequest_EVA
TiAlertDisplay_EVA = BMS_TiAlertDisplay = Vbx_fail_dspl_33_act_cont_cs_100ms
BMS2_FaultType_BLMS = BMS2_FaultType = Vnx_bms2_fault_typ_hevc_gw_trsm
BMS_FaultType_BLMS = BMS_FaultType = Vnx_bms1_fault_typ_hevc_gw_trsm
CellHighestVoltage_BLMS = CellHighestVoltage = Vxx_hvbcell_max_v_mes_mux
CellLowestVoltage_BLMS = CellLowestVoltage = Vxx_hvbcell_min_v_mes_mux
HVbatInstantCurrent_BLMS_v2 = HVBatInstantCurrent_v3 = Vxx_hvb_i_mes_mux
HVbatteryTemperature = HVBatteryTemp = Vxx_hvb_temp_mux_100ms
HVBatteryTempMax_BLMS = HVBatteryTempMax = Vxx_hvb_max_temp_mux_100ms
HVBatteryTempMin_BLMS = HVBatteryTempMin = Vxx_hvb_min_temp_mux_100ms
OperatingTypeStatus_BLMS = OperatingTypeStatus = Vnx_bms1_mod_hevc_mux
OperatingTypeStatus_BLMS = OperatingTypeStatus_RCY = Vnx_bms2_mod_mux
BMS_HVNetworkVoltage_BLMS = BMS_HVNetworkVoltage_v2 = Vxx_hvbus_v_hvb_mux
TotalRecovery_LastTrip = Vxx_tot_rcv_cum_cons_last_trp_100ms
HVBatteryPressure_EVA
HeatingGridCurrentRequest_EVA
StateOfCertifiedEnergy
HVB_Cell01Voltage to HVB_Cell96Voltage
Externaltemperature =  Vxx_env_temp_mux
USERSOC = USERSOC_HV = Vxx_hvb_soc_hevc_gw_trsm
CoolingBattery_HVACmode = Vbx_hvb_cool_hvac_mux
InputPower_AC_INV = Vxx_ac_pow_cons_mux
HVInputPowerAvailableFromBattery = Vxx_thrml_cmf_pow_lim_100ms
CumulatedBalancingTime = CumulatedBalancingTime_HV
CumulatedCapacityBalanced = CumulatedCapacityBalanced_HV
PowerRelayState_BLMS = PowerRelayState = Vnx_hvsys_cnt_hevc_trsm
PreConditioningBattery_HVACmode = Vbx_hvb_cond_hvac_mux
PresoakImmediate_HVACmode = Vbx_cab_imd_psoak_hvac_mux
PresoakProg_HVACmode = Vbx_cab_prog_psoak_hvac_mux
DistanceTotalizer = Vxx_vh_tot_dist_mux
TripUnitDistance = Vnx_dist_unit_mux
 VehicleAutonomyZEVdisplay</t>
  </si>
  <si>
    <t>For MyF2</t>
  </si>
  <si>
    <t xml:space="preserve">
REQ_SYS_Comm_519
 REQ_SYS_Comm_520
 REQ_SYS_Comm_521 
REQ_SYS_Comm_522 
 REQ_SYS_Comm_523 
 REQ_SYS_Comm_524
 REQ_SYS_Comm_525 
REQ_SYS_Comm_526 
 REQ_SYS_Comm_527 
 REQ_SYS_Comm_528 
 REQ_SYS_Comm_529
 REQ_SYS_Comm_530 
 REQ_SYS_Comm_531 
REQ_SYS_Comm_532 
 REQ_SYS_Comm_533
 REQ_SYS_Comm_534 
</t>
  </si>
  <si>
    <t>Check that thes informations are uploaded in cloud and readable by the datascientist  :</t>
  </si>
  <si>
    <t>DistanceTotalizer
HVBatResistiveStateOfHealth_BLMS
HVB_OverVoltageAlert
HVB_UnderVoltageAlert
PreConditioningBattery_HVACmode
BusbarUnscrewingAlert
HeatingGridCurrentRequest_Data
TiAlertDisplay_Data
HVBatteryPressure_Data
StateOfCertifiedEnergy_v2
StateOfCertifiedRange_v2
V2X_HVBat_EnergyDurabilityCount
V2G_TotalChargedEnergy_Data
NumACchargeStarts_BLMS
HVBatteryPressure_EVA
V2G_TotalChargedEnergy_EVA
V2G_TotalDischargedEnergy_EVA
V2L_TotalDischargedEnergy_EVA
 HVInputPowerAvailableFromBattery
 WarmUpRequest_EVA
CumulatedBalancingTime
CumulatedCapacityBalanced
HVBatteryCoolingLoopTemperature
VehicleAutonomyZEVdisplay</t>
  </si>
  <si>
    <t xml:space="preserve"> For MyF3</t>
  </si>
  <si>
    <t xml:space="preserve">REQ_SYS_Comm_107378
REQ_SYS_Comm_107379
REQ_SYS_Comm_107380
REQ_SYS_Comm_107381
REQ_SYS_Comm_107382
REQ_SYS_Comm_107383
REQ_SYS_Comm_107385
REQ_SYS_Comm_107386
REQ_SYS_Comm_107387
REQ_SYS_Comm_107388
REQ_SYS_Comm_107389
REQ_SYS_Comm_107390
</t>
  </si>
  <si>
    <t xml:space="preserve">Check that thes informations are uploaded in cloud and readable by the datascientist  </t>
  </si>
  <si>
    <t xml:space="preserve">HVBatHealth_Algo_EVA
HVBatHealth_Model_EVA
Ztx_v2x_mtrx : V2G or V2L mode matrix ($92D2)
NumDCchargRelayOpening_BLMS
Ztx_drv_cs_mtrx : Charge Sustaining Driving history (T°Max/BSOC) ($91FF)
Zxx_kwh_dch_cs : Cumulated energy in discharge : CS mode ($9244)
Zxx_kwh_dch_v2x : SumOfKWhDischargedV2X ($92D3)
DCcharge_NextStationTimeArrival
BatteryWatterTempActivationReq
WaterBatteryTempTarget
SOCPredictedAtQCStation
ERP_ActivationStatus
Zxx_sohe_rsa_sohr : SOHE RSA model last update value ($9295)
Zxx_abs_time_sohr :  Absolute Vehicle Time saved saved at sleeping($9296) 
GassingLevelEstimated = DID 9295
TimeToVentingPredicted = DID 9296
</t>
  </si>
  <si>
    <t xml:space="preserve">MyF4.2 or further MyFx software </t>
  </si>
  <si>
    <t>OperatingTypeStatus_BLMS
NumHVbattRelaysOpening_BLMS
SC_TargetSOC_EVA
ControlPilot_Dutycycle_EVA
DetLogic_maxcurrent_EVA
MainsRMSVoltage_EVA
MainsRMSCurrent_EVA
 ProgrammedChargeStatus_HEVC
ChargeAuthorization_BCM_v2
InstantChargingApparentPower
CustomerDepartureTime_EVA</t>
  </si>
  <si>
    <t>Check that the charge system sends this informations to BLMS function in order to improve knowledge of customer use and charging infrastrutures :</t>
  </si>
  <si>
    <t>DCchargeInletTemp_BLMS
ChargingPlugConnected_v2
ChargingPlugConnected_v2
ChargeSpotPowerLevel
NumDCchargRelayOpening_BLMS
NumDCchargRelayOpenWithCurr_BLMS
Combo_EVSEPresentVoltage
Combo_EVSEPresentCurrent
Combo_EVSEMaximumVoltageLimit
Combo_EVSEMinimumVoltageLimit
Combo_EVSEchargeHLCState
CPLC_CommunicationStatus
CPLC_FaultType
DCCharge_EVTargetCurrent
Combo_EVReady
Combo_EVchargeHLCRequest
Combo_EVErrorCode
Combo_EVSEMaximumPowerLimit_v2
CPLC_RequestedEnergyTransferMode</t>
  </si>
  <si>
    <t xml:space="preserve"> For MyF2</t>
  </si>
  <si>
    <t>Combo_EVSEMaximumCurrentLimit_v2 ( for (sweet 400)
Combo_EVSEMaximumCurrentLimit ( for swett 200) 
OperatingTypeStatus_BLMS
Combo_EVSEPresentCurrent_v2</t>
  </si>
  <si>
    <t>For MyF3</t>
  </si>
  <si>
    <t>REQ_SYS_Peak-Off-Charge-Opt_68</t>
  </si>
  <si>
    <t>EVSEscheduleDefinitionStatus
EVSEscheduleDefNumberSlots
EVSEscheduleForSlotxPower
EVSEscheduleforSlotxRelativeCost
EVSEscheduleforSlotxDuration
EVChargingProfileStatus
EVChargingProfileSlotsNumber
EVchargingProfilePower
EVchargingProfileDuration</t>
  </si>
  <si>
    <t>FOR vh with charge profiles</t>
  </si>
  <si>
    <t xml:space="preserve">REQ_SYS_AC-Charge_329
</t>
  </si>
  <si>
    <t xml:space="preserve">Check that the charge system sends this informations to BLMS function in order to improve knowledge of customer use and charging infrastruture : </t>
  </si>
  <si>
    <t>ACchargeInletTemp_BLMS
ChargingPlugConnected_v2
CHGAvailableChargingPower_BLMS
CHGTemp_BLMS
CHGWaterTemp_BLMS
ChargeSpotPowerLevel
HVbatteryChargeType_v2
NumACchargeStarts_BLMS
CHGMaxACCurrent_BLMS
HVBatterySOC_BLMS
HVBatteryEnergyLevel
UserSOC
ProgrammedChargeStatus
HVBatInstantCurrent_v3
BMS_HVNetworkVoltage_BLMS
ChargingPower_BLMS
ChargingAlert_v2
HVBatStartOfChargeTrigger
ChargeProhibitionByRentalDisplay
ChargingStatusDisplay
NumberOfPhasesUsed_BLMS
ChargeRemainingTimeDisplay_V2
TimeHour
TimeMinute
TimeWeekDay
DistanceTotalizer
CPLC_RequestedEnergyTransferMode
HVChargerStatus</t>
  </si>
  <si>
    <t xml:space="preserve"> For MyF2
</t>
  </si>
  <si>
    <t>OperatingTypeStatus_BLMS
NumHVbattRelaysOpening_BLMS
SC_TargetSOC_EVA
ControlPilot_Dutycycle_EVA
DetLogic_maxcurrent_EVA
MainsRMSVoltage_EVA
MainsRMSCurrent_EVA
ProgrammedChargeStatus_HEVC
ChargeAuthorization_BCM_v2
InstantChargingApparentPower
CustomerDepartureTime_EVA</t>
  </si>
  <si>
    <t xml:space="preserve">
REQ_SYS_V2L_675
REQ_SYS_V2L_676
REQ_SYS_V2L_677
REQ_SYS_V2L_678
REQ_SYS_V2L_679
</t>
  </si>
  <si>
    <t>Check that the charge system  sends this informations to BLMS function in order to improve knowledge of customer :</t>
  </si>
  <si>
    <t xml:space="preserve">V2X_SOClimitationLevelState
V2L_TotalDischargedEnergy_EVA
V2X_HVBat_EnergyDurabilityCounter _EVA.
V2L_InstantPower
V2L_StartStop_Status_EVA
</t>
  </si>
  <si>
    <t>For MyF4.1 and MyF3</t>
  </si>
  <si>
    <t>REQ_SYS_V2G_525
REQ_SYS_V2G_526
REQ_SYS_V2G_527
REQ_SYS_V2G_528
REQ_SYS_V2G_529
REQ_SYS_V2G_530</t>
  </si>
  <si>
    <t>V2G_ActivationState
EVSE_TargetActivePower_v2_EVA
EVSE_TargetActivePower_v2_EVA
EVSE_TargetReactivePower_v2_EVA
EV_PresentActivePower_EVA
V2G_EVmaxDischargePower_v2_EVA
V2G_EVminDischargePower_v2_EVA
V2G_EVSEmaximumDischargePower_v2
V2X_EVSEmaximumChargePower
V2X_HVBat_EnergyDurabilityCounter _EVA
V2X_SOClimitationLevelState
V2G_TotalChargedEnergy_EVA 
V2G_TotalDischargedEnergy_EVA</t>
  </si>
  <si>
    <t>REQ_SYS_Plug-charge_187
REQ_SYS_Plug-charge_188
REQ_SYS_Plug-charge_189
REQ_SYS_Plug-charge_190
REQ_SYS_Plug-charge_191</t>
  </si>
  <si>
    <t>PnCcontractCertifExpiry_Month
PnCcontractCertifExpiry_Day
PnCcontractCertifExpiry_Year
PnCcontractCertifValidity_Month
PnCcontractCertifValidity_Year
PnCchargeStationIdentMode
PnCHEVCauthorizationReq
CertificateInstallationStatus</t>
  </si>
  <si>
    <t>REQ_SYS_combo-Fast-charge_484
REQ_SYS_combo-Fast-charge_485
REQ_SYS_combo-Fast-charge_486</t>
  </si>
  <si>
    <t>EVchargingProfileSlotNumber.
EVchargingProfileStatus.
EVchargingProfileDuration_v2.
EVchargingProfilePower_v2
EVSEscheduleSlotNumber_V2.
EVSEscheduleDuration_V2.
EVSEschedulePowerAllowed_V3.
EVSEscheduleStatus_V2
EVSEscheduleCost_V2.
ChargingStationComType</t>
  </si>
  <si>
    <t>REQ_SYS_Electric_drive_1310
REQ_SYS_Electric_drive_1312</t>
  </si>
  <si>
    <t>ME_TorqueRequest_v2 = ME_TorqueRequest_BLMS
ME_ElecMachineTorque_HV = ME_ElecMachineTorque_BLMS
ME_ElecMachineMaxMotorTorque_v2 = ME_ElecMaxMotorTorque_BLMS
ME_ElecMachineMaxGenTorque = ME_ElecMachineMaxGenTorque_BLMS
ME_SafetyMaxTorque_v2 = ME_SafetyMaxTorque_BLMS
ME_SafetyMinTorque_v2 = ME_SafetyMinTorque_BLMS
ElecMachineSpeed_HV = ElecMachineSpeed_EDR
ME_ControlMode = ME_ControlMode_EVA
ME_ControlModeStatus = ME_ControlModeStatus_EVA
InverterTemp = ME_InverterTempDeg_BLMS
ME_InverterCurrent = ME_InverterCurrent_BLMS_v2
ElecMachineTemp = ME_ElecMachineTempDeg_BLMS
PEBWaterTemp = PEBWaterTemp_BLMS
ETSCoolantFlow = ETSCoolantFlow_EVA
ME_DeactivationRequest = ME_DeactivationRequest_EVA
ME_DeactivationStatus = ME_DeactivationStatus_EVA
ME_InverterFaultType_HV = ME_InverterFaultType_BLMS 
ME_ElecSysFailureDisplay = ME_ElecSysFailureDisplay_EVA
ME_ElecMotorFailureDisplay = ME_ElecMotorFailureDisplay_EVA
HSG_TorqueRequest_v2 = HSG_TorqueRequest_BLMS
HSG_ElecMachineTorque = HSG_ElecMachineTorque_BLMS
HSG_ElecMachineMaxMotorTorque_v3 = HSG_ElecMaxMotorTorque_BLMS
HSG_ElecMachineMaxGenTorque_v3 = HSG_ElecMaxGenTorque_BLMS
HSG_SafetyMaxTorque_v2 = HSG_SafetyMaxTorque_BLMS
HSG_SafetyMinTorque_v2 = HSG_SafetyMinTorque_BLMS
HSG_ElecMachineSpeed = HSG_ElecMachineSpeed_BLMS
HSG_ControlMode = HSG_ControlMode_EVA
HSG_ControlModeStatus = HSG_ControlModeStatus_EVA
HSG_InverterTemp = HSG_InverterTemp_BLMS
HSG_InverterCurrent_v2 = HSG_InverterCurrent_BLMS_v2
HSG_ElecMachineTemp = HSG_ElecMachineTemp_BLMS
PEBWaterTemp = PEBWaterTemp_BLMS
ETSCoolantFlow = ETSCoolantFlow_EVA
HSG_DeactivationRequest = HSG_DeactivationRequest_EVA
HSG_DeactivationStatus = HSG_DeactivationStatus_EVA
HSG_InverterFault_Type = HSG_InverterFault_Type_EVA
HSG_ElecSysFailureDisplay = HSG_ElecSysFailureDisplay_EVA
HSG_ElecMotorFailureDisplay = HSG_ElecMotorFailureDisplay_EVA</t>
  </si>
  <si>
    <t>REQ_SYS_Cooling_Design_2618
REQ_SYS_Cooling_Design_2616
REQ_SYS_Cooling_Design_2614
REQ_SYS_Cooling_Design_2612
REQ_SYS_Cooling_Design_2610
REQ_SYS_Cooling_Design_2608
REQ_SYS_Cooling_Design_2606
REQ_SYS_Cooling_Design_2605
REQ_SYS_Cooling_Design_2603
REQ_SYS_Cooling_Design_2602
REQ_SYS_Cooling_Design_2601
REQ_SYS_Cooling_Design_2599</t>
  </si>
  <si>
    <t>EngCoolPmpSpdMes_EVA 
EngCoolPmpSpdTgt_EVA 
CoolanttankValveReq_EVA
WcacWaterCoolTemp_EVA
WcacWaterCoolPumpMes_EVA
WcacWaterCoolPumpTgt_EVA
EpwtWaterCoolPumpMes_EVA
HeatLoopWaterTemp
EngineFanSpeedRequestPWM_ECM
HeatLoopWaterPumpRequest</t>
  </si>
  <si>
    <t>REQ_SYS_GRA_NEW_394
REQ_SYS_GRA_NEW_395
REQ_SYS_GRA_NEW_396</t>
  </si>
  <si>
    <t>GearboxPositionTarget_EVA
ParkStatus_EVA
SCU_Button1_EVA</t>
  </si>
  <si>
    <t>Start a driving cycle during more than 10 minutes</t>
  </si>
  <si>
    <t>Check that thes informations are uploaded in cloud by over the air and readable by the datascientist (during [8 years and 160kkm])</t>
  </si>
  <si>
    <t xml:space="preserve">
REQ_SYS_Comm_519
 REQ_SYS_Comm_520
 REQ_SYS_Comm_521 
REQ_SYS_Comm_522 
 REQ_SYS_Comm_523 
 REQ_SYS_Comm_524
 REQ_SYS_Comm_525 
REQ_SYS_Comm_526 
 REQ_SYS_Comm_527 
 REQ_SYS_Comm_528 
 REQ_SYS_Comm_529
 REQ_SYS_Comm_530 
 REQ_SYS_Comm_531 
REQ_SYS_Comm_532 
 REQ_SYS_Comm_533
 REQ_SYS_Comm_534 
 </t>
  </si>
  <si>
    <t>MyF3</t>
  </si>
  <si>
    <t>peratingTypeStatus_BLMS
NumHVbattRelaysOpening_BLMS
SC_TargetSOC_EVA
ControlPilot_Dutycycle_EVA
DetLogic_maxcurrent_EVA
MainsRMSVoltage_EVA
MainsRMSCurrent_EVA
 ProgrammedChargeStatus_HEVC
ChargeAuthorization_BCM_v2
InstantChargingApparentPower
CustomerDepartureTime_EVA</t>
  </si>
  <si>
    <t xml:space="preserve">Stop the traction asleep the car </t>
  </si>
  <si>
    <t>Vehicle asleep connecte the AC charging cable</t>
  </si>
  <si>
    <t>For MainsRMSVoltage_EVA and MainsRMSCurrent_EVA, it is OK if the value is the same only in charge RA3750/3751 on HCB</t>
  </si>
  <si>
    <t xml:space="preserve">
REQ_SYS_Comm_107378
REQ_SYS_Comm_107379
REQ_SYS_Comm_107380
REQ_SYS_Comm_107381
REQ_SYS_Comm_107382
REQ_SYS_Comm_107383
REQ_SYS_Comm_107385
REQ_SYS_Comm_107386
REQ_SYS_Comm_107387
REQ_SYS_Comm_107388
REQ_SYS_Comm_107389
REQ_SYS_Comm_107390
</t>
  </si>
  <si>
    <t>Programm a presoaking after the end of charge and  wait the sleeping of the car</t>
  </si>
  <si>
    <t>Keep asleep the car  with the bonnet closed during more of 8 hours for have a extra-feeding sequence</t>
  </si>
  <si>
    <t xml:space="preserve">HVBatHealth_Algo_EVA
HVBatHealth_Model_EVA
Ztx_v2x_mtrx : V2G or V2L mode matrix ($92D2)
NumDCchargRelayOpening_BLMS
Ztx_drv_cs_mtrx : Charge Sustaining Driving history (T°Max/BSOC) ($91FF)
Zxx_kwh_dch_cs : Cumulated energy in discharge : CS mode ($9244)
Zxx_kwh_dch_v2x : SumOfKWhDischargedV2X ($92D3)
DCcharge_NextStationTimeArrival
BatteryWatterTempActivationReq
WaterBatteryTempTarget
SOCPredictedAtQCStation
ERP_ActivationStatus
Zxx_sohe_rsa_sohr : SOHE RSA model last update value ($9295)
Zxx_abs_time_sohr :  Absolute Vehicle Time saved saved at sleeping($9296) 
</t>
  </si>
  <si>
    <t xml:space="preserve">Wake up the car, and disconnect the charging cable, request a cabin conditionning out of traction </t>
  </si>
  <si>
    <t>HVBatterySOC_HV = HVBatterySOC_BLMS = Vxx_hvb_bsoc_mux
HVBatteryEnergyLevel = Vxx_hvb_soc_mmi_100ms
HVBatteryCoolingLoopTemperature = HVBatteryCoolingLoopTemp = Vxx_hvb_wat_brnc_temp
HVB_CellOverVoltageAlert = HVB_CellOverVoltageAlert_HV = Vbx_bat_ov_v_alert_hevc_gw_mux
HVB_CellUnderVoltageAlert = HVB_CellUnderVoltageAlert_HV = Vbx_bat_ud_v_alert_hevc_gw_mux
AvailableEnergy_HEVC = AvailableEnergy_v2 = Vxx_hvb_avl_dchg_egy_est_mux
HVBatHealth_BLMS = HVBatHealth_v2 = Vxx_hvb_soh_mux_100ms
HVBatResistiveStateOfHealth_BLMS = HVBatResistiveStateOfHealth = Vxx_hvb_rstv_soh_hevc_gw_mux
HVBatSerialNumber_BLMS = HVBatSerialNumber = Vnx_hvb_ser_nr_hevc_gw_mux
BMS_CellHighestVoltageID_BLMS = BMS_CellHighestVoltageID = Vxx_bms_h_v_id_hevc_gw_mux
BMS_MaxTempProbeID_BLMS = BMS_MaxTempProbeID = Vxx_bms_max_temp_hevc_gw_mux
BMS_CellLowestVoltageID_BLMS = BMS_CellLowestVoltageID = Vxx_bms_l_v_id_hevc_gw_mux
BMS_MinTempProbeID_BLMS = BMS_MinTempProbeID = Vxx_bms_min_temp_hevc_gw_mux
BusbarUnscrewingAlert = BusbarUnscrewingAlert_HV = 
WarmUpRequest_EVA
TiAlertDisplay_EVA = BMS_TiAlertDisplay = Vbx_fail_dspl_33_act_cont_cs_100ms
BMS2_FaultType_BLMS = BMS2_FaultType = Vnx_bms2_fault_typ_hevc_gw_trsm
BMS_FaultType_BLMS = BMS_FaultType = Vnx_bms1_fault_typ_hevc_gw_trsm
CellHighestVoltage_BLMS = CellHighestVoltage = Vxx_hvbcell_max_v_mes_mux
CellLowestVoltage_BLMS = CellLowestVoltage = Vxx_hvbcell_min_v_mes_mux
HVbatInstantCurrent_BLMS_v2 = HVBatInstantCurrent_v3 = Vxx_hvb_i_mes_mux
HVbatteryTemperature = HVBatteryTemp = Vxx_hvb_temp_mux_100ms
HVBatteryTempMax_BLMS = HVBatteryTempMax = Vxx_hvb_max_temp_mux_100ms
HVBatteryTempMin_BLMS = HVBatteryTempMin = Vxx_hvb_min_temp_mux_100ms
OperatingTypeStatus_BLMS = OperatingTypeStatus = Vnx_bms1_mod_hevc_mux
OperatingTypeStatus_BLMS = OperatingTypeStatus_RCY = Vnx_bms2_mod_mux
BMS_HVNetworkVoltage_BLMS = BMS_HVNetworkVoltage_v2 = Vxx_hvbus_v_hvb_mux
TotalRecovery_LastTrip = Vxx_tot_rcv_cum_cons_last_trp_100ms
HVBatteryPressure_EVA
HeatingGridCurrentRequest_EVA
StateOfCertifiedEnergy
HVB_Cell01Voltage to HVB_Cell96Voltage
Externaltemperature =  Vxx_env_temp_mux
USERSOC = USERSOC_HV = Vxx_hvb_soc_hevc_gw_trsm
CoolingBattery_HVACmode = Vbx_hvb_cool_hvac_mux
InputPower_AC_INV = Vxx_ac_pow_cons_mux
HVInputPowerAvailableFromBattery = Vxx_thrml_cmf_pow_lim_100ms
CumulatedBalancingTime = CumulatedBalancingTime_HV
CumulatedCapacityBalanced = CumulatedCapacityBalanced_HV
PowerRelayState_BLMS = PowerRelayState = Vnx_hvsys_cnt_hevc_trsm
PreConditioningBattery_HVACmode = Vbx_hvb_cond_hvac_mux
PresoakImmediate_HVACmode = Vbx_cab_imd_psoak_hvac_mux
PresoakProg_HVACmode = Vbx_cab_prog_psoak_hvac_mux
DistanceTotalizer = Vxx_vh_tot_dist_mux
TripUnitDistance = Vnx_dist_unit_mux</t>
  </si>
  <si>
    <t>Start a dynamic driving cycle</t>
  </si>
  <si>
    <t>Stop the traction asleep the car, after that connect the DC plug for start the DC charge</t>
  </si>
  <si>
    <t>After 5 minutes of DC charge stop the charge by the EV side (Button in the car)</t>
  </si>
  <si>
    <t xml:space="preserve">HVBatHealth_Algo_EVA
HVBatHealth_Model_EVA
Ztx_v2x_mtrx : V2G or V2L mode matrix ($92D2)
NumDCchargRelayOpening_BLMS
Ztx_drv_cs_mtrx : Charge Sustaining Driving history (T°Max/BSOC) ($91FF)
Zxx_kwh_dch_cs : Cumulated energy in discharge : CS mode ($9244)
Zxx_kwh_dch_v2x : SumOfKWhDischargedV2X ($92D3)
DCcharge_NextStationTimeArrival
BatteryWatterTempActivationReq
WaterBatteryTempTarget
SOCPredictedAtQCStation
ERP_ActivationStatus
Zxx_sohe_rsa_sohr : SOHE RSA model last update value ($9295)
Zxx_abs_time_sohr :  Absolute Vehicle Time saved saved at sleeping($9296) 
</t>
  </si>
  <si>
    <t>unplug / replug the DC charging cable</t>
  </si>
  <si>
    <t>After 5 minutes of DC charge stop the charge by the EVSE side</t>
  </si>
  <si>
    <t xml:space="preserve">
REQ_SYS_Comm_519
 REQ_SYS_Comm_520
 REQ_SYS_Comm_521 
REQ_SYS_Comm_522 
 REQ_SYS_Comm_523 
 REQ_SYS_Comm_524
 REQ_SYS_Comm_525 
REQ_SYS_Comm_526 
 REQ_SYS_Comm_527 
 REQ_SYS_Comm_528 
 REQ_SYS_Comm_529
 REQ_SYS_Comm_530 
 REQ_SYS_Comm_531 
REQ_SYS_Comm_532 
 REQ_SYS_Comm_533
 REQ_SYS_Comm_534 
 </t>
  </si>
  <si>
    <t>1.13</t>
  </si>
  <si>
    <t>unplug the DC plug, asleep the car, replug the DC charging cable</t>
  </si>
  <si>
    <t>1.14</t>
  </si>
  <si>
    <t>After 5 minutes of DC charge remove the park for stop the charge and have a DC relays opening with current.</t>
  </si>
  <si>
    <t>1.15</t>
  </si>
  <si>
    <t>1.16</t>
  </si>
  <si>
    <t xml:space="preserve">Connect the VPC in order to activated à V2Lo </t>
  </si>
  <si>
    <t xml:space="preserve">For vehicle with V2L fuction </t>
  </si>
  <si>
    <t>1.17</t>
  </si>
  <si>
    <t xml:space="preserve">Activate a V2G session </t>
  </si>
  <si>
    <t xml:space="preserve">For vehicle with V2G fuction </t>
  </si>
  <si>
    <t>1.18</t>
  </si>
  <si>
    <t xml:space="preserve">Activate a PnC session </t>
  </si>
  <si>
    <t xml:space="preserve">For vehicle with PnP fuction </t>
  </si>
  <si>
    <r>
      <t>scheduled charge-</t>
    </r>
    <r>
      <rPr>
        <b/>
        <sz val="12"/>
        <color rgb="FFFF0000"/>
        <rFont val="Calibri"/>
        <family val="2"/>
        <scheme val="minor"/>
      </rPr>
      <t xml:space="preserve"> SWEET500 </t>
    </r>
  </si>
  <si>
    <t xml:space="preserve">EVA test for programmed charging is covered in the PVAL_CHG_PROG ( test 9 ) </t>
  </si>
  <si>
    <t xml:space="preserve"> REQ_SYS_Comm_520</t>
  </si>
  <si>
    <t xml:space="preserve"> REQ_SYS_Comm_521 </t>
  </si>
  <si>
    <t xml:space="preserve">REQ_SYS_Comm_522 </t>
  </si>
  <si>
    <t xml:space="preserve"> REQ_SYS_Comm_523 </t>
  </si>
  <si>
    <t xml:space="preserve"> REQ_SYS_Comm_524</t>
  </si>
  <si>
    <t xml:space="preserve"> REQ_SYS_Comm_525 </t>
  </si>
  <si>
    <t xml:space="preserve">REQ_SYS_Comm_526 </t>
  </si>
  <si>
    <t xml:space="preserve"> REQ_SYS_Comm_527 </t>
  </si>
  <si>
    <t xml:space="preserve"> REQ_SYS_Comm_528 </t>
  </si>
  <si>
    <t xml:space="preserve"> REQ_SYS_Comm_529</t>
  </si>
  <si>
    <t xml:space="preserve"> REQ_SYS_Comm_530 </t>
  </si>
  <si>
    <t xml:space="preserve"> REQ_SYS_Comm_531 </t>
  </si>
  <si>
    <t xml:space="preserve">REQ_SYS_Comm_532 </t>
  </si>
  <si>
    <t xml:space="preserve"> REQ_SYS_Comm_533</t>
  </si>
  <si>
    <t xml:space="preserve"> REQ_SYS_Comm_534 </t>
  </si>
  <si>
    <t>Test #7</t>
  </si>
  <si>
    <t xml:space="preserve">Target of the test: Showroom Test </t>
  </si>
  <si>
    <t>Vehicle in showroom with 12V booster</t>
  </si>
  <si>
    <t>Vehicle external light ON and not locked and the USOC &gt; Powcut level 4 thd - cxx_pow_cut_bsoc_thd_4</t>
  </si>
  <si>
    <t>Plug The 12V booster</t>
  </si>
  <si>
    <t>Check that the 12V  Battery is plugged  with Booster</t>
  </si>
  <si>
    <t>BatteryVoltage12V_HV  &gt; 13 V
Vxx_ecu_v  &gt; 13 V</t>
  </si>
  <si>
    <t>Let the vehicle Enter in showroom mode naturally by letting it discharge until powercut level 4 or powersave level 1</t>
  </si>
  <si>
    <t>Cxx_hv_shwr_open_dly = 7200s but you can change to test faster</t>
  </si>
  <si>
    <t>Check that after more thant X (tunable) min, the showroom mode is activated</t>
  </si>
  <si>
    <t>vnx_hvsys_cnt_stt = 0
Vbx_shwr_mod_set_req_100ms =1
Vbx_shwr_mod_req_100ms =1
Vbx_bms_eco_mod_48v_req_100ms =1
vxx_hvbus_v_tria &lt; 60 V</t>
  </si>
  <si>
    <t>Maintain the vehicle in showroom mode during more than 20 min (max 25min)</t>
  </si>
  <si>
    <t>From  Sweet  400 : lights automatically turn off after about 10min. Turn on the light again when the go off to maintain the vehicle awake</t>
  </si>
  <si>
    <t xml:space="preserve">Check that  the Vehicle is awake and out of driving </t>
  </si>
  <si>
    <t>Vnx_vh_hevc_gw_trsm
Vbx_trac_ena = 0</t>
  </si>
  <si>
    <t>Check that the HV Network side voltage is available</t>
  </si>
  <si>
    <t>BMS_HVNetworkVoltage_v2 != 1FFF
vxx_hvbus_v_tria != 1FFF</t>
  </si>
  <si>
    <t xml:space="preserve">Check that there is no after relays voltage coherency failure (if existing) </t>
  </si>
  <si>
    <t>Dem_EventId_hvbus2senv_splaus = 0</t>
  </si>
  <si>
    <t>Check that the HV Battery Current &lt; 5A (tunable)</t>
  </si>
  <si>
    <t>vxx_hvb_i_mes &lt; 5 A</t>
  </si>
  <si>
    <t>Wait 20 min and check that there are no failure raised and the HV CAN stays not activated</t>
  </si>
  <si>
    <t>No failure
HV CAN not activated, no frames on CAN &gt; HEVC in ready to sleep</t>
  </si>
  <si>
    <t>Let the vehicle go to sleep</t>
  </si>
  <si>
    <t>Turn on the lights</t>
  </si>
  <si>
    <t>Check that the showroom mode is still activated</t>
  </si>
  <si>
    <t>Vnx_vh_hevc_gw_trsm = 5
Vnx_star_mod_bcm_mux = 2</t>
  </si>
  <si>
    <t>No failure
HV CAN not activated &gt; HEVC in ready to sleep</t>
  </si>
  <si>
    <t>The reabilitation</t>
  </si>
  <si>
    <t>Vehicle in showroom mode</t>
  </si>
  <si>
    <t>Press the start button to put the APC ON ( turn off the showroom mode)</t>
  </si>
  <si>
    <t xml:space="preserve">Check that the APC is ON </t>
  </si>
  <si>
    <t xml:space="preserve">Vbx_ign_on = 1 </t>
  </si>
  <si>
    <t>Check that there is a powercut level 4 or powercut level 3 or no powercut</t>
  </si>
  <si>
    <t>Vnx_pow_cut_lvl_stt</t>
  </si>
  <si>
    <t>For DT with NF 959</t>
  </si>
  <si>
    <t>Check that there is a powersave level 1 or  powersave level 2 or no powersave</t>
  </si>
  <si>
    <t>powsavelvl2_ifo or powsavelvl1_ifo</t>
  </si>
  <si>
    <t>For DT with powersave</t>
  </si>
  <si>
    <t xml:space="preserve">Check that the showroom mode is no more requested </t>
  </si>
  <si>
    <t>Vbx_shwr_mod_rst_req_100ms = 1</t>
  </si>
  <si>
    <t xml:space="preserve">Check the vehicule is out of  show room mode </t>
  </si>
  <si>
    <t>Vbx_shwr_mod_req_100ms = 0
Vbx_bms_eco_mod_48v_req_100ms = 0</t>
  </si>
  <si>
    <t>Go back to initial state. Request a traction to turn off the showroom mode</t>
  </si>
  <si>
    <t xml:space="preserve">Check that the vehicule is in driving </t>
  </si>
  <si>
    <t>Vnx_vh_hevc_gw_trsm = 7</t>
  </si>
  <si>
    <t>May need another driving request. 
1st request to leave showroom and initialise system</t>
  </si>
  <si>
    <t xml:space="preserve">Check that there is no powercut, powercut level 4 or powercut level 3 </t>
  </si>
  <si>
    <t>Check that there is no powersave, powersave level 1 or powersave level 2</t>
  </si>
  <si>
    <t>Go back to initial state. Plug an AC charge to turn off the showroom</t>
  </si>
  <si>
    <t xml:space="preserve">Check that the HV battery is plugged  with HV  charger </t>
  </si>
  <si>
    <t>Vbx_hv_chg_avl = 1</t>
  </si>
  <si>
    <t>Check that there is a powercut level 4 or powercut level 3 or no powercut to leave showroom</t>
  </si>
  <si>
    <t>Vnx_vh_hevc_gw_trsm = 7
Vnx_star_mod_bcm_mux = 2</t>
  </si>
  <si>
    <t>Check that there is a powersave level 1 or  powersave level 2 or no powercut to leave showroom</t>
  </si>
  <si>
    <t>Send the DID 2E020501 with DDT2000 to open the HV battery relay</t>
  </si>
  <si>
    <t xml:space="preserve">Check that the relay is open </t>
  </si>
  <si>
    <t>vnx_hvsys_cnt_stt = 0</t>
  </si>
  <si>
    <t>Vehicle out of  showroom due to  failure</t>
  </si>
  <si>
    <t>With a CAN bypass, simulated the  BMS_HVNetworkVoltage_v2 signal to unavailable</t>
  </si>
  <si>
    <t>bmshvnetvolt_datanok</t>
  </si>
  <si>
    <t>Let the vehicle Enter in showroom mode by letting it discharge below powercut level 4 or powersave level 1. 
Then wait more than Cxx_hv_shwr_open_dly + 60s</t>
  </si>
  <si>
    <t xml:space="preserve">Check that the vehicle is out of  driving </t>
  </si>
  <si>
    <t>Vnx_vh_hevc_gw_trsm != 7</t>
  </si>
  <si>
    <t xml:space="preserve">Check that the relays are open </t>
  </si>
  <si>
    <t xml:space="preserve">vnx_hvsys_cnt_stt = 0
</t>
  </si>
  <si>
    <t>Check that the HV Network side voltage is  not available</t>
  </si>
  <si>
    <t>BMS_HVNetworkVoltage_v2 = 1FFF
vxx_hvbus_v_tria_mux = 1FFF</t>
  </si>
  <si>
    <t xml:space="preserve">Check that the showroom mode is not requested </t>
  </si>
  <si>
    <t>Stop bypass, request driving mode to close HV relays. 
Leave driving AND bypass the  HVBatInstantCurrent_v3 signal to unavailable</t>
  </si>
  <si>
    <t>hvbinstcrt_datanok</t>
  </si>
  <si>
    <t>Let the vehicle enter in showroom mode by letting it discharge below powercut level 4 or powersave level 1 and wait more than Cxx_hv_shwr_open_dly + 60s</t>
  </si>
  <si>
    <t>Check that the HV Battery Current is not available</t>
  </si>
  <si>
    <t>HVBatInstantCurrent_v3 = 7FFF
Vxx_hvb_i_mes_mux = 7FFF</t>
  </si>
  <si>
    <t>Stop bypass, request driving mode to close HV relays. 
Leave driving AND create a relays voltage coherency failure (deviation between the DCDC voltage and the electric machine is more than 20V)</t>
  </si>
  <si>
    <t xml:space="preserve">3.4  NA if the failure hvbus2senv_splaus is inhibited by project. Check with PEV if inhibition is requested </t>
  </si>
  <si>
    <t xml:space="preserve">Check that the vehicle is out of driving </t>
  </si>
  <si>
    <t xml:space="preserve">Check that there is an after relays voltage coherency failure (if existing) </t>
  </si>
  <si>
    <t>Dem_EventId_hvbus2senv_splaus = 1</t>
  </si>
  <si>
    <t>Stop bypass and rehabilitate the vehicle with DDT if necessary. 
Let the vehicle enter in showroom mode</t>
  </si>
  <si>
    <t>Once in showroom mode, with a breakoutbox, create an open circuit on relay P2</t>
  </si>
  <si>
    <t>Project without NF1313</t>
  </si>
  <si>
    <t>Check that no HMI is displayed</t>
  </si>
  <si>
    <t>HEV_ElecMotorFailureDisplay = 0</t>
  </si>
  <si>
    <t>Stop the failure, with a breakoutbox, create an scg on relay P2</t>
  </si>
  <si>
    <t>HEV_ElecSysFailureDisplay = 0
HybridStartFailureAlert = 0
HEV_ElecMotorFailureDisplay = 0
HEV_ChargeFailureDisplay = 0
CHGAlertSportCharge = 0</t>
  </si>
  <si>
    <t>Stop the failure, with a breakoutbox, create an scg or an open circuit plug motor command</t>
  </si>
  <si>
    <t>HEVC : B Q2(-) &amp; B Q3(+)</t>
  </si>
  <si>
    <t xml:space="preserve">Stop the failure, with a breakoutbox, create an electrical failure on HV sensor for DC charge </t>
  </si>
  <si>
    <t>HEVC : pin C.G2(P). pin C.E3 (N). pin A.G4 (GND)</t>
  </si>
  <si>
    <t>For project with DC charge</t>
  </si>
  <si>
    <t>Vehicle in showroom with 12V No booster</t>
  </si>
  <si>
    <t>Vehicle external light ON and  not locked and  HV Battery Empty HMI ON</t>
  </si>
  <si>
    <t>Unplug The 12V no booster</t>
  </si>
  <si>
    <t xml:space="preserve">Check that the booster  is unplugged  </t>
  </si>
  <si>
    <t xml:space="preserve">BatteryVoltage12V_HV  &lt; 13 V
Vxx_ecu_v  &lt; 13 V
</t>
  </si>
  <si>
    <t>Let the powercutlevel 4 raise</t>
  </si>
  <si>
    <t>BMS_HVNetworkVoltage_v2 != 1FFF
vxx_hvbus_v_tria_mux != 1FFF</t>
  </si>
  <si>
    <t xml:space="preserve">Check that if the HV Network side voltage &lt; 60V (tunable) </t>
  </si>
  <si>
    <t>vxx_hvbus_v_tria &lt; 60 V</t>
  </si>
  <si>
    <t>Wait 20 min after Opening the relays</t>
  </si>
  <si>
    <t xml:space="preserve">Check the vehicule enter in show room mode </t>
  </si>
  <si>
    <t>Vbx_shwr_mod_req_100ms =1
Vbx_bms_eco_mod_48v_req_100ms =1</t>
  </si>
  <si>
    <t xml:space="preserve">Check that the showroom mode is requested </t>
  </si>
  <si>
    <t xml:space="preserve">Vbx_shwr_mod_set_req_100ms =1
</t>
  </si>
  <si>
    <t>Check that after 20 min of opening , there are no failure raised and the HV CAN is not activated</t>
  </si>
  <si>
    <t>No failure
HV CAN not activated</t>
  </si>
  <si>
    <t xml:space="preserve">NOTE : The 12V battery have to be replaced if the voltage goes  under 8V </t>
  </si>
  <si>
    <r>
      <t xml:space="preserve">LOB request after ECO Mode activation - </t>
    </r>
    <r>
      <rPr>
        <b/>
        <sz val="12"/>
        <color rgb="FFFF0000"/>
        <rFont val="Calibri"/>
        <family val="2"/>
        <scheme val="minor"/>
      </rPr>
      <t>(powercut3 for vehicle wit NF959)</t>
    </r>
  </si>
  <si>
    <t>Vehicle external light ON and  not locked and the USOC &gt; 10%</t>
  </si>
  <si>
    <t xml:space="preserve">Check that the showroom modeis requested </t>
  </si>
  <si>
    <t>With a CAN bypass, generate a powercut Level 3 or a powersave level 2 : simulate an AvailablePower below 10kW</t>
  </si>
  <si>
    <t>Check that the powercut 3 is present, no HMI is diplayed and the vehicle is still in showroom mode</t>
  </si>
  <si>
    <t>Vnx_pow_cut_lvl_stt = 3</t>
  </si>
  <si>
    <t xml:space="preserve">Press the start button to put the APC ON </t>
  </si>
  <si>
    <t xml:space="preserve">Check that vehicle exits showroom mode </t>
  </si>
  <si>
    <t>Vbx_shwr_mod_rst_req_100ms = 1
Vbx_shwr_mod_req_100ms = 0
Vbx_bms_eco_mod_48v_req_100ms = 0</t>
  </si>
  <si>
    <t>LOB request after ECO Mode activation (powercut 1/powersave 4 active)</t>
  </si>
  <si>
    <t>With a CAN bypass, generate a powercut Level 1 or a powersave level 4 : a BSOC = 0% and CellLowestVoltage &lt; 2V</t>
  </si>
  <si>
    <t>Check that the powercut 1 is present, no HMI is diplayed and the vehicle is still in showroom mode</t>
  </si>
  <si>
    <t>Vnx_pow_cut_lvl_stt =1</t>
  </si>
  <si>
    <t>Check that the powersave 4 is present, no HMI is diplayed and the vehicle is still in showroom mode</t>
  </si>
  <si>
    <t>Dem_EventId_powsavelvl4_ifo</t>
  </si>
  <si>
    <t>Check the vehicule stills in  show room mode due to the criticity of the powercut (Critical)</t>
  </si>
  <si>
    <t>Test #8</t>
  </si>
  <si>
    <t>Target of the test: Cell thermal protection strategy EVA</t>
  </si>
  <si>
    <t>This strategie is introduce by the NF 1627the first projet with it is ECHO with 40kwh battery</t>
  </si>
  <si>
    <r>
      <t xml:space="preserve">Cell thermal propagation strategy EVA </t>
    </r>
    <r>
      <rPr>
        <b/>
        <sz val="12"/>
        <color rgb="FFFF0000"/>
        <rFont val="Calibri"/>
        <family val="2"/>
        <scheme val="minor"/>
      </rPr>
      <t>for Vehicle without the NF 1625</t>
    </r>
  </si>
  <si>
    <t>vehicle asleep with high external temperature</t>
  </si>
  <si>
    <t xml:space="preserve">Wake up the vehicle </t>
  </si>
  <si>
    <t>check with DDT that all the values of the DIDs about the HV batteryTabs derating are at 0 in the BMS side</t>
  </si>
  <si>
    <t>$9799: HV Battery Mode when the HV Battery tabs estimated temperature is above a threshold =&gt; Ztx_bms_mod_stt = 0
$979A: Duration time when the HV Battery tabs estimated temperature is above a threshold =&gt; Ztx_cell_tab_ovh_dur = 0
$979B: HV Battery tabs estimated maximum temperature when the HV Battery tabs estimated temperature is above a threshold =&gt; Ztx_max_cell_tab_temp_est = 0
$979C: HV Battery maximum temperature when the HV Battery tabs estimated temperature is above a threshold =&gt; Ztx_max_temp_max = 0
$979D: HV Battery charge powermap minimal value when the HV Battery tabs estimated temperature is above a threshold =&gt; Ztx_min_chg_pw = 0
$979E: HV Battery discharge powermap minimal value when the HV Battery tabs estimated temperature is above a threshold =&gt; Ztx_min_dchg_pw_ingtrm= 0
$979F: HV Battery regenerative powermap minimal value when the HV Battery tabs estimated temperature is above a threshold =&gt; Ztx_min_rgn_pw_ingtrm=0</t>
  </si>
  <si>
    <t>Start a dynamic driving and 
activate the cabin thermal comfort during 30 minutes</t>
  </si>
  <si>
    <t>Launch immediately after a DC charge with max power until 80%</t>
  </si>
  <si>
    <t xml:space="preserve">Asleep the car and wait 5 minute in sleeping. After that wake up the car </t>
  </si>
  <si>
    <r>
      <t xml:space="preserve">Cell thermal propagation strategy EVA during driving </t>
    </r>
    <r>
      <rPr>
        <b/>
        <sz val="12"/>
        <color rgb="FFFF0000"/>
        <rFont val="Calibri"/>
        <family val="2"/>
        <scheme val="minor"/>
      </rPr>
      <t>for Vehicle with the NF 1625</t>
    </r>
  </si>
  <si>
    <t>check with DDT all the values of the DIDs about the HV batteryTabs derating  in the BMS side</t>
  </si>
  <si>
    <t>$9799: HV Battery Mode when the HV Battery tabs estimated temperature is above a threshold =&gt; Ztx_bms_mod_stt 
$979A: Duration time when the HV Battery tabs estimated temperature is above a threshold =&gt; Ztx_cell_tab_ovh_dur 
$979B: HV Battery tabs estimated maximum temperature when the HV Battery tabs estimated temperature is above a threshold =&gt; Ztx_max_cell_tab_temp_est 
$979C: HV Battery maximum temperature when the HV Battery tabs estimated temperature is above a threshold =&gt; Ztx_max_temp_max 
$979D: HV Battery charge powermap minimal value when the HV Battery tabs estimated temperature is above a threshold =&gt; Ztx_min_chg_pw 
$979E: HV Battery discharge powermap minimal value when the HV Battery tabs estimated temperature is above a threshold =&gt; Ztx_min_dchg_pw_ingtrm
$979F: HV Battery regenerative powermap minimal value when the HV Battery tabs estimated temperature is above a threshold =&gt; Ztx_min_rgn_pw_ingtrm</t>
  </si>
  <si>
    <t>Start a dynamic driving and 
activate the cabin thermal comfort during 30 minutes for have the estimed tabs temperature (Wxx_cell_tab_temp_est) over the max threshold ( Cxx_cell_tab_ovh_thrs_max)</t>
  </si>
  <si>
    <t>If you can't get the estimed tabs temperature over the the max threshold you can modify this calibration : Cxx_cell_tab_heat_gen ( if you increase it, normally the estimated tempearture will be increased)</t>
  </si>
  <si>
    <t>check with tunecad that the cell over heating detection is ON when the temperature is over the threshold
check that the informations concerning the Cell overheating detection are good</t>
  </si>
  <si>
    <t>When wxx_cell_tab_temp_est &gt; Cxx_cell_tab_ovh_thrs_max 
Wbx_cell_tab_ovh =1
Wxx_cell_tab_ovh_dur = time when  wxx_cell_tab_temp_est &gt; Cxx_cell_tab_ovh_thrs_max 
Wbx_cell_tab_ovh_end =1 at the moment when wxx_cell_tab_temp_est decrease under Cxx_cell_tab_ovh_thrs_max 
Wxx_max_cell_tab_temp_est
Wxx_max_batt_temp 
Wxx_min_dchg_pw_ingtrm
Wxx_min_rgn_pw_ingtrm
Wxx_min_chg_pw</t>
  </si>
  <si>
    <t>check with DDT that all the values of the DIDs about the HV batteryTabs derating  in the BMS side are ok with datas recorded</t>
  </si>
  <si>
    <t>check that there is no DTC with DDT</t>
  </si>
  <si>
    <t>Repeat the test for have the estimed tabs temperature (Wxx_cell_tab_temp_est) over the max threshold ( Cxx_cell_tab_ovh_thrs_max) 11 or more times</t>
  </si>
  <si>
    <t>check with DDT all the values of the DIDs about the HV batteryTabs derating  in the BMS side are the same as before the sleeping</t>
  </si>
  <si>
    <t>Start a DC charge with the maximum power for have the estimed tabs temperature (Wxx_cell_tab_temp_est) over the max threshold ( Cxx_cell_tab_ovh_thrs_max)</t>
  </si>
  <si>
    <t>Test #9</t>
  </si>
  <si>
    <t>Test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</si>
</sst>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2" x14ac:knownFonts="1">
    <font>
      <sz val="11"/>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22"/>
      <color theme="1"/>
      <name val="Calibri"/>
      <family val="2"/>
      <charset val="238"/>
      <scheme val="minor"/>
    </font>
    <font>
      <sz val="24"/>
      <color theme="1"/>
      <name val="Calibri"/>
      <family val="2"/>
      <charset val="238"/>
      <scheme val="minor"/>
    </font>
    <font>
      <sz val="18"/>
      <color theme="1"/>
      <name val="Calibri"/>
      <family val="2"/>
      <charset val="238"/>
      <scheme val="minor"/>
    </font>
    <font>
      <sz val="18"/>
      <color rgb="FF0070C0"/>
      <name val="Calibri"/>
      <family val="2"/>
      <charset val="238"/>
      <scheme val="minor"/>
    </font>
    <font>
      <sz val="16"/>
      <color rgb="FF0070C0"/>
      <name val="Calibri"/>
      <family val="2"/>
      <charset val="238"/>
      <scheme val="minor"/>
    </font>
    <font>
      <sz val="11"/>
      <color rgb="FF5B9BD5"/>
      <name val="Calibri"/>
      <family val="2"/>
      <scheme val="minor"/>
    </font>
    <font>
      <sz val="14"/>
      <color rgb="FF0070C0"/>
      <name val="Calibri"/>
      <family val="2"/>
      <charset val="238"/>
      <scheme val="minor"/>
    </font>
    <font>
      <b/>
      <sz val="22"/>
      <color theme="1"/>
      <name val="Calibri"/>
      <family val="2"/>
      <scheme val="minor"/>
    </font>
    <font>
      <b/>
      <sz val="16"/>
      <color theme="1"/>
      <name val="Calibri"/>
      <family val="2"/>
      <scheme val="minor"/>
    </font>
    <font>
      <sz val="10"/>
      <name val="Arial"/>
      <family val="2"/>
    </font>
    <font>
      <sz val="11"/>
      <color rgb="FF00B0F0"/>
      <name val="Calibri"/>
      <family val="2"/>
      <charset val="238"/>
      <scheme val="minor"/>
    </font>
    <font>
      <b/>
      <sz val="10"/>
      <color theme="1"/>
      <name val="Calibri"/>
      <family val="2"/>
      <scheme val="minor"/>
    </font>
    <font>
      <b/>
      <sz val="10"/>
      <name val="Calibri"/>
      <family val="2"/>
      <scheme val="minor"/>
    </font>
    <font>
      <sz val="10"/>
      <color theme="1"/>
      <name val="Calibri"/>
      <family val="2"/>
      <scheme val="minor"/>
    </font>
    <font>
      <b/>
      <sz val="18"/>
      <color theme="1"/>
      <name val="Calibri"/>
      <family val="2"/>
      <scheme val="minor"/>
    </font>
    <font>
      <b/>
      <u/>
      <sz val="18"/>
      <color theme="1"/>
      <name val="Calibri"/>
      <family val="2"/>
      <scheme val="minor"/>
    </font>
    <font>
      <sz val="12"/>
      <color theme="1"/>
      <name val="Calibri"/>
      <family val="2"/>
      <charset val="238"/>
      <scheme val="minor"/>
    </font>
    <font>
      <b/>
      <sz val="12"/>
      <name val="Calibri"/>
      <family val="2"/>
      <scheme val="minor"/>
    </font>
    <font>
      <sz val="12"/>
      <color theme="1"/>
      <name val="Calibri"/>
      <family val="2"/>
      <scheme val="minor"/>
    </font>
    <font>
      <sz val="11"/>
      <name val="Calibri"/>
      <family val="2"/>
      <scheme val="minor"/>
    </font>
    <font>
      <sz val="11"/>
      <color theme="0" tint="-0.499984740745262"/>
      <name val="Calibri"/>
      <family val="2"/>
      <scheme val="minor"/>
    </font>
    <font>
      <b/>
      <sz val="10"/>
      <name val="Arial"/>
      <family val="2"/>
    </font>
    <font>
      <b/>
      <sz val="11"/>
      <name val="Calibri"/>
      <family val="2"/>
      <scheme val="minor"/>
    </font>
    <font>
      <sz val="11"/>
      <color theme="0" tint="-0.14999847407452621"/>
      <name val="Calibri"/>
      <family val="2"/>
      <scheme val="minor"/>
    </font>
    <font>
      <sz val="24"/>
      <name val="Calibri"/>
      <family val="2"/>
      <scheme val="minor"/>
    </font>
    <font>
      <sz val="11"/>
      <color theme="4" tint="0.79998168889431442"/>
      <name val="Calibri"/>
      <family val="2"/>
      <scheme val="minor"/>
    </font>
    <font>
      <sz val="11"/>
      <color theme="5"/>
      <name val="Calibri"/>
      <family val="2"/>
      <scheme val="minor"/>
    </font>
    <font>
      <b/>
      <sz val="16"/>
      <color rgb="FFFF0000"/>
      <name val="Calibri"/>
      <family val="2"/>
      <scheme val="minor"/>
    </font>
    <font>
      <b/>
      <sz val="11"/>
      <color theme="4"/>
      <name val="Calibri"/>
      <family val="2"/>
      <scheme val="minor"/>
    </font>
    <font>
      <sz val="11"/>
      <color theme="4" tint="-0.249977111117893"/>
      <name val="Calibri"/>
      <family val="2"/>
      <scheme val="minor"/>
    </font>
    <font>
      <b/>
      <sz val="11"/>
      <color rgb="FFFF0000"/>
      <name val="Calibri"/>
      <family val="2"/>
      <scheme val="minor"/>
    </font>
    <font>
      <u/>
      <sz val="11"/>
      <color theme="10"/>
      <name val="Calibri"/>
      <family val="2"/>
      <charset val="238"/>
      <scheme val="minor"/>
    </font>
    <font>
      <sz val="8"/>
      <name val="Calibri"/>
      <family val="2"/>
      <charset val="238"/>
      <scheme val="minor"/>
    </font>
    <font>
      <sz val="26"/>
      <color theme="1"/>
      <name val="Calibri"/>
      <family val="2"/>
      <charset val="238"/>
      <scheme val="minor"/>
    </font>
    <font>
      <sz val="24"/>
      <color rgb="FFFFC000"/>
      <name val="Calibri"/>
      <family val="2"/>
      <charset val="238"/>
      <scheme val="minor"/>
    </font>
    <font>
      <sz val="18"/>
      <color rgb="FFFFC000"/>
      <name val="Calibri"/>
      <family val="2"/>
      <charset val="238"/>
      <scheme val="minor"/>
    </font>
    <font>
      <sz val="11"/>
      <color rgb="FFFFC000"/>
      <name val="Calibri"/>
      <family val="2"/>
      <charset val="238"/>
      <scheme val="minor"/>
    </font>
    <font>
      <sz val="18"/>
      <name val="Calibri"/>
      <family val="2"/>
      <charset val="238"/>
      <scheme val="minor"/>
    </font>
    <font>
      <sz val="11"/>
      <color rgb="FFFF0000"/>
      <name val="Calibri"/>
      <family val="2"/>
      <charset val="238"/>
      <scheme val="minor"/>
    </font>
    <font>
      <b/>
      <sz val="12"/>
      <color theme="0"/>
      <name val="Calibri"/>
      <family val="2"/>
      <scheme val="minor"/>
    </font>
    <font>
      <b/>
      <sz val="12"/>
      <color rgb="FFFF0000"/>
      <name val="Calibri"/>
      <family val="2"/>
      <scheme val="minor"/>
    </font>
    <font>
      <b/>
      <sz val="11"/>
      <color theme="5" tint="-0.499984740745262"/>
      <name val="Calibri"/>
      <family val="2"/>
      <scheme val="minor"/>
    </font>
    <font>
      <sz val="11"/>
      <color rgb="FF000000"/>
      <name val="Calibri"/>
      <family val="2"/>
      <scheme val="minor"/>
    </font>
    <font>
      <sz val="11"/>
      <color rgb="FF808080"/>
      <name val="Calibri"/>
      <family val="2"/>
      <scheme val="minor"/>
    </font>
    <font>
      <sz val="11"/>
      <color rgb="FF6D6D6D"/>
      <name val="Calibri"/>
      <family val="2"/>
      <scheme val="minor"/>
    </font>
    <font>
      <b/>
      <sz val="11"/>
      <color rgb="FFC00000"/>
      <name val="Calibri"/>
      <family val="2"/>
      <scheme val="minor"/>
    </font>
    <font>
      <b/>
      <sz val="10"/>
      <color theme="1" tint="4.9989318521683403E-2"/>
      <name val="Arial"/>
      <family val="2"/>
    </font>
    <font>
      <sz val="11"/>
      <color theme="1" tint="4.9989318521683403E-2"/>
      <name val="Calibri"/>
      <family val="2"/>
      <charset val="238"/>
      <scheme val="minor"/>
    </font>
    <font>
      <sz val="11"/>
      <color theme="1" tint="4.9989318521683403E-2"/>
      <name val="Calibri"/>
      <family val="2"/>
      <scheme val="minor"/>
    </font>
    <font>
      <strike/>
      <sz val="11"/>
      <color theme="1" tint="4.9989318521683403E-2"/>
      <name val="Calibri"/>
      <family val="2"/>
      <scheme val="minor"/>
    </font>
    <font>
      <b/>
      <sz val="11"/>
      <color theme="1" tint="4.9989318521683403E-2"/>
      <name val="Calibri"/>
      <family val="2"/>
      <scheme val="minor"/>
    </font>
    <font>
      <b/>
      <sz val="10"/>
      <color rgb="FF000000"/>
      <name val="Calibri"/>
      <family val="2"/>
    </font>
    <font>
      <sz val="11"/>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FF66"/>
        <bgColor indexed="64"/>
      </patternFill>
    </fill>
    <fill>
      <patternFill patternType="solid">
        <fgColor rgb="FF00B050"/>
        <bgColor indexed="64"/>
      </patternFill>
    </fill>
    <fill>
      <patternFill patternType="solid">
        <fgColor theme="4"/>
        <bgColor indexed="64"/>
      </patternFill>
    </fill>
    <fill>
      <patternFill patternType="solid">
        <fgColor rgb="FFFFCC66"/>
        <bgColor indexed="64"/>
      </patternFill>
    </fill>
    <fill>
      <patternFill patternType="solid">
        <fgColor indexed="43"/>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7"/>
        <bgColor indexed="64"/>
      </patternFill>
    </fill>
    <fill>
      <patternFill patternType="solid">
        <fgColor theme="1"/>
        <bgColor indexed="64"/>
      </patternFill>
    </fill>
    <fill>
      <patternFill patternType="solid">
        <fgColor rgb="FFFFFF00"/>
        <bgColor rgb="FF000000"/>
      </patternFill>
    </fill>
    <fill>
      <patternFill patternType="solid">
        <fgColor theme="9"/>
        <bgColor indexed="64"/>
      </patternFill>
    </fill>
    <fill>
      <patternFill patternType="solid">
        <fgColor rgb="FFFF0000"/>
        <bgColor indexed="64"/>
      </patternFill>
    </fill>
    <fill>
      <patternFill patternType="solid">
        <fgColor rgb="FFF2F2F2"/>
        <bgColor indexed="64"/>
      </patternFill>
    </fill>
    <fill>
      <patternFill patternType="solid">
        <fgColor theme="2"/>
        <bgColor indexed="64"/>
      </patternFill>
    </fill>
  </fills>
  <borders count="66">
    <border>
      <left/>
      <right/>
      <top/>
      <bottom/>
      <diagonal/>
    </border>
    <border>
      <left/>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top/>
      <bottom/>
      <diagonal/>
    </border>
    <border>
      <left/>
      <right style="thin">
        <color indexed="64"/>
      </right>
      <top/>
      <bottom/>
      <diagonal/>
    </border>
    <border>
      <left/>
      <right/>
      <top/>
      <bottom style="double">
        <color indexed="64"/>
      </bottom>
      <diagonal/>
    </border>
    <border>
      <left/>
      <right/>
      <top style="double">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diagonal/>
    </border>
    <border>
      <left style="thin">
        <color indexed="64"/>
      </left>
      <right/>
      <top style="medium">
        <color indexed="64"/>
      </top>
      <bottom style="thin">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style="medium">
        <color indexed="64"/>
      </right>
      <top style="thin">
        <color indexed="64"/>
      </top>
      <bottom/>
      <diagonal/>
    </border>
    <border>
      <left style="medium">
        <color indexed="64"/>
      </left>
      <right/>
      <top style="double">
        <color indexed="64"/>
      </top>
      <bottom/>
      <diagonal/>
    </border>
    <border>
      <left/>
      <right style="medium">
        <color indexed="64"/>
      </right>
      <top style="double">
        <color indexed="64"/>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rgb="FFA3A3A3"/>
      </left>
      <right/>
      <top style="medium">
        <color rgb="FFA3A3A3"/>
      </top>
      <bottom style="medium">
        <color rgb="FFA3A3A3"/>
      </bottom>
      <diagonal/>
    </border>
    <border>
      <left style="medium">
        <color rgb="FFA3A3A3"/>
      </left>
      <right/>
      <top style="medium">
        <color rgb="FFA3A3A3"/>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s>
  <cellStyleXfs count="10">
    <xf numFmtId="0" fontId="0" fillId="0" borderId="0"/>
    <xf numFmtId="0" fontId="7" fillId="0" borderId="0"/>
    <xf numFmtId="0" fontId="18" fillId="0" borderId="0"/>
    <xf numFmtId="0" fontId="6" fillId="0" borderId="0"/>
    <xf numFmtId="0" fontId="5" fillId="0" borderId="0"/>
    <xf numFmtId="0" fontId="5" fillId="0" borderId="0"/>
    <xf numFmtId="0" fontId="40" fillId="0" borderId="0" applyNumberFormat="0" applyFill="0" applyBorder="0" applyAlignment="0" applyProtection="0"/>
    <xf numFmtId="0" fontId="4" fillId="0" borderId="0"/>
    <xf numFmtId="0" fontId="3" fillId="0" borderId="0"/>
    <xf numFmtId="0" fontId="2" fillId="0" borderId="0"/>
  </cellStyleXfs>
  <cellXfs count="472">
    <xf numFmtId="0" fontId="0" fillId="0" borderId="0" xfId="0"/>
    <xf numFmtId="0" fontId="0" fillId="0" borderId="4" xfId="0" applyBorder="1"/>
    <xf numFmtId="0" fontId="0" fillId="0" borderId="5" xfId="0" applyBorder="1"/>
    <xf numFmtId="0" fontId="9" fillId="0" borderId="0" xfId="0" applyFont="1"/>
    <xf numFmtId="0" fontId="9" fillId="0" borderId="4" xfId="0" applyFont="1" applyBorder="1"/>
    <xf numFmtId="0" fontId="11" fillId="0" borderId="4" xfId="0" applyFont="1" applyBorder="1"/>
    <xf numFmtId="14" fontId="13" fillId="0" borderId="0" xfId="0" applyNumberFormat="1" applyFont="1"/>
    <xf numFmtId="0" fontId="0" fillId="0" borderId="8" xfId="0" applyBorder="1"/>
    <xf numFmtId="0" fontId="0" fillId="0" borderId="9" xfId="0" applyBorder="1"/>
    <xf numFmtId="0" fontId="14" fillId="0" borderId="0" xfId="0" applyFont="1"/>
    <xf numFmtId="0" fontId="15" fillId="0" borderId="0" xfId="0" applyFont="1"/>
    <xf numFmtId="0" fontId="16" fillId="0" borderId="0" xfId="0" applyFont="1"/>
    <xf numFmtId="0" fontId="19" fillId="0" borderId="0" xfId="0" applyFont="1"/>
    <xf numFmtId="0" fontId="8" fillId="0" borderId="0" xfId="0" applyFont="1"/>
    <xf numFmtId="0" fontId="15" fillId="0" borderId="23" xfId="0" applyFont="1" applyBorder="1"/>
    <xf numFmtId="0" fontId="15" fillId="0" borderId="26" xfId="0" applyFont="1" applyBorder="1"/>
    <xf numFmtId="0" fontId="15" fillId="0" borderId="28" xfId="0" applyFont="1" applyBorder="1"/>
    <xf numFmtId="0" fontId="8" fillId="0" borderId="29" xfId="0" applyFont="1" applyBorder="1"/>
    <xf numFmtId="0" fontId="8" fillId="0" borderId="30" xfId="0" applyFont="1" applyBorder="1"/>
    <xf numFmtId="0" fontId="8" fillId="0" borderId="31" xfId="0" applyFont="1" applyBorder="1"/>
    <xf numFmtId="0" fontId="15" fillId="0" borderId="21" xfId="0" applyFont="1" applyBorder="1"/>
    <xf numFmtId="0" fontId="15" fillId="0" borderId="31" xfId="0" applyFont="1" applyBorder="1"/>
    <xf numFmtId="0" fontId="20" fillId="0" borderId="0" xfId="1" applyFont="1" applyAlignment="1">
      <alignment horizontal="center" vertical="center" wrapText="1"/>
    </xf>
    <xf numFmtId="0" fontId="20" fillId="0" borderId="37" xfId="1" applyFont="1" applyBorder="1" applyAlignment="1">
      <alignment horizontal="center" vertical="center" wrapText="1"/>
    </xf>
    <xf numFmtId="0" fontId="22" fillId="0" borderId="0" xfId="1" applyFont="1" applyAlignment="1">
      <alignment horizontal="center" vertical="center" wrapText="1"/>
    </xf>
    <xf numFmtId="0" fontId="22" fillId="0" borderId="18" xfId="1" applyFont="1" applyBorder="1" applyAlignment="1">
      <alignment horizontal="center" vertical="center" wrapText="1"/>
    </xf>
    <xf numFmtId="0" fontId="22" fillId="0" borderId="23" xfId="1" applyFont="1" applyBorder="1" applyAlignment="1">
      <alignment horizontal="center" vertical="center" wrapText="1"/>
    </xf>
    <xf numFmtId="0" fontId="22" fillId="0" borderId="22" xfId="1" applyFont="1" applyBorder="1" applyAlignment="1">
      <alignment horizontal="center" vertical="center" wrapText="1"/>
    </xf>
    <xf numFmtId="0" fontId="27" fillId="0" borderId="18" xfId="0" applyFont="1" applyBorder="1" applyAlignment="1">
      <alignment horizontal="center" vertical="center" wrapText="1"/>
    </xf>
    <xf numFmtId="0" fontId="27" fillId="0" borderId="0" xfId="1" applyFont="1" applyAlignment="1">
      <alignment horizontal="center" vertical="center" wrapText="1"/>
    </xf>
    <xf numFmtId="0" fontId="9" fillId="0" borderId="10" xfId="0" applyFont="1" applyBorder="1" applyAlignment="1">
      <alignment vertical="center"/>
    </xf>
    <xf numFmtId="0" fontId="25" fillId="0" borderId="22" xfId="0" applyFont="1" applyBorder="1" applyAlignment="1">
      <alignment vertical="top"/>
    </xf>
    <xf numFmtId="14" fontId="25" fillId="0" borderId="18" xfId="0" applyNumberFormat="1" applyFont="1" applyBorder="1" applyAlignment="1">
      <alignment horizontal="left" vertical="top"/>
    </xf>
    <xf numFmtId="0" fontId="0" fillId="0" borderId="0" xfId="0" applyAlignment="1">
      <alignment vertical="center"/>
    </xf>
    <xf numFmtId="0" fontId="0" fillId="0" borderId="18" xfId="0" applyBorder="1" applyAlignment="1">
      <alignment horizontal="center" vertical="center"/>
    </xf>
    <xf numFmtId="0" fontId="22" fillId="0" borderId="39" xfId="1" applyFont="1" applyBorder="1" applyAlignment="1">
      <alignment horizontal="center" vertical="center" wrapText="1"/>
    </xf>
    <xf numFmtId="0" fontId="25" fillId="0" borderId="22" xfId="0" applyFont="1" applyBorder="1" applyAlignment="1">
      <alignment vertical="center"/>
    </xf>
    <xf numFmtId="14" fontId="25" fillId="0" borderId="18" xfId="0" applyNumberFormat="1" applyFont="1" applyBorder="1" applyAlignment="1">
      <alignment horizontal="left" vertical="center"/>
    </xf>
    <xf numFmtId="15" fontId="22" fillId="0" borderId="22" xfId="1" applyNumberFormat="1" applyFont="1" applyBorder="1" applyAlignment="1">
      <alignment horizontal="center" vertical="center" wrapText="1"/>
    </xf>
    <xf numFmtId="15" fontId="22" fillId="0" borderId="18" xfId="1" applyNumberFormat="1" applyFont="1" applyBorder="1" applyAlignment="1">
      <alignment horizontal="center" vertical="center" wrapText="1"/>
    </xf>
    <xf numFmtId="15" fontId="22" fillId="0" borderId="23" xfId="1" applyNumberFormat="1" applyFont="1" applyBorder="1" applyAlignment="1">
      <alignment horizontal="center" vertical="center" wrapText="1"/>
    </xf>
    <xf numFmtId="0" fontId="0" fillId="0" borderId="18" xfId="0" applyBorder="1" applyAlignment="1">
      <alignment vertical="center"/>
    </xf>
    <xf numFmtId="0" fontId="0" fillId="0" borderId="18" xfId="0" applyBorder="1" applyAlignment="1">
      <alignment horizontal="center" vertical="center" wrapText="1"/>
    </xf>
    <xf numFmtId="0" fontId="0" fillId="0" borderId="18" xfId="0" applyBorder="1" applyAlignment="1">
      <alignment horizontal="center"/>
    </xf>
    <xf numFmtId="0" fontId="0" fillId="0" borderId="0" xfId="0" applyAlignment="1">
      <alignment horizontal="center" vertical="center"/>
    </xf>
    <xf numFmtId="0" fontId="25" fillId="0" borderId="18" xfId="0" applyFont="1" applyBorder="1" applyAlignment="1">
      <alignment vertical="center"/>
    </xf>
    <xf numFmtId="0" fontId="22" fillId="0" borderId="18" xfId="7" applyFont="1" applyBorder="1" applyAlignment="1">
      <alignment horizontal="center" vertical="center" wrapText="1"/>
    </xf>
    <xf numFmtId="0" fontId="20" fillId="0" borderId="18" xfId="1" applyFont="1" applyBorder="1" applyAlignment="1">
      <alignment horizontal="center" vertical="center" wrapText="1"/>
    </xf>
    <xf numFmtId="0" fontId="20" fillId="0" borderId="18" xfId="7" applyFont="1" applyBorder="1" applyAlignment="1">
      <alignment horizontal="center" vertical="center" wrapText="1"/>
    </xf>
    <xf numFmtId="0" fontId="20" fillId="0" borderId="22" xfId="1" applyFont="1" applyBorder="1" applyAlignment="1">
      <alignment horizontal="center" vertical="center" wrapText="1"/>
    </xf>
    <xf numFmtId="0" fontId="20" fillId="0" borderId="23" xfId="1" applyFont="1" applyBorder="1" applyAlignment="1">
      <alignment horizontal="center" vertical="center" wrapText="1"/>
    </xf>
    <xf numFmtId="0" fontId="21" fillId="3" borderId="22" xfId="1" applyFont="1" applyFill="1" applyBorder="1" applyAlignment="1">
      <alignment horizontal="center" vertical="center" wrapText="1"/>
    </xf>
    <xf numFmtId="0" fontId="20" fillId="0" borderId="41" xfId="1" applyFont="1" applyBorder="1" applyAlignment="1">
      <alignment horizontal="center" vertical="center" wrapText="1"/>
    </xf>
    <xf numFmtId="0" fontId="21" fillId="0" borderId="18" xfId="1" applyFont="1" applyBorder="1" applyAlignment="1">
      <alignment horizontal="center" vertical="center" wrapText="1"/>
    </xf>
    <xf numFmtId="0" fontId="27" fillId="0" borderId="18" xfId="0" quotePrefix="1" applyFont="1" applyBorder="1" applyAlignment="1">
      <alignment horizontal="center" vertical="center" wrapText="1"/>
    </xf>
    <xf numFmtId="0" fontId="40" fillId="0" borderId="18" xfId="6" applyBorder="1" applyAlignment="1">
      <alignment horizontal="center" vertical="center" wrapText="1"/>
    </xf>
    <xf numFmtId="0" fontId="0" fillId="0" borderId="13" xfId="0" applyBorder="1"/>
    <xf numFmtId="0" fontId="43" fillId="0" borderId="13" xfId="0" applyFont="1" applyBorder="1"/>
    <xf numFmtId="0" fontId="44" fillId="0" borderId="13" xfId="0" applyFont="1" applyBorder="1"/>
    <xf numFmtId="0" fontId="45" fillId="0" borderId="13" xfId="0" applyFont="1" applyBorder="1"/>
    <xf numFmtId="0" fontId="43" fillId="0" borderId="4" xfId="0" applyFont="1" applyBorder="1"/>
    <xf numFmtId="0" fontId="44" fillId="0" borderId="4" xfId="0" applyFont="1" applyBorder="1"/>
    <xf numFmtId="0" fontId="20" fillId="0" borderId="35" xfId="1" applyFont="1" applyBorder="1" applyAlignment="1">
      <alignment horizontal="center" vertical="center" wrapText="1"/>
    </xf>
    <xf numFmtId="0" fontId="22" fillId="0" borderId="36" xfId="1" applyFont="1" applyBorder="1" applyAlignment="1">
      <alignment horizontal="center" vertical="center" wrapText="1"/>
    </xf>
    <xf numFmtId="0" fontId="22" fillId="0" borderId="50" xfId="1" applyFont="1" applyBorder="1" applyAlignment="1">
      <alignment horizontal="center" vertical="center" wrapText="1"/>
    </xf>
    <xf numFmtId="0" fontId="27" fillId="0" borderId="35" xfId="0" applyFont="1" applyBorder="1" applyAlignment="1">
      <alignment horizontal="center" vertical="center" wrapText="1"/>
    </xf>
    <xf numFmtId="0" fontId="27" fillId="0" borderId="37" xfId="0" applyFont="1" applyBorder="1" applyAlignment="1">
      <alignment horizontal="center" vertical="center" wrapText="1"/>
    </xf>
    <xf numFmtId="0" fontId="27" fillId="0" borderId="41" xfId="0" applyFont="1" applyBorder="1" applyAlignment="1">
      <alignment horizontal="center" vertical="center" wrapText="1"/>
    </xf>
    <xf numFmtId="0" fontId="27" fillId="0" borderId="46" xfId="0" applyFont="1" applyBorder="1" applyAlignment="1">
      <alignment horizontal="center" vertical="center" wrapText="1"/>
    </xf>
    <xf numFmtId="0" fontId="0" fillId="0" borderId="10" xfId="0" applyBorder="1"/>
    <xf numFmtId="0" fontId="0" fillId="0" borderId="11" xfId="0" applyBorder="1"/>
    <xf numFmtId="0" fontId="0" fillId="0" borderId="12" xfId="0" applyBorder="1"/>
    <xf numFmtId="0" fontId="44" fillId="0" borderId="0" xfId="0" applyFont="1"/>
    <xf numFmtId="0" fontId="0" fillId="0" borderId="14" xfId="0" applyBorder="1"/>
    <xf numFmtId="0" fontId="45" fillId="0" borderId="0" xfId="0" applyFont="1"/>
    <xf numFmtId="0" fontId="46" fillId="0" borderId="0" xfId="0" applyFont="1"/>
    <xf numFmtId="0" fontId="12" fillId="0" borderId="0" xfId="0" applyFont="1"/>
    <xf numFmtId="0" fontId="0" fillId="0" borderId="15" xfId="0" applyBorder="1"/>
    <xf numFmtId="0" fontId="0" fillId="0" borderId="1" xfId="0" applyBorder="1"/>
    <xf numFmtId="0" fontId="12" fillId="0" borderId="1" xfId="0" applyFont="1" applyBorder="1"/>
    <xf numFmtId="0" fontId="0" fillId="0" borderId="3" xfId="0" applyBorder="1"/>
    <xf numFmtId="14" fontId="22" fillId="0" borderId="41" xfId="1" applyNumberFormat="1" applyFont="1" applyBorder="1" applyAlignment="1">
      <alignment horizontal="center" vertical="center" wrapText="1"/>
    </xf>
    <xf numFmtId="0" fontId="34" fillId="3" borderId="0" xfId="8" applyFont="1" applyFill="1" applyAlignment="1">
      <alignment horizontal="center" vertical="center"/>
    </xf>
    <xf numFmtId="0" fontId="3" fillId="3" borderId="0" xfId="8" applyFill="1" applyAlignment="1">
      <alignment horizontal="center" vertical="center"/>
    </xf>
    <xf numFmtId="0" fontId="3" fillId="0" borderId="0" xfId="8" applyAlignment="1">
      <alignment vertical="center"/>
    </xf>
    <xf numFmtId="0" fontId="36" fillId="13" borderId="33" xfId="8" applyFont="1" applyFill="1" applyBorder="1" applyAlignment="1">
      <alignment horizontal="center" vertical="center" wrapText="1"/>
    </xf>
    <xf numFmtId="0" fontId="35" fillId="3" borderId="0" xfId="8" applyFont="1" applyFill="1" applyAlignment="1">
      <alignment horizontal="center" vertical="center"/>
    </xf>
    <xf numFmtId="0" fontId="34" fillId="3" borderId="0" xfId="8" applyFont="1" applyFill="1" applyAlignment="1">
      <alignment vertical="center"/>
    </xf>
    <xf numFmtId="0" fontId="3" fillId="3" borderId="0" xfId="8" applyFill="1" applyAlignment="1">
      <alignment vertical="center"/>
    </xf>
    <xf numFmtId="0" fontId="31" fillId="11" borderId="22" xfId="8" applyFont="1" applyFill="1" applyBorder="1" applyAlignment="1">
      <alignment horizontal="center" vertical="center" wrapText="1"/>
    </xf>
    <xf numFmtId="0" fontId="31" fillId="11" borderId="18" xfId="8" applyFont="1" applyFill="1" applyBorder="1" applyAlignment="1">
      <alignment vertical="center" wrapText="1"/>
    </xf>
    <xf numFmtId="0" fontId="31" fillId="11" borderId="23" xfId="8" applyFont="1" applyFill="1" applyBorder="1" applyAlignment="1">
      <alignment vertical="center" wrapText="1"/>
    </xf>
    <xf numFmtId="0" fontId="48" fillId="14" borderId="22" xfId="8" applyFont="1" applyFill="1" applyBorder="1" applyAlignment="1">
      <alignment horizontal="center" vertical="center" wrapText="1"/>
    </xf>
    <xf numFmtId="0" fontId="27" fillId="3" borderId="0" xfId="8" applyFont="1" applyFill="1" applyAlignment="1">
      <alignment horizontal="center" vertical="center"/>
    </xf>
    <xf numFmtId="0" fontId="27" fillId="0" borderId="0" xfId="8" applyFont="1" applyAlignment="1">
      <alignment vertical="center"/>
    </xf>
    <xf numFmtId="0" fontId="37" fillId="12" borderId="22" xfId="8" applyFont="1" applyFill="1" applyBorder="1" applyAlignment="1">
      <alignment horizontal="center" vertical="center" wrapText="1"/>
    </xf>
    <xf numFmtId="0" fontId="31" fillId="5" borderId="22" xfId="8" applyFont="1" applyFill="1" applyBorder="1" applyAlignment="1">
      <alignment horizontal="center" vertical="center" wrapText="1"/>
    </xf>
    <xf numFmtId="0" fontId="31" fillId="5" borderId="18" xfId="8" applyFont="1" applyFill="1" applyBorder="1" applyAlignment="1">
      <alignment vertical="center" wrapText="1"/>
    </xf>
    <xf numFmtId="0" fontId="35" fillId="5" borderId="18" xfId="8" applyFont="1" applyFill="1" applyBorder="1" applyAlignment="1">
      <alignment vertical="center" wrapText="1"/>
    </xf>
    <xf numFmtId="0" fontId="35" fillId="5" borderId="18" xfId="8" applyFont="1" applyFill="1" applyBorder="1" applyAlignment="1">
      <alignment horizontal="center" vertical="center" wrapText="1"/>
    </xf>
    <xf numFmtId="0" fontId="28" fillId="5" borderId="23" xfId="8" applyFont="1" applyFill="1" applyBorder="1" applyAlignment="1">
      <alignment vertical="center" wrapText="1"/>
    </xf>
    <xf numFmtId="0" fontId="29" fillId="2" borderId="22" xfId="8" applyFont="1" applyFill="1" applyBorder="1" applyAlignment="1">
      <alignment horizontal="center" vertical="center" wrapText="1"/>
    </xf>
    <xf numFmtId="0" fontId="38" fillId="0" borderId="18" xfId="8" applyFont="1" applyBorder="1" applyAlignment="1">
      <alignment vertical="center" wrapText="1"/>
    </xf>
    <xf numFmtId="0" fontId="35" fillId="2" borderId="18" xfId="8" applyFont="1" applyFill="1" applyBorder="1" applyAlignment="1">
      <alignment vertical="center" wrapText="1"/>
    </xf>
    <xf numFmtId="0" fontId="39" fillId="2" borderId="23" xfId="8" applyFont="1" applyFill="1" applyBorder="1" applyAlignment="1">
      <alignment horizontal="center" vertical="center" wrapText="1"/>
    </xf>
    <xf numFmtId="0" fontId="32" fillId="3" borderId="0" xfId="8" applyFont="1" applyFill="1" applyAlignment="1">
      <alignment vertical="center"/>
    </xf>
    <xf numFmtId="0" fontId="29" fillId="2" borderId="24" xfId="8" applyFont="1" applyFill="1" applyBorder="1" applyAlignment="1">
      <alignment horizontal="center" vertical="center" wrapText="1"/>
    </xf>
    <xf numFmtId="0" fontId="28" fillId="2" borderId="25" xfId="8" applyFont="1" applyFill="1" applyBorder="1" applyAlignment="1">
      <alignment horizontal="center" vertical="center" wrapText="1"/>
    </xf>
    <xf numFmtId="0" fontId="38" fillId="0" borderId="25" xfId="8" applyFont="1" applyBorder="1" applyAlignment="1">
      <alignment vertical="center" wrapText="1"/>
    </xf>
    <xf numFmtId="0" fontId="35" fillId="2" borderId="25" xfId="8" applyFont="1" applyFill="1" applyBorder="1" applyAlignment="1">
      <alignment vertical="center" wrapText="1"/>
    </xf>
    <xf numFmtId="0" fontId="39" fillId="2" borderId="26" xfId="8" applyFont="1" applyFill="1" applyBorder="1" applyAlignment="1">
      <alignment horizontal="center" vertical="center" wrapText="1"/>
    </xf>
    <xf numFmtId="0" fontId="35" fillId="3" borderId="0" xfId="8" applyFont="1" applyFill="1" applyAlignment="1">
      <alignment vertical="center"/>
    </xf>
    <xf numFmtId="0" fontId="3" fillId="12" borderId="34" xfId="8" applyFill="1" applyBorder="1" applyAlignment="1">
      <alignment horizontal="left" vertical="center"/>
    </xf>
    <xf numFmtId="0" fontId="3" fillId="12" borderId="22" xfId="8" applyFill="1" applyBorder="1" applyAlignment="1">
      <alignment horizontal="left" vertical="center"/>
    </xf>
    <xf numFmtId="0" fontId="3" fillId="12" borderId="24" xfId="8" applyFill="1" applyBorder="1" applyAlignment="1">
      <alignment horizontal="left" vertical="center"/>
    </xf>
    <xf numFmtId="0" fontId="3" fillId="3" borderId="0" xfId="8" applyFill="1" applyAlignment="1">
      <alignment horizontal="left" vertical="center"/>
    </xf>
    <xf numFmtId="0" fontId="28" fillId="3" borderId="0" xfId="8" applyFont="1" applyFill="1" applyAlignment="1">
      <alignment horizontal="center" vertical="center" wrapText="1"/>
    </xf>
    <xf numFmtId="0" fontId="35" fillId="3" borderId="0" xfId="8" applyFont="1" applyFill="1" applyAlignment="1">
      <alignment horizontal="center" vertical="center" wrapText="1"/>
    </xf>
    <xf numFmtId="0" fontId="8" fillId="12" borderId="29" xfId="8" applyFont="1" applyFill="1" applyBorder="1" applyAlignment="1">
      <alignment horizontal="center" vertical="center"/>
    </xf>
    <xf numFmtId="0" fontId="33" fillId="2" borderId="30" xfId="8" applyFont="1" applyFill="1" applyBorder="1" applyAlignment="1">
      <alignment horizontal="center" vertical="center" wrapText="1"/>
    </xf>
    <xf numFmtId="0" fontId="3" fillId="3" borderId="18" xfId="8" applyFill="1" applyBorder="1" applyAlignment="1">
      <alignment vertical="center"/>
    </xf>
    <xf numFmtId="0" fontId="32" fillId="0" borderId="0" xfId="8" applyFont="1" applyAlignment="1">
      <alignment vertical="center"/>
    </xf>
    <xf numFmtId="0" fontId="3" fillId="0" borderId="0" xfId="8" applyAlignment="1">
      <alignment horizontal="center" vertical="center"/>
    </xf>
    <xf numFmtId="0" fontId="35" fillId="0" borderId="0" xfId="8" applyFont="1" applyAlignment="1">
      <alignment vertical="center"/>
    </xf>
    <xf numFmtId="0" fontId="35" fillId="5" borderId="18" xfId="8" applyFont="1" applyFill="1" applyBorder="1" applyAlignment="1">
      <alignment horizontal="left" vertical="center" wrapText="1"/>
    </xf>
    <xf numFmtId="0" fontId="39" fillId="5" borderId="23" xfId="8" applyFont="1" applyFill="1" applyBorder="1" applyAlignment="1">
      <alignment horizontal="center" vertical="center" wrapText="1"/>
    </xf>
    <xf numFmtId="0" fontId="48" fillId="14" borderId="27" xfId="8" applyFont="1" applyFill="1" applyBorder="1" applyAlignment="1">
      <alignment horizontal="center" vertical="center" wrapText="1"/>
    </xf>
    <xf numFmtId="0" fontId="9" fillId="0" borderId="11" xfId="0" applyFont="1" applyBorder="1" applyAlignment="1">
      <alignment vertical="center"/>
    </xf>
    <xf numFmtId="0" fontId="25" fillId="0" borderId="18" xfId="0" applyFont="1" applyBorder="1" applyAlignment="1">
      <alignment vertical="top"/>
    </xf>
    <xf numFmtId="0" fontId="28" fillId="2" borderId="18" xfId="8" applyFont="1" applyFill="1" applyBorder="1" applyAlignment="1">
      <alignment horizontal="center" vertical="center" wrapText="1"/>
    </xf>
    <xf numFmtId="0" fontId="3" fillId="2" borderId="0" xfId="8" applyFill="1" applyAlignment="1">
      <alignment horizontal="center" vertical="center" wrapText="1"/>
    </xf>
    <xf numFmtId="0" fontId="22" fillId="0" borderId="53" xfId="1" applyFont="1" applyBorder="1" applyAlignment="1">
      <alignment horizontal="center" vertical="center" wrapText="1"/>
    </xf>
    <xf numFmtId="0" fontId="22" fillId="0" borderId="56" xfId="1" applyFont="1" applyBorder="1" applyAlignment="1">
      <alignment horizontal="center" vertical="center" wrapText="1"/>
    </xf>
    <xf numFmtId="0" fontId="20" fillId="0" borderId="53" xfId="1" applyFont="1" applyBorder="1" applyAlignment="1">
      <alignment horizontal="center" vertical="center" wrapText="1"/>
    </xf>
    <xf numFmtId="0" fontId="28" fillId="2" borderId="35" xfId="8" applyFont="1" applyFill="1" applyBorder="1" applyAlignment="1">
      <alignment horizontal="center" vertical="center" wrapText="1"/>
    </xf>
    <xf numFmtId="0" fontId="38" fillId="0" borderId="35" xfId="8" applyFont="1" applyBorder="1" applyAlignment="1">
      <alignment vertical="center" wrapText="1"/>
    </xf>
    <xf numFmtId="0" fontId="3" fillId="0" borderId="18" xfId="8" applyBorder="1" applyAlignment="1">
      <alignment vertical="center"/>
    </xf>
    <xf numFmtId="0" fontId="31" fillId="5" borderId="36" xfId="8" applyFont="1" applyFill="1" applyBorder="1" applyAlignment="1">
      <alignment horizontal="center" vertical="center" wrapText="1"/>
    </xf>
    <xf numFmtId="0" fontId="31" fillId="5" borderId="35" xfId="8" applyFont="1" applyFill="1" applyBorder="1" applyAlignment="1">
      <alignment vertical="center" wrapText="1"/>
    </xf>
    <xf numFmtId="0" fontId="35" fillId="5" borderId="35" xfId="8" applyFont="1" applyFill="1" applyBorder="1" applyAlignment="1">
      <alignment vertical="center" wrapText="1"/>
    </xf>
    <xf numFmtId="0" fontId="38" fillId="0" borderId="8" xfId="8" applyFont="1" applyBorder="1" applyAlignment="1">
      <alignment vertical="center" wrapText="1"/>
    </xf>
    <xf numFmtId="0" fontId="3" fillId="0" borderId="35" xfId="8" applyBorder="1" applyAlignment="1">
      <alignment vertical="center"/>
    </xf>
    <xf numFmtId="0" fontId="35" fillId="5" borderId="35" xfId="8" applyFont="1" applyFill="1" applyBorder="1" applyAlignment="1">
      <alignment horizontal="center" vertical="center" wrapText="1"/>
    </xf>
    <xf numFmtId="0" fontId="48" fillId="14" borderId="57" xfId="8" applyFont="1" applyFill="1" applyBorder="1" applyAlignment="1">
      <alignment horizontal="center" vertical="center" wrapText="1"/>
    </xf>
    <xf numFmtId="0" fontId="31" fillId="5" borderId="20" xfId="8" applyFont="1" applyFill="1" applyBorder="1" applyAlignment="1">
      <alignment vertical="center" wrapText="1"/>
    </xf>
    <xf numFmtId="0" fontId="39" fillId="5" borderId="23" xfId="8" applyFont="1" applyFill="1" applyBorder="1" applyAlignment="1">
      <alignment vertical="center" wrapText="1"/>
    </xf>
    <xf numFmtId="0" fontId="39" fillId="5" borderId="37" xfId="8" applyFont="1" applyFill="1" applyBorder="1" applyAlignment="1">
      <alignment horizontal="center" vertical="center" wrapText="1"/>
    </xf>
    <xf numFmtId="0" fontId="28" fillId="16" borderId="54" xfId="8" applyFont="1" applyFill="1" applyBorder="1" applyAlignment="1">
      <alignment horizontal="center" vertical="center" wrapText="1"/>
    </xf>
    <xf numFmtId="0" fontId="39" fillId="11" borderId="23" xfId="8" applyFont="1" applyFill="1" applyBorder="1" applyAlignment="1">
      <alignment vertical="center" wrapText="1"/>
    </xf>
    <xf numFmtId="0" fontId="39" fillId="3" borderId="0" xfId="8" applyFont="1" applyFill="1" applyAlignment="1">
      <alignment horizontal="center" vertical="center"/>
    </xf>
    <xf numFmtId="0" fontId="39" fillId="3" borderId="0" xfId="8" applyFont="1" applyFill="1" applyAlignment="1">
      <alignment vertical="center"/>
    </xf>
    <xf numFmtId="0" fontId="39" fillId="3" borderId="0" xfId="8" applyFont="1" applyFill="1" applyAlignment="1">
      <alignment horizontal="center" vertical="center" wrapText="1"/>
    </xf>
    <xf numFmtId="0" fontId="39" fillId="0" borderId="0" xfId="8" applyFont="1" applyAlignment="1">
      <alignment vertical="center"/>
    </xf>
    <xf numFmtId="0" fontId="28" fillId="2" borderId="20" xfId="8" applyFont="1" applyFill="1" applyBorder="1" applyAlignment="1">
      <alignment horizontal="center" vertical="center" wrapText="1"/>
    </xf>
    <xf numFmtId="0" fontId="35" fillId="2" borderId="35" xfId="8" applyFont="1" applyFill="1" applyBorder="1" applyAlignment="1">
      <alignment vertical="center" wrapText="1"/>
    </xf>
    <xf numFmtId="0" fontId="39" fillId="2" borderId="37" xfId="8" applyFont="1" applyFill="1" applyBorder="1" applyAlignment="1">
      <alignment horizontal="center" vertical="center" wrapText="1"/>
    </xf>
    <xf numFmtId="0" fontId="31" fillId="5" borderId="56" xfId="8" applyFont="1" applyFill="1" applyBorder="1" applyAlignment="1">
      <alignment horizontal="left" vertical="center" wrapText="1"/>
    </xf>
    <xf numFmtId="0" fontId="28" fillId="16" borderId="0" xfId="8" applyFont="1" applyFill="1" applyAlignment="1">
      <alignment vertical="center"/>
    </xf>
    <xf numFmtId="0" fontId="28" fillId="16" borderId="58" xfId="8" applyFont="1" applyFill="1" applyBorder="1" applyAlignment="1">
      <alignment horizontal="center" vertical="center" wrapText="1"/>
    </xf>
    <xf numFmtId="0" fontId="29" fillId="2" borderId="22" xfId="8" quotePrefix="1" applyFont="1" applyFill="1" applyBorder="1" applyAlignment="1">
      <alignment horizontal="center" vertical="center" wrapText="1"/>
    </xf>
    <xf numFmtId="0" fontId="50" fillId="5" borderId="23" xfId="8" applyFont="1" applyFill="1" applyBorder="1" applyAlignment="1">
      <alignment vertical="center" wrapText="1"/>
    </xf>
    <xf numFmtId="0" fontId="28" fillId="17" borderId="18" xfId="8" applyFont="1" applyFill="1" applyBorder="1" applyAlignment="1">
      <alignment horizontal="center" vertical="center" wrapText="1"/>
    </xf>
    <xf numFmtId="0" fontId="3" fillId="17" borderId="0" xfId="8" applyFill="1" applyAlignment="1">
      <alignment vertical="center"/>
    </xf>
    <xf numFmtId="0" fontId="38" fillId="2" borderId="18" xfId="8" applyFont="1" applyFill="1" applyBorder="1" applyAlignment="1">
      <alignment vertical="center" wrapText="1"/>
    </xf>
    <xf numFmtId="0" fontId="21" fillId="9" borderId="59" xfId="1" applyFont="1" applyFill="1" applyBorder="1" applyAlignment="1">
      <alignment horizontal="center" vertical="center" wrapText="1"/>
    </xf>
    <xf numFmtId="0" fontId="20" fillId="0" borderId="60" xfId="1" applyFont="1" applyBorder="1" applyAlignment="1">
      <alignment horizontal="center" vertical="center" wrapText="1"/>
    </xf>
    <xf numFmtId="0" fontId="31" fillId="19" borderId="22" xfId="8" applyFont="1" applyFill="1" applyBorder="1" applyAlignment="1">
      <alignment horizontal="center" vertical="center" wrapText="1"/>
    </xf>
    <xf numFmtId="0" fontId="22" fillId="0" borderId="41" xfId="1" applyFont="1" applyBorder="1" applyAlignment="1">
      <alignment horizontal="center" vertical="center" wrapText="1"/>
    </xf>
    <xf numFmtId="0" fontId="18" fillId="3" borderId="0" xfId="0" quotePrefix="1" applyFont="1" applyFill="1" applyAlignment="1">
      <alignment horizontal="center" vertical="center" wrapText="1"/>
    </xf>
    <xf numFmtId="0" fontId="18" fillId="3" borderId="0" xfId="0" applyFont="1" applyFill="1" applyAlignment="1">
      <alignment horizontal="center" vertical="center" wrapText="1"/>
    </xf>
    <xf numFmtId="0" fontId="51" fillId="3" borderId="0" xfId="0" applyFont="1" applyFill="1" applyAlignment="1">
      <alignment vertical="center" wrapText="1"/>
    </xf>
    <xf numFmtId="20" fontId="51" fillId="3" borderId="0" xfId="0" applyNumberFormat="1" applyFont="1" applyFill="1" applyAlignment="1">
      <alignment vertical="center" wrapText="1"/>
    </xf>
    <xf numFmtId="0" fontId="53" fillId="3" borderId="0" xfId="0" applyFont="1" applyFill="1" applyAlignment="1">
      <alignment vertical="center" wrapText="1"/>
    </xf>
    <xf numFmtId="0" fontId="52" fillId="3" borderId="0" xfId="0" applyFont="1" applyFill="1" applyAlignment="1">
      <alignment horizontal="left" vertical="center" wrapText="1"/>
    </xf>
    <xf numFmtId="0" fontId="32" fillId="3" borderId="18" xfId="8" applyFont="1" applyFill="1" applyBorder="1" applyAlignment="1">
      <alignment vertical="center"/>
    </xf>
    <xf numFmtId="0" fontId="21" fillId="3" borderId="36" xfId="1" applyFont="1" applyFill="1" applyBorder="1" applyAlignment="1">
      <alignment horizontal="center" vertical="center" wrapText="1"/>
    </xf>
    <xf numFmtId="0" fontId="22" fillId="0" borderId="35" xfId="7" applyFont="1" applyBorder="1" applyAlignment="1">
      <alignment horizontal="center" vertical="center" wrapText="1"/>
    </xf>
    <xf numFmtId="15" fontId="22" fillId="0" borderId="36" xfId="1" applyNumberFormat="1" applyFont="1" applyBorder="1" applyAlignment="1">
      <alignment horizontal="center" vertical="center" wrapText="1"/>
    </xf>
    <xf numFmtId="15" fontId="22" fillId="0" borderId="35" xfId="1" applyNumberFormat="1" applyFont="1" applyBorder="1" applyAlignment="1">
      <alignment horizontal="center" vertical="center" wrapText="1"/>
    </xf>
    <xf numFmtId="0" fontId="22" fillId="0" borderId="35" xfId="1" applyFont="1" applyBorder="1" applyAlignment="1">
      <alignment horizontal="center" vertical="center" wrapText="1"/>
    </xf>
    <xf numFmtId="0" fontId="22" fillId="0" borderId="37" xfId="1" applyFont="1" applyBorder="1" applyAlignment="1">
      <alignment horizontal="center" vertical="center" wrapText="1"/>
    </xf>
    <xf numFmtId="0" fontId="22" fillId="0" borderId="46" xfId="1" applyFont="1" applyBorder="1" applyAlignment="1">
      <alignment horizontal="center" vertical="center" wrapText="1"/>
    </xf>
    <xf numFmtId="0" fontId="21" fillId="3" borderId="18" xfId="1" applyFont="1" applyFill="1" applyBorder="1" applyAlignment="1">
      <alignment horizontal="center" vertical="center" wrapText="1"/>
    </xf>
    <xf numFmtId="0" fontId="0" fillId="2" borderId="18" xfId="0" applyFill="1" applyBorder="1" applyAlignment="1">
      <alignment horizontal="center" vertical="center"/>
    </xf>
    <xf numFmtId="0" fontId="0" fillId="2" borderId="53" xfId="0" applyFill="1" applyBorder="1" applyAlignment="1">
      <alignment horizontal="center" vertical="center"/>
    </xf>
    <xf numFmtId="0" fontId="2" fillId="0" borderId="0" xfId="9" applyAlignment="1">
      <alignment vertical="center"/>
    </xf>
    <xf numFmtId="0" fontId="35" fillId="0" borderId="0" xfId="9" applyFont="1" applyAlignment="1">
      <alignment vertical="center"/>
    </xf>
    <xf numFmtId="0" fontId="2" fillId="0" borderId="0" xfId="9" applyAlignment="1">
      <alignment horizontal="center" vertical="center"/>
    </xf>
    <xf numFmtId="0" fontId="32" fillId="0" borderId="0" xfId="9" applyFont="1" applyAlignment="1">
      <alignment vertical="center"/>
    </xf>
    <xf numFmtId="0" fontId="2" fillId="3" borderId="0" xfId="9" applyFill="1" applyAlignment="1">
      <alignment vertical="center"/>
    </xf>
    <xf numFmtId="0" fontId="35" fillId="3" borderId="0" xfId="9" applyFont="1" applyFill="1" applyAlignment="1">
      <alignment vertical="center"/>
    </xf>
    <xf numFmtId="0" fontId="2" fillId="3" borderId="0" xfId="9" applyFill="1" applyAlignment="1">
      <alignment horizontal="center" vertical="center"/>
    </xf>
    <xf numFmtId="0" fontId="32" fillId="3" borderId="0" xfId="9" applyFont="1" applyFill="1" applyAlignment="1">
      <alignment vertical="center"/>
    </xf>
    <xf numFmtId="0" fontId="2" fillId="3" borderId="18" xfId="9" applyFill="1" applyBorder="1" applyAlignment="1">
      <alignment vertical="center"/>
    </xf>
    <xf numFmtId="0" fontId="33" fillId="2" borderId="30" xfId="9" applyFont="1" applyFill="1" applyBorder="1" applyAlignment="1">
      <alignment horizontal="center" vertical="center" wrapText="1"/>
    </xf>
    <xf numFmtId="0" fontId="8" fillId="12" borderId="29" xfId="9" applyFont="1" applyFill="1" applyBorder="1" applyAlignment="1">
      <alignment horizontal="center" vertical="center"/>
    </xf>
    <xf numFmtId="0" fontId="28" fillId="3" borderId="0" xfId="9" applyFont="1" applyFill="1" applyAlignment="1">
      <alignment horizontal="center" vertical="center" wrapText="1"/>
    </xf>
    <xf numFmtId="0" fontId="35" fillId="3" borderId="0" xfId="9" applyFont="1" applyFill="1" applyAlignment="1">
      <alignment horizontal="center" vertical="center" wrapText="1"/>
    </xf>
    <xf numFmtId="0" fontId="2" fillId="3" borderId="0" xfId="9" applyFill="1" applyAlignment="1">
      <alignment horizontal="left" vertical="center"/>
    </xf>
    <xf numFmtId="0" fontId="2" fillId="12" borderId="24" xfId="9" applyFill="1" applyBorder="1" applyAlignment="1">
      <alignment horizontal="left" vertical="center"/>
    </xf>
    <xf numFmtId="0" fontId="2" fillId="12" borderId="22" xfId="9" applyFill="1" applyBorder="1" applyAlignment="1">
      <alignment horizontal="left" vertical="center"/>
    </xf>
    <xf numFmtId="0" fontId="29" fillId="2" borderId="22" xfId="9" applyFont="1" applyFill="1" applyBorder="1" applyAlignment="1">
      <alignment horizontal="center" vertical="center" wrapText="1"/>
    </xf>
    <xf numFmtId="0" fontId="39" fillId="2" borderId="26" xfId="9" applyFont="1" applyFill="1" applyBorder="1" applyAlignment="1">
      <alignment horizontal="center" vertical="center" wrapText="1"/>
    </xf>
    <xf numFmtId="0" fontId="35" fillId="2" borderId="25" xfId="9" applyFont="1" applyFill="1" applyBorder="1" applyAlignment="1">
      <alignment vertical="center" wrapText="1"/>
    </xf>
    <xf numFmtId="0" fontId="38" fillId="0" borderId="25" xfId="9" applyFont="1" applyBorder="1" applyAlignment="1">
      <alignment vertical="center" wrapText="1"/>
    </xf>
    <xf numFmtId="0" fontId="28" fillId="2" borderId="25" xfId="9" applyFont="1" applyFill="1" applyBorder="1" applyAlignment="1">
      <alignment horizontal="center" vertical="center" wrapText="1"/>
    </xf>
    <xf numFmtId="0" fontId="29" fillId="2" borderId="24" xfId="9" applyFont="1" applyFill="1" applyBorder="1" applyAlignment="1">
      <alignment horizontal="center" vertical="center" wrapText="1"/>
    </xf>
    <xf numFmtId="0" fontId="28" fillId="5" borderId="23" xfId="9" applyFont="1" applyFill="1" applyBorder="1" applyAlignment="1">
      <alignment vertical="center" wrapText="1"/>
    </xf>
    <xf numFmtId="0" fontId="35" fillId="5" borderId="18" xfId="9" applyFont="1" applyFill="1" applyBorder="1" applyAlignment="1">
      <alignment horizontal="center" vertical="center" wrapText="1"/>
    </xf>
    <xf numFmtId="0" fontId="35" fillId="5" borderId="18" xfId="9" applyFont="1" applyFill="1" applyBorder="1" applyAlignment="1">
      <alignment vertical="center" wrapText="1"/>
    </xf>
    <xf numFmtId="0" fontId="31" fillId="5" borderId="18" xfId="9" applyFont="1" applyFill="1" applyBorder="1" applyAlignment="1">
      <alignment vertical="center" wrapText="1"/>
    </xf>
    <xf numFmtId="0" fontId="31" fillId="5" borderId="22" xfId="9" applyFont="1" applyFill="1" applyBorder="1" applyAlignment="1">
      <alignment horizontal="center" vertical="center" wrapText="1"/>
    </xf>
    <xf numFmtId="0" fontId="37" fillId="12" borderId="22" xfId="9" applyFont="1" applyFill="1" applyBorder="1" applyAlignment="1">
      <alignment horizontal="center" vertical="center" wrapText="1"/>
    </xf>
    <xf numFmtId="0" fontId="48" fillId="14" borderId="22" xfId="9" applyFont="1" applyFill="1" applyBorder="1" applyAlignment="1">
      <alignment horizontal="center" vertical="center" wrapText="1"/>
    </xf>
    <xf numFmtId="0" fontId="2" fillId="2" borderId="0" xfId="9" applyFill="1" applyAlignment="1">
      <alignment horizontal="center" vertical="center" wrapText="1"/>
    </xf>
    <xf numFmtId="0" fontId="39" fillId="2" borderId="42" xfId="9" applyFont="1" applyFill="1" applyBorder="1" applyAlignment="1">
      <alignment horizontal="center" vertical="center" wrapText="1"/>
    </xf>
    <xf numFmtId="0" fontId="35" fillId="2" borderId="18" xfId="9" applyFont="1" applyFill="1" applyBorder="1" applyAlignment="1">
      <alignment vertical="center" wrapText="1"/>
    </xf>
    <xf numFmtId="0" fontId="38" fillId="0" borderId="18" xfId="9" applyFont="1" applyBorder="1" applyAlignment="1">
      <alignment vertical="center" wrapText="1"/>
    </xf>
    <xf numFmtId="0" fontId="28" fillId="2" borderId="18" xfId="9" applyFont="1" applyFill="1" applyBorder="1" applyAlignment="1">
      <alignment horizontal="center" vertical="center" wrapText="1"/>
    </xf>
    <xf numFmtId="0" fontId="39" fillId="2" borderId="23" xfId="9" applyFont="1" applyFill="1" applyBorder="1" applyAlignment="1">
      <alignment horizontal="center" vertical="center" wrapText="1"/>
    </xf>
    <xf numFmtId="0" fontId="34" fillId="3" borderId="0" xfId="9" applyFont="1" applyFill="1" applyAlignment="1">
      <alignment vertical="center"/>
    </xf>
    <xf numFmtId="0" fontId="27" fillId="0" borderId="0" xfId="9" applyFont="1" applyAlignment="1">
      <alignment vertical="center"/>
    </xf>
    <xf numFmtId="0" fontId="27" fillId="3" borderId="0" xfId="9" applyFont="1" applyFill="1" applyAlignment="1">
      <alignment horizontal="center" vertical="center"/>
    </xf>
    <xf numFmtId="0" fontId="31" fillId="11" borderId="23" xfId="9" applyFont="1" applyFill="1" applyBorder="1" applyAlignment="1">
      <alignment vertical="center" wrapText="1"/>
    </xf>
    <xf numFmtId="0" fontId="31" fillId="11" borderId="18" xfId="9" applyFont="1" applyFill="1" applyBorder="1" applyAlignment="1">
      <alignment vertical="center" wrapText="1"/>
    </xf>
    <xf numFmtId="0" fontId="31" fillId="11" borderId="22" xfId="9" applyFont="1" applyFill="1" applyBorder="1" applyAlignment="1">
      <alignment horizontal="center" vertical="center" wrapText="1"/>
    </xf>
    <xf numFmtId="0" fontId="35" fillId="3" borderId="0" xfId="9" applyFont="1" applyFill="1" applyAlignment="1">
      <alignment horizontal="center" vertical="center"/>
    </xf>
    <xf numFmtId="0" fontId="34" fillId="3" borderId="0" xfId="9" applyFont="1" applyFill="1" applyAlignment="1">
      <alignment horizontal="center" vertical="center"/>
    </xf>
    <xf numFmtId="0" fontId="36" fillId="13" borderId="33" xfId="9" applyFont="1" applyFill="1" applyBorder="1" applyAlignment="1">
      <alignment horizontal="center" vertical="center" wrapText="1"/>
    </xf>
    <xf numFmtId="14" fontId="22" fillId="0" borderId="41" xfId="9" applyNumberFormat="1" applyFont="1" applyBorder="1" applyAlignment="1">
      <alignment horizontal="center" vertical="center" wrapText="1"/>
    </xf>
    <xf numFmtId="0" fontId="22" fillId="0" borderId="18" xfId="9" applyFont="1" applyBorder="1" applyAlignment="1">
      <alignment horizontal="center" vertical="center" wrapText="1"/>
    </xf>
    <xf numFmtId="0" fontId="8" fillId="5" borderId="10" xfId="8" applyFont="1" applyFill="1" applyBorder="1" applyAlignment="1">
      <alignment horizontal="center" vertical="center"/>
    </xf>
    <xf numFmtId="0" fontId="8" fillId="5" borderId="11" xfId="8" applyFont="1" applyFill="1" applyBorder="1" applyAlignment="1">
      <alignment horizontal="center" vertical="center"/>
    </xf>
    <xf numFmtId="0" fontId="8" fillId="5" borderId="12" xfId="8" applyFont="1" applyFill="1" applyBorder="1" applyAlignment="1">
      <alignment horizontal="center" vertical="center"/>
    </xf>
    <xf numFmtId="0" fontId="35" fillId="5" borderId="18" xfId="8" quotePrefix="1" applyFont="1" applyFill="1" applyBorder="1" applyAlignment="1">
      <alignment horizontal="left" vertical="top" wrapText="1"/>
    </xf>
    <xf numFmtId="0" fontId="35" fillId="5" borderId="18" xfId="8" applyFont="1" applyFill="1" applyBorder="1" applyAlignment="1">
      <alignment horizontal="left" vertical="top" wrapText="1"/>
    </xf>
    <xf numFmtId="0" fontId="36" fillId="13" borderId="34" xfId="8" applyFont="1" applyFill="1" applyBorder="1" applyAlignment="1">
      <alignment horizontal="center" vertical="center" wrapText="1"/>
    </xf>
    <xf numFmtId="0" fontId="36" fillId="13" borderId="24" xfId="8" applyFont="1" applyFill="1" applyBorder="1" applyAlignment="1">
      <alignment horizontal="center" vertical="center" wrapText="1"/>
    </xf>
    <xf numFmtId="0" fontId="35" fillId="5" borderId="18" xfId="8" quotePrefix="1" applyFont="1" applyFill="1" applyBorder="1" applyAlignment="1">
      <alignment vertical="center" wrapText="1"/>
    </xf>
    <xf numFmtId="0" fontId="1" fillId="12" borderId="34" xfId="8" applyFont="1" applyFill="1" applyBorder="1" applyAlignment="1">
      <alignment horizontal="left" vertical="center"/>
    </xf>
    <xf numFmtId="0" fontId="1" fillId="12" borderId="22" xfId="8" applyFont="1" applyFill="1" applyBorder="1" applyAlignment="1">
      <alignment horizontal="left" vertical="center"/>
    </xf>
    <xf numFmtId="0" fontId="27" fillId="0" borderId="18" xfId="1" applyFont="1" applyBorder="1" applyAlignment="1">
      <alignment horizontal="center" vertical="center" wrapText="1"/>
    </xf>
    <xf numFmtId="0" fontId="0" fillId="0" borderId="0" xfId="0" applyAlignment="1">
      <alignment horizontal="center"/>
    </xf>
    <xf numFmtId="0" fontId="0" fillId="0" borderId="53" xfId="0" applyBorder="1" applyAlignment="1">
      <alignment horizontal="center" vertical="center"/>
    </xf>
    <xf numFmtId="0" fontId="30" fillId="10" borderId="18" xfId="0" applyFont="1" applyFill="1" applyBorder="1" applyAlignment="1">
      <alignment horizontal="center" vertical="center"/>
    </xf>
    <xf numFmtId="0" fontId="55" fillId="10" borderId="18" xfId="0" applyFont="1" applyFill="1" applyBorder="1" applyAlignment="1">
      <alignment horizontal="center" vertical="center"/>
    </xf>
    <xf numFmtId="0" fontId="30" fillId="10" borderId="18" xfId="0" applyFont="1" applyFill="1" applyBorder="1" applyAlignment="1">
      <alignment vertical="center" textRotation="90"/>
    </xf>
    <xf numFmtId="0" fontId="18" fillId="0" borderId="18" xfId="0" quotePrefix="1" applyFont="1" applyBorder="1" applyAlignment="1">
      <alignment horizontal="center" vertical="center"/>
    </xf>
    <xf numFmtId="0" fontId="47" fillId="0" borderId="18" xfId="0" applyFont="1" applyBorder="1" applyAlignment="1">
      <alignment horizontal="center" vertical="center"/>
    </xf>
    <xf numFmtId="0" fontId="56" fillId="0" borderId="18" xfId="0" applyFont="1" applyBorder="1" applyAlignment="1">
      <alignment vertical="center"/>
    </xf>
    <xf numFmtId="0" fontId="18" fillId="0" borderId="41" xfId="0" quotePrefix="1" applyFont="1" applyBorder="1" applyAlignment="1">
      <alignment horizontal="center" vertical="center"/>
    </xf>
    <xf numFmtId="49" fontId="28" fillId="0" borderId="18" xfId="0" applyNumberFormat="1" applyFont="1" applyBorder="1" applyAlignment="1">
      <alignment horizontal="left" vertical="top"/>
    </xf>
    <xf numFmtId="49" fontId="56" fillId="0" borderId="18" xfId="0" applyNumberFormat="1" applyFont="1" applyBorder="1" applyAlignment="1">
      <alignment horizontal="left" vertical="top"/>
    </xf>
    <xf numFmtId="49" fontId="56" fillId="0" borderId="18" xfId="0" quotePrefix="1" applyNumberFormat="1" applyFont="1" applyBorder="1" applyAlignment="1">
      <alignment horizontal="left" vertical="top"/>
    </xf>
    <xf numFmtId="49" fontId="0" fillId="0" borderId="18" xfId="0" applyNumberFormat="1" applyBorder="1" applyAlignment="1">
      <alignment horizontal="left" vertical="top"/>
    </xf>
    <xf numFmtId="0" fontId="18" fillId="0" borderId="41" xfId="0" applyFont="1" applyBorder="1" applyAlignment="1">
      <alignment horizontal="center" vertical="center"/>
    </xf>
    <xf numFmtId="0" fontId="18" fillId="0" borderId="18" xfId="0" applyFont="1" applyBorder="1" applyAlignment="1">
      <alignment horizontal="center" vertical="center"/>
    </xf>
    <xf numFmtId="0" fontId="56" fillId="0" borderId="18" xfId="0" applyFont="1" applyBorder="1"/>
    <xf numFmtId="0" fontId="0" fillId="0" borderId="18" xfId="0" applyBorder="1"/>
    <xf numFmtId="0" fontId="0" fillId="0" borderId="41" xfId="0" applyBorder="1" applyAlignment="1">
      <alignment horizontal="left" vertical="top"/>
    </xf>
    <xf numFmtId="0" fontId="56" fillId="0" borderId="18" xfId="0" applyFont="1" applyBorder="1" applyAlignment="1">
      <alignment horizontal="left" vertical="top"/>
    </xf>
    <xf numFmtId="49" fontId="0" fillId="0" borderId="41" xfId="0" applyNumberFormat="1" applyBorder="1" applyAlignment="1">
      <alignment horizontal="left" vertical="top"/>
    </xf>
    <xf numFmtId="0" fontId="52" fillId="2" borderId="62" xfId="0" applyFont="1" applyFill="1" applyBorder="1" applyAlignment="1">
      <alignment horizontal="left" vertical="center"/>
    </xf>
    <xf numFmtId="49" fontId="28" fillId="0" borderId="41" xfId="0" applyNumberFormat="1" applyFont="1" applyBorder="1" applyAlignment="1">
      <alignment horizontal="left" vertical="top"/>
    </xf>
    <xf numFmtId="49" fontId="57" fillId="0" borderId="18" xfId="0" applyNumberFormat="1" applyFont="1" applyBorder="1" applyAlignment="1">
      <alignment horizontal="left" vertical="top"/>
    </xf>
    <xf numFmtId="0" fontId="8" fillId="0" borderId="18" xfId="0" applyFont="1" applyBorder="1" applyAlignment="1">
      <alignment horizontal="left" vertical="top"/>
    </xf>
    <xf numFmtId="0" fontId="0" fillId="0" borderId="18" xfId="0" applyBorder="1" applyAlignment="1">
      <alignment horizontal="left" vertical="top"/>
    </xf>
    <xf numFmtId="0" fontId="56" fillId="0" borderId="0" xfId="0" applyFont="1"/>
    <xf numFmtId="15" fontId="22" fillId="0" borderId="41" xfId="1" applyNumberFormat="1" applyFont="1" applyBorder="1" applyAlignment="1">
      <alignment horizontal="center" vertical="center" wrapText="1"/>
    </xf>
    <xf numFmtId="15" fontId="20" fillId="4" borderId="45" xfId="1" applyNumberFormat="1" applyFont="1" applyFill="1" applyBorder="1" applyAlignment="1">
      <alignment horizontal="center" vertical="center" textRotation="90" wrapText="1"/>
    </xf>
    <xf numFmtId="15" fontId="20" fillId="4" borderId="31" xfId="1" applyNumberFormat="1" applyFont="1" applyFill="1" applyBorder="1" applyAlignment="1">
      <alignment horizontal="center" vertical="center" textRotation="90" wrapText="1"/>
    </xf>
    <xf numFmtId="15" fontId="22" fillId="0" borderId="20" xfId="1" applyNumberFormat="1" applyFont="1" applyBorder="1" applyAlignment="1">
      <alignment horizontal="center" vertical="center" wrapText="1"/>
    </xf>
    <xf numFmtId="15" fontId="22" fillId="0" borderId="54" xfId="1" applyNumberFormat="1" applyFont="1" applyBorder="1" applyAlignment="1">
      <alignment horizontal="center" vertical="center" wrapText="1"/>
    </xf>
    <xf numFmtId="15" fontId="22" fillId="0" borderId="28" xfId="1" applyNumberFormat="1" applyFont="1" applyBorder="1" applyAlignment="1">
      <alignment horizontal="center" vertical="center" wrapText="1"/>
    </xf>
    <xf numFmtId="15" fontId="22" fillId="0" borderId="27" xfId="1" applyNumberFormat="1" applyFont="1" applyBorder="1" applyAlignment="1">
      <alignment horizontal="center" vertical="center" wrapText="1"/>
    </xf>
    <xf numFmtId="0" fontId="20" fillId="4" borderId="29" xfId="1" applyFont="1" applyFill="1" applyBorder="1" applyAlignment="1">
      <alignment horizontal="center" vertical="center" textRotation="90" wrapText="1"/>
    </xf>
    <xf numFmtId="0" fontId="20" fillId="4" borderId="30" xfId="1" applyFont="1" applyFill="1" applyBorder="1" applyAlignment="1">
      <alignment horizontal="center" vertical="center" textRotation="90" wrapText="1"/>
    </xf>
    <xf numFmtId="0" fontId="60" fillId="15" borderId="30" xfId="1" applyFont="1" applyFill="1" applyBorder="1" applyAlignment="1">
      <alignment horizontal="center" vertical="center" textRotation="90" wrapText="1"/>
    </xf>
    <xf numFmtId="15" fontId="22" fillId="0" borderId="24" xfId="1" applyNumberFormat="1" applyFont="1" applyBorder="1" applyAlignment="1">
      <alignment horizontal="center" vertical="center" wrapText="1"/>
    </xf>
    <xf numFmtId="15" fontId="22" fillId="0" borderId="25" xfId="1" applyNumberFormat="1" applyFont="1" applyBorder="1" applyAlignment="1">
      <alignment horizontal="center" vertical="center" wrapText="1"/>
    </xf>
    <xf numFmtId="15" fontId="22" fillId="0" borderId="65" xfId="1" applyNumberFormat="1" applyFont="1" applyBorder="1" applyAlignment="1">
      <alignment horizontal="center" vertical="center" wrapText="1"/>
    </xf>
    <xf numFmtId="15" fontId="22" fillId="0" borderId="26" xfId="1" applyNumberFormat="1" applyFont="1" applyBorder="1" applyAlignment="1">
      <alignment horizontal="center" vertical="center" wrapText="1"/>
    </xf>
    <xf numFmtId="0" fontId="1" fillId="2" borderId="34" xfId="8" applyFont="1" applyFill="1" applyBorder="1" applyAlignment="1">
      <alignment horizontal="left" vertical="center"/>
    </xf>
    <xf numFmtId="0" fontId="1" fillId="0" borderId="18"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20" xfId="0" applyFont="1" applyBorder="1" applyAlignment="1">
      <alignment vertical="center"/>
    </xf>
    <xf numFmtId="0" fontId="1" fillId="0" borderId="18" xfId="0" applyFont="1" applyBorder="1" applyAlignment="1">
      <alignment vertical="center"/>
    </xf>
    <xf numFmtId="0" fontId="1" fillId="0" borderId="25" xfId="0" applyFont="1" applyBorder="1" applyAlignment="1">
      <alignment vertical="center"/>
    </xf>
    <xf numFmtId="0" fontId="1" fillId="0" borderId="19" xfId="0" applyFont="1" applyBorder="1" applyAlignment="1">
      <alignment vertical="center"/>
    </xf>
    <xf numFmtId="0" fontId="1" fillId="0" borderId="29" xfId="0" applyFont="1" applyBorder="1" applyAlignment="1">
      <alignment vertical="center"/>
    </xf>
    <xf numFmtId="0" fontId="1" fillId="0" borderId="30" xfId="0" applyFont="1" applyBorder="1" applyAlignment="1">
      <alignment vertical="center"/>
    </xf>
    <xf numFmtId="0" fontId="1" fillId="12" borderId="22" xfId="8" quotePrefix="1" applyFont="1" applyFill="1" applyBorder="1" applyAlignment="1">
      <alignment horizontal="left" vertical="center"/>
    </xf>
    <xf numFmtId="0" fontId="1" fillId="12" borderId="36" xfId="8" applyFont="1" applyFill="1" applyBorder="1" applyAlignment="1">
      <alignment horizontal="left" vertical="center"/>
    </xf>
    <xf numFmtId="0" fontId="1" fillId="2" borderId="36" xfId="8" applyFont="1" applyFill="1" applyBorder="1" applyAlignment="1">
      <alignment horizontal="left" vertical="center"/>
    </xf>
    <xf numFmtId="0" fontId="1" fillId="2" borderId="24" xfId="8" applyFont="1" applyFill="1" applyBorder="1" applyAlignment="1">
      <alignment horizontal="left" vertical="center"/>
    </xf>
    <xf numFmtId="0" fontId="1" fillId="2" borderId="22" xfId="8" quotePrefix="1" applyFont="1" applyFill="1" applyBorder="1" applyAlignment="1">
      <alignment horizontal="left" vertical="center"/>
    </xf>
    <xf numFmtId="0" fontId="1" fillId="12" borderId="35" xfId="8" applyFont="1" applyFill="1" applyBorder="1" applyAlignment="1">
      <alignment horizontal="left" vertical="center"/>
    </xf>
    <xf numFmtId="0" fontId="1" fillId="12" borderId="18" xfId="8" quotePrefix="1" applyFont="1" applyFill="1" applyBorder="1" applyAlignment="1">
      <alignment horizontal="left" vertical="center"/>
    </xf>
    <xf numFmtId="0" fontId="1" fillId="12" borderId="32" xfId="8" applyFont="1" applyFill="1" applyBorder="1" applyAlignment="1">
      <alignment horizontal="left" vertical="center"/>
    </xf>
    <xf numFmtId="0" fontId="1" fillId="12" borderId="27" xfId="8" applyFont="1" applyFill="1" applyBorder="1" applyAlignment="1">
      <alignment horizontal="left" vertical="center"/>
    </xf>
    <xf numFmtId="0" fontId="0" fillId="0" borderId="18" xfId="0" applyBorder="1" applyAlignment="1">
      <alignment horizontal="left"/>
    </xf>
    <xf numFmtId="0" fontId="30" fillId="10" borderId="18" xfId="0" applyFont="1" applyFill="1" applyBorder="1" applyAlignment="1">
      <alignment horizontal="left" vertical="center"/>
    </xf>
    <xf numFmtId="0" fontId="18" fillId="0" borderId="18" xfId="0" quotePrefix="1" applyFont="1" applyBorder="1" applyAlignment="1">
      <alignment horizontal="left" vertical="center"/>
    </xf>
    <xf numFmtId="0" fontId="18" fillId="0" borderId="41" xfId="0" quotePrefix="1" applyFont="1" applyBorder="1" applyAlignment="1">
      <alignment horizontal="left" vertical="center"/>
    </xf>
    <xf numFmtId="0" fontId="18" fillId="0" borderId="41" xfId="0" applyFont="1" applyBorder="1" applyAlignment="1">
      <alignment horizontal="left" vertical="center"/>
    </xf>
    <xf numFmtId="0" fontId="51" fillId="18" borderId="61" xfId="0" applyFont="1" applyFill="1" applyBorder="1" applyAlignment="1">
      <alignment horizontal="left" vertical="center"/>
    </xf>
    <xf numFmtId="0" fontId="51" fillId="2" borderId="61" xfId="0" applyFont="1" applyFill="1" applyBorder="1" applyAlignment="1">
      <alignment horizontal="left" vertical="center"/>
    </xf>
    <xf numFmtId="0" fontId="53" fillId="2" borderId="61" xfId="0" applyFont="1" applyFill="1" applyBorder="1" applyAlignment="1">
      <alignment horizontal="left" vertical="center"/>
    </xf>
    <xf numFmtId="0" fontId="51" fillId="0" borderId="41" xfId="0" quotePrefix="1" applyFont="1" applyBorder="1" applyAlignment="1">
      <alignment horizontal="left" vertical="center"/>
    </xf>
    <xf numFmtId="0" fontId="0" fillId="0" borderId="0" xfId="0" applyAlignment="1">
      <alignment horizontal="left"/>
    </xf>
    <xf numFmtId="0" fontId="0" fillId="0" borderId="0" xfId="0" quotePrefix="1"/>
    <xf numFmtId="0" fontId="42" fillId="0" borderId="48" xfId="0" applyFont="1" applyBorder="1" applyAlignment="1">
      <alignment horizontal="center"/>
    </xf>
    <xf numFmtId="0" fontId="42" fillId="0" borderId="6" xfId="0" applyFont="1" applyBorder="1" applyAlignment="1">
      <alignment horizontal="center"/>
    </xf>
    <xf numFmtId="0" fontId="42" fillId="0" borderId="49" xfId="0" applyFont="1" applyBorder="1" applyAlignment="1">
      <alignment horizontal="center"/>
    </xf>
    <xf numFmtId="0" fontId="0" fillId="0" borderId="51" xfId="0" applyBorder="1" applyAlignment="1">
      <alignment horizontal="center"/>
    </xf>
    <xf numFmtId="0" fontId="0" fillId="0" borderId="7" xfId="0" applyBorder="1" applyAlignment="1">
      <alignment horizontal="center"/>
    </xf>
    <xf numFmtId="0" fontId="0" fillId="0" borderId="52" xfId="0" applyBorder="1" applyAlignment="1">
      <alignment horizontal="center"/>
    </xf>
    <xf numFmtId="9" fontId="10" fillId="0" borderId="10" xfId="0" applyNumberFormat="1" applyFont="1" applyBorder="1" applyAlignment="1">
      <alignment horizontal="center" vertical="center"/>
    </xf>
    <xf numFmtId="9" fontId="10" fillId="0" borderId="11" xfId="0" applyNumberFormat="1" applyFont="1" applyBorder="1" applyAlignment="1">
      <alignment horizontal="center" vertical="center"/>
    </xf>
    <xf numFmtId="9" fontId="10" fillId="0" borderId="12" xfId="0" applyNumberFormat="1" applyFont="1" applyBorder="1" applyAlignment="1">
      <alignment horizontal="center" vertical="center"/>
    </xf>
    <xf numFmtId="9" fontId="10" fillId="0" borderId="13" xfId="0" applyNumberFormat="1" applyFont="1" applyBorder="1" applyAlignment="1">
      <alignment horizontal="center" vertical="center"/>
    </xf>
    <xf numFmtId="9" fontId="10" fillId="0" borderId="0" xfId="0" applyNumberFormat="1" applyFont="1" applyAlignment="1">
      <alignment horizontal="center" vertical="center"/>
    </xf>
    <xf numFmtId="9" fontId="10" fillId="0" borderId="14" xfId="0" applyNumberFormat="1" applyFont="1" applyBorder="1" applyAlignment="1">
      <alignment horizontal="center" vertical="center"/>
    </xf>
    <xf numFmtId="9" fontId="10" fillId="0" borderId="15" xfId="0" applyNumberFormat="1" applyFont="1" applyBorder="1" applyAlignment="1">
      <alignment horizontal="center" vertical="center"/>
    </xf>
    <xf numFmtId="9" fontId="10" fillId="0" borderId="1" xfId="0" applyNumberFormat="1" applyFont="1" applyBorder="1" applyAlignment="1">
      <alignment horizontal="center" vertical="center"/>
    </xf>
    <xf numFmtId="9" fontId="10" fillId="0" borderId="3" xfId="0" applyNumberFormat="1" applyFont="1" applyBorder="1" applyAlignment="1">
      <alignment horizontal="center" vertical="center"/>
    </xf>
    <xf numFmtId="0" fontId="9" fillId="0" borderId="10" xfId="0" applyFont="1" applyBorder="1" applyAlignment="1">
      <alignment horizontal="center" vertical="center"/>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3" xfId="0" applyFont="1" applyBorder="1" applyAlignment="1">
      <alignment horizontal="center" vertical="center"/>
    </xf>
    <xf numFmtId="0" fontId="9" fillId="0" borderId="0" xfId="0" applyFont="1" applyAlignment="1">
      <alignment horizontal="center" vertical="center"/>
    </xf>
    <xf numFmtId="0" fontId="9" fillId="0" borderId="14" xfId="0" applyFont="1" applyBorder="1" applyAlignment="1">
      <alignment horizontal="center" vertical="center"/>
    </xf>
    <xf numFmtId="0" fontId="9" fillId="0" borderId="15" xfId="0" applyFont="1" applyBorder="1" applyAlignment="1">
      <alignment horizontal="center" vertical="center"/>
    </xf>
    <xf numFmtId="0" fontId="9" fillId="0" borderId="1" xfId="0" applyFont="1" applyBorder="1" applyAlignment="1">
      <alignment horizontal="center" vertical="center"/>
    </xf>
    <xf numFmtId="0" fontId="9" fillId="0" borderId="3" xfId="0" applyFont="1" applyBorder="1" applyAlignment="1">
      <alignment horizontal="center" vertical="center"/>
    </xf>
    <xf numFmtId="0" fontId="23" fillId="0" borderId="16" xfId="0" applyFont="1" applyBorder="1" applyAlignment="1">
      <alignment horizontal="center" vertical="center"/>
    </xf>
    <xf numFmtId="0" fontId="23" fillId="0" borderId="17" xfId="0" applyFont="1" applyBorder="1" applyAlignment="1">
      <alignment horizontal="center" vertical="center"/>
    </xf>
    <xf numFmtId="0" fontId="23" fillId="0" borderId="2" xfId="0" applyFont="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0" xfId="0"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17" fillId="0" borderId="16" xfId="0" applyFont="1" applyBorder="1" applyAlignment="1">
      <alignment horizontal="center" vertical="center"/>
    </xf>
    <xf numFmtId="0" fontId="17" fillId="0" borderId="17" xfId="0" applyFont="1" applyBorder="1" applyAlignment="1">
      <alignment horizontal="center" vertical="center"/>
    </xf>
    <xf numFmtId="0" fontId="17" fillId="0" borderId="2" xfId="0" applyFont="1" applyBorder="1" applyAlignment="1">
      <alignment horizontal="center" vertical="center"/>
    </xf>
    <xf numFmtId="0" fontId="27" fillId="0" borderId="18" xfId="0" applyFont="1" applyBorder="1" applyAlignment="1">
      <alignment vertical="center" wrapText="1"/>
    </xf>
    <xf numFmtId="0" fontId="25" fillId="0" borderId="18" xfId="0" applyFont="1" applyBorder="1" applyAlignment="1">
      <alignment vertical="center"/>
    </xf>
    <xf numFmtId="0" fontId="25" fillId="0" borderId="23" xfId="0" applyFont="1" applyBorder="1" applyAlignment="1">
      <alignment vertical="center"/>
    </xf>
    <xf numFmtId="0" fontId="0" fillId="0" borderId="18" xfId="0" applyBorder="1" applyAlignment="1">
      <alignment horizontal="left" wrapText="1"/>
    </xf>
    <xf numFmtId="0" fontId="0" fillId="0" borderId="18" xfId="0" applyBorder="1" applyAlignment="1">
      <alignment horizontal="left"/>
    </xf>
    <xf numFmtId="0" fontId="24" fillId="0" borderId="10" xfId="0" applyFont="1" applyBorder="1" applyAlignment="1">
      <alignment horizontal="center" vertical="center"/>
    </xf>
    <xf numFmtId="0" fontId="24" fillId="0" borderId="11" xfId="0" applyFont="1" applyBorder="1" applyAlignment="1">
      <alignment horizontal="center" vertical="center"/>
    </xf>
    <xf numFmtId="0" fontId="24" fillId="0" borderId="12" xfId="0" applyFont="1" applyBorder="1" applyAlignment="1">
      <alignment horizontal="center" vertical="center"/>
    </xf>
    <xf numFmtId="0" fontId="24" fillId="0" borderId="15" xfId="0" applyFont="1" applyBorder="1" applyAlignment="1">
      <alignment horizontal="center" vertical="center"/>
    </xf>
    <xf numFmtId="0" fontId="24" fillId="0" borderId="1" xfId="0" applyFont="1" applyBorder="1" applyAlignment="1">
      <alignment horizontal="center" vertical="center"/>
    </xf>
    <xf numFmtId="0" fontId="24" fillId="0" borderId="3" xfId="0" applyFont="1" applyBorder="1" applyAlignment="1">
      <alignment horizontal="center" vertical="center"/>
    </xf>
    <xf numFmtId="0" fontId="9" fillId="0" borderId="38" xfId="0" applyFont="1" applyBorder="1" applyAlignment="1">
      <alignment vertical="center"/>
    </xf>
    <xf numFmtId="0" fontId="9" fillId="0" borderId="11" xfId="0" applyFont="1" applyBorder="1" applyAlignment="1">
      <alignment vertical="center"/>
    </xf>
    <xf numFmtId="0" fontId="9" fillId="0" borderId="12" xfId="0" applyFont="1" applyBorder="1" applyAlignment="1">
      <alignment vertical="center"/>
    </xf>
    <xf numFmtId="0" fontId="25" fillId="0" borderId="18" xfId="0" applyFont="1" applyBorder="1" applyAlignment="1">
      <alignment vertical="center" wrapText="1"/>
    </xf>
    <xf numFmtId="0" fontId="27" fillId="0" borderId="18" xfId="0" applyFont="1" applyBorder="1" applyAlignment="1">
      <alignment vertical="top" wrapText="1"/>
    </xf>
    <xf numFmtId="0" fontId="25" fillId="0" borderId="18" xfId="0" applyFont="1" applyBorder="1" applyAlignment="1">
      <alignment vertical="top"/>
    </xf>
    <xf numFmtId="0" fontId="25" fillId="0" borderId="23" xfId="0" applyFont="1" applyBorder="1" applyAlignment="1">
      <alignment vertical="top"/>
    </xf>
    <xf numFmtId="0" fontId="0" fillId="0" borderId="41" xfId="0" applyBorder="1" applyAlignment="1">
      <alignment horizontal="center" vertical="center"/>
    </xf>
    <xf numFmtId="0" fontId="0" fillId="0" borderId="53" xfId="0" applyBorder="1" applyAlignment="1">
      <alignment horizontal="center" vertical="center"/>
    </xf>
    <xf numFmtId="0" fontId="20" fillId="8" borderId="4" xfId="1" applyFont="1" applyFill="1" applyBorder="1" applyAlignment="1">
      <alignment horizontal="center" vertical="center" wrapText="1"/>
    </xf>
    <xf numFmtId="0" fontId="20" fillId="8" borderId="0" xfId="1" applyFont="1" applyFill="1" applyAlignment="1">
      <alignment horizontal="center" vertical="center" wrapText="1"/>
    </xf>
    <xf numFmtId="0" fontId="26" fillId="0" borderId="54" xfId="1" applyFont="1" applyBorder="1" applyAlignment="1">
      <alignment horizontal="center" vertical="center" wrapText="1"/>
    </xf>
    <xf numFmtId="0" fontId="26" fillId="0" borderId="8" xfId="1" applyFont="1" applyBorder="1" applyAlignment="1">
      <alignment horizontal="center" vertical="center" wrapText="1"/>
    </xf>
    <xf numFmtId="0" fontId="20" fillId="6" borderId="34" xfId="1" applyFont="1" applyFill="1" applyBorder="1" applyAlignment="1">
      <alignment horizontal="center" vertical="center" wrapText="1"/>
    </xf>
    <xf numFmtId="0" fontId="20" fillId="6" borderId="19" xfId="1" applyFont="1" applyFill="1" applyBorder="1" applyAlignment="1">
      <alignment horizontal="center" vertical="center" wrapText="1"/>
    </xf>
    <xf numFmtId="0" fontId="20" fillId="6" borderId="47" xfId="1" applyFont="1" applyFill="1" applyBorder="1" applyAlignment="1">
      <alignment horizontal="center" vertical="center" wrapText="1"/>
    </xf>
    <xf numFmtId="0" fontId="20" fillId="7" borderId="34" xfId="1" applyFont="1" applyFill="1" applyBorder="1" applyAlignment="1">
      <alignment horizontal="center" vertical="center" wrapText="1"/>
    </xf>
    <xf numFmtId="0" fontId="20" fillId="7" borderId="19" xfId="1" applyFont="1" applyFill="1" applyBorder="1" applyAlignment="1">
      <alignment horizontal="center" vertical="center" wrapText="1"/>
    </xf>
    <xf numFmtId="0" fontId="20" fillId="7" borderId="21" xfId="1" applyFont="1" applyFill="1" applyBorder="1" applyAlignment="1">
      <alignment horizontal="center" vertical="center" wrapText="1"/>
    </xf>
    <xf numFmtId="0" fontId="20" fillId="0" borderId="34" xfId="1" applyFont="1" applyBorder="1" applyAlignment="1">
      <alignment horizontal="center" vertical="center" wrapText="1"/>
    </xf>
    <xf numFmtId="0" fontId="20" fillId="0" borderId="21" xfId="1" applyFont="1" applyBorder="1" applyAlignment="1">
      <alignment horizontal="center" vertical="center" wrapText="1"/>
    </xf>
    <xf numFmtId="15" fontId="20" fillId="4" borderId="29" xfId="1" applyNumberFormat="1" applyFont="1" applyFill="1" applyBorder="1" applyAlignment="1">
      <alignment horizontal="center" vertical="center" wrapText="1"/>
    </xf>
    <xf numFmtId="15" fontId="20" fillId="4" borderId="30" xfId="1" applyNumberFormat="1" applyFont="1" applyFill="1" applyBorder="1" applyAlignment="1">
      <alignment horizontal="center" vertical="center" wrapText="1"/>
    </xf>
    <xf numFmtId="15" fontId="20" fillId="4" borderId="45" xfId="1" applyNumberFormat="1" applyFont="1" applyFill="1" applyBorder="1" applyAlignment="1">
      <alignment horizontal="center" vertical="center" wrapText="1"/>
    </xf>
    <xf numFmtId="0" fontId="1" fillId="0" borderId="27" xfId="0" applyFont="1" applyBorder="1" applyAlignment="1">
      <alignment horizontal="center" vertical="center"/>
    </xf>
    <xf numFmtId="0" fontId="1" fillId="0" borderId="22" xfId="0" applyFont="1" applyBorder="1" applyAlignment="1">
      <alignment horizontal="center" vertical="center"/>
    </xf>
    <xf numFmtId="0" fontId="1" fillId="0" borderId="24" xfId="0" applyFont="1" applyBorder="1" applyAlignment="1">
      <alignment horizontal="center" vertical="center"/>
    </xf>
    <xf numFmtId="0" fontId="1" fillId="0" borderId="32" xfId="0" applyFont="1" applyBorder="1" applyAlignment="1">
      <alignment horizontal="center" vertical="center"/>
    </xf>
    <xf numFmtId="0" fontId="1" fillId="0" borderId="33" xfId="0" applyFont="1" applyBorder="1" applyAlignment="1">
      <alignment horizontal="center" vertical="center"/>
    </xf>
    <xf numFmtId="0" fontId="3" fillId="3" borderId="18" xfId="8" applyFill="1" applyBorder="1" applyAlignment="1">
      <alignment horizontal="center" vertical="center"/>
    </xf>
    <xf numFmtId="0" fontId="3" fillId="3" borderId="35" xfId="8" applyFill="1" applyBorder="1" applyAlignment="1">
      <alignment horizontal="center" vertical="center"/>
    </xf>
    <xf numFmtId="0" fontId="28" fillId="2" borderId="18" xfId="8" applyFont="1" applyFill="1" applyBorder="1" applyAlignment="1">
      <alignment horizontal="center" vertical="center" wrapText="1"/>
    </xf>
    <xf numFmtId="0" fontId="28" fillId="2" borderId="23" xfId="8" applyFont="1" applyFill="1" applyBorder="1" applyAlignment="1">
      <alignment horizontal="center" vertical="center" wrapText="1"/>
    </xf>
    <xf numFmtId="0" fontId="8" fillId="5" borderId="16" xfId="8" applyFont="1" applyFill="1" applyBorder="1" applyAlignment="1">
      <alignment horizontal="center" vertical="center"/>
    </xf>
    <xf numFmtId="0" fontId="8" fillId="5" borderId="17" xfId="8" applyFont="1" applyFill="1" applyBorder="1" applyAlignment="1">
      <alignment horizontal="center" vertical="center"/>
    </xf>
    <xf numFmtId="0" fontId="8" fillId="5" borderId="2" xfId="8" applyFont="1" applyFill="1" applyBorder="1" applyAlignment="1">
      <alignment horizontal="center" vertical="center"/>
    </xf>
    <xf numFmtId="0" fontId="3" fillId="2" borderId="45" xfId="8" applyFill="1" applyBorder="1" applyAlignment="1">
      <alignment horizontal="center" vertical="center" wrapText="1"/>
    </xf>
    <xf numFmtId="0" fontId="3" fillId="2" borderId="17" xfId="8" applyFill="1" applyBorder="1" applyAlignment="1">
      <alignment horizontal="center" vertical="center" wrapText="1"/>
    </xf>
    <xf numFmtId="0" fontId="3" fillId="2" borderId="2" xfId="8" applyFill="1" applyBorder="1" applyAlignment="1">
      <alignment horizontal="center" vertical="center" wrapText="1"/>
    </xf>
    <xf numFmtId="0" fontId="28" fillId="2" borderId="43" xfId="8" applyFont="1" applyFill="1" applyBorder="1" applyAlignment="1">
      <alignment horizontal="center" vertical="center" wrapText="1"/>
    </xf>
    <xf numFmtId="0" fontId="28" fillId="2" borderId="44" xfId="8" applyFont="1" applyFill="1" applyBorder="1" applyAlignment="1">
      <alignment horizontal="center" vertical="center" wrapText="1"/>
    </xf>
    <xf numFmtId="0" fontId="36" fillId="13" borderId="43" xfId="8" applyFont="1" applyFill="1" applyBorder="1" applyAlignment="1">
      <alignment horizontal="left" vertical="center" wrapText="1"/>
    </xf>
    <xf numFmtId="0" fontId="36" fillId="13" borderId="44" xfId="8" applyFont="1" applyFill="1" applyBorder="1" applyAlignment="1">
      <alignment horizontal="left" vertical="center" wrapText="1"/>
    </xf>
    <xf numFmtId="0" fontId="8" fillId="5" borderId="10" xfId="8" applyFont="1" applyFill="1" applyBorder="1" applyAlignment="1">
      <alignment horizontal="center" vertical="center"/>
    </xf>
    <xf numFmtId="0" fontId="8" fillId="5" borderId="11" xfId="8" applyFont="1" applyFill="1" applyBorder="1" applyAlignment="1">
      <alignment horizontal="center" vertical="center"/>
    </xf>
    <xf numFmtId="0" fontId="8" fillId="5" borderId="12" xfId="8" applyFont="1" applyFill="1" applyBorder="1" applyAlignment="1">
      <alignment horizontal="center" vertical="center"/>
    </xf>
    <xf numFmtId="0" fontId="3" fillId="2" borderId="10" xfId="8" applyFill="1" applyBorder="1" applyAlignment="1">
      <alignment horizontal="center" vertical="center" wrapText="1"/>
    </xf>
    <xf numFmtId="0" fontId="3" fillId="2" borderId="11" xfId="8" applyFill="1" applyBorder="1" applyAlignment="1">
      <alignment horizontal="center" vertical="center" wrapText="1"/>
    </xf>
    <xf numFmtId="0" fontId="3" fillId="2" borderId="12" xfId="8" applyFill="1" applyBorder="1" applyAlignment="1">
      <alignment horizontal="center" vertical="center" wrapText="1"/>
    </xf>
    <xf numFmtId="0" fontId="3" fillId="2" borderId="13" xfId="8" applyFill="1" applyBorder="1" applyAlignment="1">
      <alignment horizontal="center" vertical="center" wrapText="1"/>
    </xf>
    <xf numFmtId="0" fontId="3" fillId="2" borderId="0" xfId="8" applyFill="1" applyAlignment="1">
      <alignment horizontal="center" vertical="center" wrapText="1"/>
    </xf>
    <xf numFmtId="0" fontId="3" fillId="2" borderId="14" xfId="8" applyFill="1" applyBorder="1" applyAlignment="1">
      <alignment horizontal="center" vertical="center" wrapText="1"/>
    </xf>
    <xf numFmtId="0" fontId="48" fillId="14" borderId="41" xfId="8" applyFont="1" applyFill="1" applyBorder="1" applyAlignment="1">
      <alignment horizontal="center" vertical="center" wrapText="1"/>
    </xf>
    <xf numFmtId="0" fontId="48" fillId="14" borderId="40" xfId="8" applyFont="1" applyFill="1" applyBorder="1" applyAlignment="1">
      <alignment horizontal="center" vertical="center" wrapText="1"/>
    </xf>
    <xf numFmtId="0" fontId="48" fillId="14" borderId="42" xfId="8" applyFont="1" applyFill="1" applyBorder="1" applyAlignment="1">
      <alignment horizontal="center" vertical="center" wrapText="1"/>
    </xf>
    <xf numFmtId="0" fontId="37" fillId="12" borderId="41" xfId="8" applyFont="1" applyFill="1" applyBorder="1" applyAlignment="1">
      <alignment horizontal="center" vertical="center" wrapText="1"/>
    </xf>
    <xf numFmtId="0" fontId="37" fillId="12" borderId="40" xfId="8" applyFont="1" applyFill="1" applyBorder="1" applyAlignment="1">
      <alignment horizontal="center" vertical="center" wrapText="1"/>
    </xf>
    <xf numFmtId="0" fontId="37" fillId="12" borderId="42" xfId="8" applyFont="1" applyFill="1" applyBorder="1" applyAlignment="1">
      <alignment horizontal="center" vertical="center" wrapText="1"/>
    </xf>
    <xf numFmtId="0" fontId="28" fillId="2" borderId="19" xfId="8" applyFont="1" applyFill="1" applyBorder="1" applyAlignment="1">
      <alignment horizontal="center" vertical="center" wrapText="1"/>
    </xf>
    <xf numFmtId="0" fontId="28" fillId="2" borderId="21" xfId="8" applyFont="1" applyFill="1" applyBorder="1" applyAlignment="1">
      <alignment horizontal="center" vertical="center" wrapText="1"/>
    </xf>
    <xf numFmtId="0" fontId="3" fillId="2" borderId="15" xfId="8" applyFill="1" applyBorder="1" applyAlignment="1">
      <alignment horizontal="center" vertical="center" wrapText="1"/>
    </xf>
    <xf numFmtId="0" fontId="3" fillId="2" borderId="1" xfId="8" applyFill="1" applyBorder="1" applyAlignment="1">
      <alignment horizontal="center" vertical="center" wrapText="1"/>
    </xf>
    <xf numFmtId="0" fontId="3" fillId="2" borderId="3" xfId="8" applyFill="1" applyBorder="1" applyAlignment="1">
      <alignment horizontal="center" vertical="center" wrapText="1"/>
    </xf>
    <xf numFmtId="0" fontId="36" fillId="13" borderId="19" xfId="8" applyFont="1" applyFill="1" applyBorder="1" applyAlignment="1">
      <alignment horizontal="left" vertical="center" wrapText="1"/>
    </xf>
    <xf numFmtId="0" fontId="36" fillId="13" borderId="21" xfId="8" applyFont="1" applyFill="1" applyBorder="1" applyAlignment="1">
      <alignment horizontal="left" vertical="center" wrapText="1"/>
    </xf>
    <xf numFmtId="0" fontId="36" fillId="13" borderId="25" xfId="8" applyFont="1" applyFill="1" applyBorder="1" applyAlignment="1">
      <alignment horizontal="left" vertical="center" wrapText="1"/>
    </xf>
    <xf numFmtId="0" fontId="36" fillId="13" borderId="26" xfId="8" applyFont="1" applyFill="1" applyBorder="1" applyAlignment="1">
      <alignment horizontal="left" vertical="center" wrapText="1"/>
    </xf>
    <xf numFmtId="0" fontId="48" fillId="14" borderId="54" xfId="8" applyFont="1" applyFill="1" applyBorder="1" applyAlignment="1">
      <alignment horizontal="center" vertical="center" wrapText="1"/>
    </xf>
    <xf numFmtId="0" fontId="48" fillId="14" borderId="8" xfId="8" applyFont="1" applyFill="1" applyBorder="1" applyAlignment="1">
      <alignment horizontal="center" vertical="center" wrapText="1"/>
    </xf>
    <xf numFmtId="0" fontId="48" fillId="14" borderId="55" xfId="8" applyFont="1" applyFill="1" applyBorder="1" applyAlignment="1">
      <alignment horizontal="center" vertical="center" wrapText="1"/>
    </xf>
    <xf numFmtId="0" fontId="28" fillId="2" borderId="63" xfId="8" applyFont="1" applyFill="1" applyBorder="1" applyAlignment="1">
      <alignment horizontal="center" vertical="center" wrapText="1"/>
    </xf>
    <xf numFmtId="0" fontId="28" fillId="2" borderId="64" xfId="8" applyFont="1" applyFill="1" applyBorder="1" applyAlignment="1">
      <alignment horizontal="center" vertical="center" wrapText="1"/>
    </xf>
    <xf numFmtId="0" fontId="28" fillId="2" borderId="45" xfId="8" applyFont="1" applyFill="1" applyBorder="1" applyAlignment="1">
      <alignment horizontal="center" vertical="center" wrapText="1"/>
    </xf>
    <xf numFmtId="0" fontId="28" fillId="2" borderId="17" xfId="8" applyFont="1" applyFill="1" applyBorder="1" applyAlignment="1">
      <alignment horizontal="center" vertical="center" wrapText="1"/>
    </xf>
    <xf numFmtId="0" fontId="28" fillId="2" borderId="2" xfId="8" applyFont="1" applyFill="1" applyBorder="1" applyAlignment="1">
      <alignment horizontal="center" vertical="center" wrapText="1"/>
    </xf>
    <xf numFmtId="0" fontId="48" fillId="14" borderId="4" xfId="8" applyFont="1" applyFill="1" applyBorder="1" applyAlignment="1">
      <alignment horizontal="center" vertical="center" wrapText="1"/>
    </xf>
    <xf numFmtId="0" fontId="48" fillId="14" borderId="0" xfId="8" applyFont="1" applyFill="1" applyAlignment="1">
      <alignment horizontal="center" vertical="center" wrapText="1"/>
    </xf>
    <xf numFmtId="0" fontId="48" fillId="14" borderId="14" xfId="8" applyFont="1" applyFill="1" applyBorder="1" applyAlignment="1">
      <alignment horizontal="center" vertical="center" wrapText="1"/>
    </xf>
    <xf numFmtId="0" fontId="37" fillId="12" borderId="18" xfId="8" applyFont="1" applyFill="1" applyBorder="1" applyAlignment="1">
      <alignment horizontal="center" vertical="center" wrapText="1"/>
    </xf>
    <xf numFmtId="0" fontId="37" fillId="12" borderId="23" xfId="8" applyFont="1" applyFill="1" applyBorder="1" applyAlignment="1">
      <alignment horizontal="center" vertical="center" wrapText="1"/>
    </xf>
    <xf numFmtId="0" fontId="2" fillId="3" borderId="18" xfId="9" applyFill="1" applyBorder="1" applyAlignment="1">
      <alignment horizontal="center" vertical="center"/>
    </xf>
    <xf numFmtId="0" fontId="2" fillId="3" borderId="35" xfId="9" applyFill="1" applyBorder="1" applyAlignment="1">
      <alignment horizontal="center" vertical="center"/>
    </xf>
    <xf numFmtId="0" fontId="28" fillId="2" borderId="18" xfId="9" applyFont="1" applyFill="1" applyBorder="1" applyAlignment="1">
      <alignment horizontal="center" vertical="center" wrapText="1"/>
    </xf>
    <xf numFmtId="0" fontId="28" fillId="2" borderId="23" xfId="9" applyFont="1" applyFill="1" applyBorder="1" applyAlignment="1">
      <alignment horizontal="center" vertical="center" wrapText="1"/>
    </xf>
    <xf numFmtId="0" fontId="28" fillId="2" borderId="43" xfId="9" applyFont="1" applyFill="1" applyBorder="1" applyAlignment="1">
      <alignment horizontal="center" vertical="center" wrapText="1"/>
    </xf>
    <xf numFmtId="0" fontId="28" fillId="2" borderId="44" xfId="9" applyFont="1" applyFill="1" applyBorder="1" applyAlignment="1">
      <alignment horizontal="center" vertical="center" wrapText="1"/>
    </xf>
    <xf numFmtId="0" fontId="8" fillId="5" borderId="16" xfId="9" applyFont="1" applyFill="1" applyBorder="1" applyAlignment="1">
      <alignment horizontal="center" vertical="center"/>
    </xf>
    <xf numFmtId="0" fontId="8" fillId="5" borderId="17" xfId="9" applyFont="1" applyFill="1" applyBorder="1" applyAlignment="1">
      <alignment horizontal="center" vertical="center"/>
    </xf>
    <xf numFmtId="0" fontId="8" fillId="5" borderId="2" xfId="9" applyFont="1" applyFill="1" applyBorder="1" applyAlignment="1">
      <alignment horizontal="center" vertical="center"/>
    </xf>
    <xf numFmtId="0" fontId="2" fillId="2" borderId="45" xfId="9" applyFill="1" applyBorder="1" applyAlignment="1">
      <alignment horizontal="center" vertical="center" wrapText="1"/>
    </xf>
    <xf numFmtId="0" fontId="2" fillId="2" borderId="17" xfId="9" applyFill="1" applyBorder="1" applyAlignment="1">
      <alignment horizontal="center" vertical="center" wrapText="1"/>
    </xf>
    <xf numFmtId="0" fontId="2" fillId="2" borderId="2" xfId="9" applyFill="1" applyBorder="1" applyAlignment="1">
      <alignment horizontal="center" vertical="center" wrapText="1"/>
    </xf>
    <xf numFmtId="0" fontId="48" fillId="14" borderId="41" xfId="9" applyFont="1" applyFill="1" applyBorder="1" applyAlignment="1">
      <alignment horizontal="center" vertical="center" wrapText="1"/>
    </xf>
    <xf numFmtId="0" fontId="48" fillId="14" borderId="40" xfId="9" applyFont="1" applyFill="1" applyBorder="1" applyAlignment="1">
      <alignment horizontal="center" vertical="center" wrapText="1"/>
    </xf>
    <xf numFmtId="0" fontId="48" fillId="14" borderId="42" xfId="9" applyFont="1" applyFill="1" applyBorder="1" applyAlignment="1">
      <alignment horizontal="center" vertical="center" wrapText="1"/>
    </xf>
    <xf numFmtId="0" fontId="37" fillId="12" borderId="41" xfId="9" applyFont="1" applyFill="1" applyBorder="1" applyAlignment="1">
      <alignment horizontal="center" vertical="center" wrapText="1"/>
    </xf>
    <xf numFmtId="0" fontId="37" fillId="12" borderId="40" xfId="9" applyFont="1" applyFill="1" applyBorder="1" applyAlignment="1">
      <alignment horizontal="center" vertical="center" wrapText="1"/>
    </xf>
    <xf numFmtId="0" fontId="37" fillId="12" borderId="42" xfId="9" applyFont="1" applyFill="1" applyBorder="1" applyAlignment="1">
      <alignment horizontal="center" vertical="center" wrapText="1"/>
    </xf>
    <xf numFmtId="0" fontId="8" fillId="5" borderId="10" xfId="9" applyFont="1" applyFill="1" applyBorder="1" applyAlignment="1">
      <alignment horizontal="center" vertical="center"/>
    </xf>
    <xf numFmtId="0" fontId="8" fillId="5" borderId="11" xfId="9" applyFont="1" applyFill="1" applyBorder="1" applyAlignment="1">
      <alignment horizontal="center" vertical="center"/>
    </xf>
    <xf numFmtId="0" fontId="8" fillId="5" borderId="12" xfId="9" applyFont="1" applyFill="1" applyBorder="1" applyAlignment="1">
      <alignment horizontal="center" vertical="center"/>
    </xf>
    <xf numFmtId="0" fontId="28" fillId="2" borderId="19" xfId="9" applyFont="1" applyFill="1" applyBorder="1" applyAlignment="1">
      <alignment horizontal="center" vertical="center" wrapText="1"/>
    </xf>
    <xf numFmtId="0" fontId="28" fillId="2" borderId="21" xfId="9" applyFont="1" applyFill="1" applyBorder="1" applyAlignment="1">
      <alignment horizontal="center" vertical="center" wrapText="1"/>
    </xf>
    <xf numFmtId="0" fontId="36" fillId="13" borderId="43" xfId="9" applyFont="1" applyFill="1" applyBorder="1" applyAlignment="1">
      <alignment horizontal="left" vertical="center" wrapText="1"/>
    </xf>
    <xf numFmtId="0" fontId="36" fillId="13" borderId="44" xfId="9" applyFont="1" applyFill="1" applyBorder="1" applyAlignment="1">
      <alignment horizontal="left" vertical="center" wrapText="1"/>
    </xf>
    <xf numFmtId="0" fontId="2" fillId="2" borderId="10" xfId="9" applyFill="1" applyBorder="1" applyAlignment="1">
      <alignment horizontal="center" vertical="center" wrapText="1"/>
    </xf>
    <xf numFmtId="0" fontId="2" fillId="2" borderId="11" xfId="9" applyFill="1" applyBorder="1" applyAlignment="1">
      <alignment horizontal="center" vertical="center" wrapText="1"/>
    </xf>
    <xf numFmtId="0" fontId="2" fillId="2" borderId="12" xfId="9" applyFill="1" applyBorder="1" applyAlignment="1">
      <alignment horizontal="center" vertical="center" wrapText="1"/>
    </xf>
    <xf numFmtId="0" fontId="2" fillId="2" borderId="13" xfId="9" applyFill="1" applyBorder="1" applyAlignment="1">
      <alignment horizontal="center" vertical="center" wrapText="1"/>
    </xf>
    <xf numFmtId="0" fontId="2" fillId="2" borderId="0" xfId="9" applyFill="1" applyAlignment="1">
      <alignment horizontal="center" vertical="center" wrapText="1"/>
    </xf>
    <xf numFmtId="0" fontId="2" fillId="2" borderId="14" xfId="9" applyFill="1" applyBorder="1" applyAlignment="1">
      <alignment horizontal="center" vertical="center" wrapText="1"/>
    </xf>
  </cellXfs>
  <cellStyles count="10">
    <cellStyle name="Lien hypertexte" xfId="6" builtinId="8"/>
    <cellStyle name="Normal" xfId="0" builtinId="0"/>
    <cellStyle name="Normal 2" xfId="1" xr:uid="{00000000-0005-0000-0000-000002000000}"/>
    <cellStyle name="Normal 2 2" xfId="2" xr:uid="{00000000-0005-0000-0000-000003000000}"/>
    <cellStyle name="Normal 2 3" xfId="5" xr:uid="{00000000-0005-0000-0000-000004000000}"/>
    <cellStyle name="Normal 2 5" xfId="4" xr:uid="{00000000-0005-0000-0000-000005000000}"/>
    <cellStyle name="Normal 2 5 2" xfId="8" xr:uid="{654A49BB-78D9-4C3F-8E0F-DE0D1CEF9880}"/>
    <cellStyle name="Normal 2 5 2 2" xfId="9" xr:uid="{CF8D8F0D-C3EC-4BCC-80F4-94E36332D648}"/>
    <cellStyle name="Normal 2 6" xfId="7" xr:uid="{59345AE7-AA2D-4888-B5CF-390EA9018800}"/>
    <cellStyle name="Normal 3" xfId="3" xr:uid="{00000000-0005-0000-0000-000006000000}"/>
  </cellStyles>
  <dxfs count="2221">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66FF33"/>
        </patternFill>
      </fill>
    </dxf>
    <dxf>
      <fill>
        <patternFill>
          <bgColor rgb="FFFF0000"/>
        </patternFill>
      </fill>
    </dxf>
    <dxf>
      <fill>
        <patternFill>
          <bgColor rgb="FFFFC000"/>
        </patternFill>
      </fill>
    </dxf>
    <dxf>
      <fill>
        <patternFill>
          <bgColor rgb="FFFF0000"/>
        </patternFill>
      </fill>
    </dxf>
    <dxf>
      <fill>
        <patternFill>
          <bgColor rgb="FF66FF66"/>
        </patternFill>
      </fill>
    </dxf>
    <dxf>
      <fill>
        <patternFill>
          <bgColor rgb="FFFF0000"/>
        </patternFill>
      </fill>
    </dxf>
    <dxf>
      <fill>
        <patternFill>
          <bgColor rgb="FF66FF66"/>
        </patternFill>
      </fill>
    </dxf>
    <dxf>
      <fill>
        <patternFill>
          <bgColor rgb="FFFF0000"/>
        </patternFill>
      </fill>
    </dxf>
    <dxf>
      <fill>
        <patternFill>
          <bgColor rgb="FF66FF66"/>
        </patternFill>
      </fill>
    </dxf>
    <dxf>
      <fill>
        <patternFill>
          <bgColor rgb="FFFF0000"/>
        </patternFill>
      </fill>
    </dxf>
    <dxf>
      <fill>
        <patternFill>
          <bgColor rgb="FF66FF66"/>
        </patternFill>
      </fill>
    </dxf>
    <dxf>
      <fill>
        <patternFill>
          <fgColor indexed="64"/>
          <bgColor rgb="FF66FF66"/>
        </patternFill>
      </fill>
    </dxf>
    <dxf>
      <fill>
        <patternFill>
          <fgColor indexed="64"/>
          <bgColor rgb="FFFF0000"/>
        </patternFill>
      </fill>
    </dxf>
    <dxf>
      <fill>
        <patternFill>
          <fgColor indexed="64"/>
          <bgColor rgb="FFFF0000"/>
        </patternFill>
      </fill>
    </dxf>
    <dxf>
      <fill>
        <patternFill>
          <fgColor indexed="64"/>
          <bgColor rgb="FF66FF66"/>
        </patternFill>
      </fill>
    </dxf>
    <dxf>
      <fill>
        <patternFill>
          <fgColor indexed="64"/>
          <bgColor rgb="FFFF0000"/>
        </patternFill>
      </fill>
    </dxf>
    <dxf>
      <fill>
        <patternFill>
          <fgColor indexed="64"/>
          <bgColor rgb="FF66FF66"/>
        </patternFill>
      </fill>
    </dxf>
    <dxf>
      <fill>
        <patternFill>
          <bgColor rgb="FFFF0000"/>
        </patternFill>
      </fill>
    </dxf>
    <dxf>
      <fill>
        <patternFill>
          <bgColor rgb="FF66FF66"/>
        </patternFill>
      </fill>
    </dxf>
    <dxf>
      <fill>
        <patternFill>
          <bgColor rgb="FFFF0000"/>
        </patternFill>
      </fill>
    </dxf>
    <dxf>
      <fill>
        <patternFill>
          <bgColor rgb="FF66FF66"/>
        </patternFill>
      </fill>
    </dxf>
    <dxf>
      <fill>
        <patternFill>
          <bgColor rgb="FFFF0000"/>
        </patternFill>
      </fill>
    </dxf>
    <dxf>
      <fill>
        <patternFill>
          <bgColor rgb="FF66FF66"/>
        </patternFill>
      </fill>
    </dxf>
    <dxf>
      <fill>
        <patternFill>
          <bgColor rgb="FFFF0000"/>
        </patternFill>
      </fill>
    </dxf>
    <dxf>
      <fill>
        <patternFill>
          <bgColor rgb="FF66FF66"/>
        </patternFill>
      </fill>
    </dxf>
    <dxf>
      <fill>
        <patternFill>
          <bgColor rgb="FFFF0000"/>
        </patternFill>
      </fill>
    </dxf>
    <dxf>
      <fill>
        <patternFill>
          <bgColor rgb="FF66FF66"/>
        </patternFill>
      </fill>
    </dxf>
    <dxf>
      <fill>
        <patternFill>
          <fgColor indexed="64"/>
          <bgColor rgb="FF66FF66"/>
        </patternFill>
      </fill>
    </dxf>
    <dxf>
      <fill>
        <patternFill>
          <fgColor indexed="64"/>
          <bgColor rgb="FFFF0000"/>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ill>
        <patternFill>
          <bgColor rgb="FFFF0000"/>
        </patternFill>
      </fill>
    </dxf>
    <dxf>
      <fill>
        <patternFill>
          <bgColor rgb="FF66FF66"/>
        </patternFill>
      </fill>
    </dxf>
    <dxf>
      <fill>
        <patternFill>
          <bgColor rgb="FFFF0000"/>
        </patternFill>
      </fill>
    </dxf>
    <dxf>
      <fill>
        <patternFill>
          <bgColor rgb="FF66FF66"/>
        </patternFill>
      </fill>
    </dxf>
    <dxf>
      <font>
        <b/>
        <i val="0"/>
      </font>
      <fill>
        <patternFill>
          <bgColor rgb="FF66FF33"/>
        </patternFill>
      </fill>
    </dxf>
    <dxf>
      <font>
        <b/>
        <i val="0"/>
        <color auto="1"/>
      </font>
      <fill>
        <patternFill>
          <bgColor rgb="FFFF0000"/>
        </patternFill>
      </fill>
    </dxf>
    <dxf>
      <font>
        <b/>
        <i val="0"/>
        <color theme="0"/>
      </font>
      <fill>
        <patternFill>
          <bgColor theme="0" tint="-0.499984740745262"/>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ill>
        <patternFill>
          <bgColor rgb="FFFF0000"/>
        </patternFill>
      </fill>
    </dxf>
    <dxf>
      <fill>
        <patternFill>
          <bgColor rgb="FF66FF66"/>
        </patternFill>
      </fill>
    </dxf>
    <dxf>
      <fill>
        <patternFill>
          <bgColor rgb="FFFFC000"/>
        </patternFill>
      </fill>
    </dxf>
    <dxf>
      <font>
        <b/>
        <i val="0"/>
      </font>
      <fill>
        <patternFill>
          <bgColor rgb="FF66FF33"/>
        </patternFill>
      </fill>
    </dxf>
    <dxf>
      <font>
        <b/>
        <i val="0"/>
        <color auto="1"/>
      </font>
      <fill>
        <patternFill>
          <bgColor rgb="FFFF0000"/>
        </patternFill>
      </fill>
    </dxf>
    <dxf>
      <fill>
        <patternFill>
          <bgColor rgb="FF66FF66"/>
        </patternFill>
      </fill>
    </dxf>
    <dxf>
      <fill>
        <patternFill>
          <bgColor rgb="FFFF000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ont>
        <b/>
        <i val="0"/>
        <color theme="0"/>
      </font>
      <fill>
        <patternFill>
          <bgColor theme="0" tint="-0.499984740745262"/>
        </patternFill>
      </fill>
    </dxf>
    <dxf>
      <font>
        <b/>
        <i val="0"/>
      </font>
      <fill>
        <patternFill>
          <bgColor rgb="FF66FF33"/>
        </patternFill>
      </fill>
    </dxf>
    <dxf>
      <font>
        <b/>
        <i val="0"/>
        <color auto="1"/>
      </font>
      <fill>
        <patternFill>
          <bgColor rgb="FFFF0000"/>
        </patternFill>
      </fill>
    </dxf>
    <dxf>
      <font>
        <b/>
        <i val="0"/>
        <color theme="0"/>
      </font>
      <fill>
        <patternFill>
          <bgColor theme="0" tint="-0.499984740745262"/>
        </patternFill>
      </fill>
    </dxf>
    <dxf>
      <font>
        <b/>
        <i val="0"/>
      </font>
      <fill>
        <patternFill>
          <bgColor rgb="FF66FF33"/>
        </patternFill>
      </fill>
    </dxf>
    <dxf>
      <font>
        <b/>
        <i val="0"/>
        <color auto="1"/>
      </font>
      <fill>
        <patternFill>
          <bgColor rgb="FFFF0000"/>
        </patternFill>
      </fill>
    </dxf>
    <dxf>
      <fill>
        <patternFill>
          <bgColor rgb="FF66FF66"/>
        </patternFill>
      </fill>
    </dxf>
    <dxf>
      <fill>
        <patternFill>
          <bgColor rgb="FFFF0000"/>
        </patternFill>
      </fill>
    </dxf>
    <dxf>
      <font>
        <b/>
        <i val="0"/>
      </font>
      <fill>
        <patternFill>
          <bgColor rgb="FF66FF33"/>
        </patternFill>
      </fill>
    </dxf>
    <dxf>
      <font>
        <b/>
        <i val="0"/>
        <color auto="1"/>
      </font>
      <fill>
        <patternFill>
          <bgColor rgb="FFFF0000"/>
        </patternFill>
      </fill>
    </dxf>
    <dxf>
      <fill>
        <patternFill>
          <fgColor indexed="64"/>
          <bgColor rgb="FF66FF66"/>
        </patternFill>
      </fill>
    </dxf>
    <dxf>
      <fill>
        <patternFill>
          <fgColor indexed="64"/>
          <bgColor rgb="FFFF0000"/>
        </patternFill>
      </fill>
    </dxf>
    <dxf>
      <fill>
        <patternFill>
          <bgColor rgb="FFFF0000"/>
        </patternFill>
      </fill>
    </dxf>
    <dxf>
      <fill>
        <patternFill>
          <bgColor rgb="FF66FF66"/>
        </patternFill>
      </fill>
    </dxf>
    <dxf>
      <fill>
        <patternFill>
          <bgColor rgb="FFFFC000"/>
        </patternFill>
      </fill>
    </dxf>
    <dxf>
      <font>
        <b/>
        <i val="0"/>
      </font>
      <fill>
        <patternFill>
          <bgColor rgb="FF66FF33"/>
        </patternFill>
      </fill>
    </dxf>
    <dxf>
      <font>
        <b/>
        <i val="0"/>
        <color auto="1"/>
      </font>
      <fill>
        <patternFill>
          <bgColor rgb="FFFF0000"/>
        </patternFill>
      </fill>
    </dxf>
    <dxf>
      <fill>
        <patternFill>
          <bgColor rgb="FF66FF66"/>
        </patternFill>
      </fill>
    </dxf>
    <dxf>
      <fill>
        <patternFill>
          <bgColor rgb="FFFF000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fgColor indexed="64"/>
          <bgColor rgb="FFFF0000"/>
        </patternFill>
      </fill>
    </dxf>
    <dxf>
      <fill>
        <patternFill>
          <fgColor indexed="64"/>
          <bgColor rgb="FF92D050"/>
        </patternFill>
      </fill>
    </dxf>
    <dxf>
      <fill>
        <patternFill>
          <bgColor rgb="FFFF0000"/>
        </patternFill>
      </fill>
    </dxf>
    <dxf>
      <fill>
        <patternFill>
          <bgColor rgb="FF66FF66"/>
        </patternFill>
      </fill>
    </dxf>
    <dxf>
      <fill>
        <patternFill>
          <bgColor rgb="FFFFC000"/>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ont>
        <b/>
        <i val="0"/>
      </font>
      <fill>
        <patternFill>
          <bgColor rgb="FF66FF33"/>
        </patternFill>
      </fill>
    </dxf>
    <dxf>
      <font>
        <b/>
        <i val="0"/>
        <color auto="1"/>
      </font>
      <fill>
        <patternFill>
          <bgColor rgb="FFFF0000"/>
        </patternFill>
      </fill>
    </dxf>
    <dxf>
      <font>
        <b/>
        <i val="0"/>
        <color theme="0"/>
      </font>
      <fill>
        <patternFill>
          <bgColor theme="0" tint="-0.499984740745262"/>
        </patternFill>
      </fill>
    </dxf>
    <dxf>
      <font>
        <b/>
        <i val="0"/>
      </font>
      <fill>
        <patternFill>
          <bgColor rgb="FF66FF33"/>
        </patternFill>
      </fill>
    </dxf>
    <dxf>
      <font>
        <b/>
        <i val="0"/>
        <color auto="1"/>
      </font>
      <fill>
        <patternFill>
          <bgColor rgb="FFFF0000"/>
        </patternFill>
      </fill>
    </dxf>
    <dxf>
      <fill>
        <patternFill>
          <bgColor rgb="FF66FF66"/>
        </patternFill>
      </fill>
    </dxf>
    <dxf>
      <fill>
        <patternFill>
          <bgColor rgb="FFFF0000"/>
        </patternFill>
      </fill>
    </dxf>
    <dxf>
      <font>
        <b/>
        <i val="0"/>
      </font>
      <fill>
        <patternFill>
          <bgColor rgb="FF66FF33"/>
        </patternFill>
      </fill>
    </dxf>
    <dxf>
      <font>
        <b/>
        <i val="0"/>
        <color auto="1"/>
      </font>
      <fill>
        <patternFill>
          <bgColor rgb="FFFF0000"/>
        </patternFill>
      </fill>
    </dxf>
    <dxf>
      <font>
        <b/>
        <i val="0"/>
        <color theme="0"/>
      </font>
      <fill>
        <patternFill>
          <bgColor theme="0" tint="-0.499984740745262"/>
        </patternFill>
      </fill>
    </dxf>
    <dxf>
      <font>
        <b/>
        <i val="0"/>
        <color theme="0"/>
      </font>
      <fill>
        <patternFill>
          <bgColor theme="0" tint="-0.499984740745262"/>
        </patternFill>
      </fill>
    </dxf>
    <dxf>
      <font>
        <b/>
        <i val="0"/>
      </font>
      <fill>
        <patternFill>
          <bgColor rgb="FF66FF33"/>
        </patternFill>
      </fill>
    </dxf>
    <dxf>
      <font>
        <b/>
        <i val="0"/>
        <color auto="1"/>
      </font>
      <fill>
        <patternFill>
          <bgColor rgb="FFFF0000"/>
        </patternFill>
      </fill>
    </dxf>
    <dxf>
      <fill>
        <patternFill>
          <bgColor rgb="FF66FF66"/>
        </patternFill>
      </fill>
    </dxf>
    <dxf>
      <fill>
        <patternFill>
          <bgColor rgb="FFFF0000"/>
        </patternFill>
      </fill>
    </dxf>
    <dxf>
      <font>
        <b/>
        <i val="0"/>
      </font>
      <fill>
        <patternFill>
          <bgColor rgb="FF66FF33"/>
        </patternFill>
      </fill>
    </dxf>
    <dxf>
      <font>
        <b/>
        <i val="0"/>
        <color auto="1"/>
      </font>
      <fill>
        <patternFill>
          <bgColor rgb="FFFF0000"/>
        </patternFill>
      </fill>
    </dxf>
    <dxf>
      <font>
        <b/>
        <i val="0"/>
        <color theme="0"/>
      </font>
      <fill>
        <patternFill>
          <bgColor theme="0" tint="-0.499984740745262"/>
        </patternFill>
      </fill>
    </dxf>
    <dxf>
      <font>
        <b/>
        <i val="0"/>
        <color theme="0"/>
      </font>
      <fill>
        <patternFill>
          <bgColor theme="0" tint="-0.499984740745262"/>
        </patternFill>
      </fill>
    </dxf>
    <dxf>
      <font>
        <b/>
        <i val="0"/>
        <color theme="0"/>
      </font>
      <fill>
        <patternFill>
          <bgColor theme="0" tint="-0.499984740745262"/>
        </patternFill>
      </fill>
    </dxf>
    <dxf>
      <fill>
        <patternFill>
          <bgColor rgb="FFFF0000"/>
        </patternFill>
      </fill>
    </dxf>
    <dxf>
      <fill>
        <patternFill>
          <bgColor rgb="FF66FF66"/>
        </patternFill>
      </fill>
    </dxf>
    <dxf>
      <fill>
        <patternFill>
          <bgColor rgb="FFFFC000"/>
        </patternFill>
      </fill>
    </dxf>
    <dxf>
      <font>
        <b/>
        <i val="0"/>
      </font>
      <fill>
        <patternFill>
          <bgColor rgb="FF66FF33"/>
        </patternFill>
      </fill>
    </dxf>
    <dxf>
      <font>
        <b/>
        <i val="0"/>
        <color auto="1"/>
      </font>
      <fill>
        <patternFill>
          <bgColor rgb="FFFF0000"/>
        </patternFill>
      </fill>
    </dxf>
    <dxf>
      <fill>
        <patternFill>
          <bgColor rgb="FF66FF66"/>
        </patternFill>
      </fill>
    </dxf>
    <dxf>
      <fill>
        <patternFill>
          <bgColor rgb="FFFF0000"/>
        </patternFill>
      </fill>
    </dxf>
    <dxf>
      <font>
        <b/>
        <i val="0"/>
      </font>
      <fill>
        <patternFill>
          <bgColor rgb="FF66FF33"/>
        </patternFill>
      </fill>
    </dxf>
    <dxf>
      <font>
        <b/>
        <i val="0"/>
        <color auto="1"/>
      </font>
      <fill>
        <patternFill>
          <bgColor rgb="FFFF0000"/>
        </patternFill>
      </fill>
    </dxf>
    <dxf>
      <font>
        <b/>
        <i val="0"/>
        <color theme="0"/>
      </font>
      <fill>
        <patternFill>
          <bgColor theme="0" tint="-0.499984740745262"/>
        </patternFill>
      </fill>
    </dxf>
    <dxf>
      <fill>
        <patternFill>
          <bgColor rgb="FFF519CB"/>
        </patternFill>
      </fill>
    </dxf>
    <dxf>
      <font>
        <color theme="0"/>
      </font>
      <fill>
        <patternFill>
          <bgColor rgb="FF66FF66"/>
        </patternFill>
      </fill>
    </dxf>
  </dxfs>
  <tableStyles count="1" defaultTableStyle="TableStyleMedium2" defaultPivotStyle="PivotStyleLight16">
    <tableStyle name="Style de tableau 1" pivot="0" count="0" xr9:uid="{00000000-0011-0000-FFFF-FFFF00000000}"/>
  </tableStyles>
  <colors>
    <mruColors>
      <color rgb="FF66FF33"/>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54429</xdr:colOff>
      <xdr:row>0</xdr:row>
      <xdr:rowOff>68036</xdr:rowOff>
    </xdr:from>
    <xdr:to>
      <xdr:col>2</xdr:col>
      <xdr:colOff>835850</xdr:colOff>
      <xdr:row>1</xdr:row>
      <xdr:rowOff>719200</xdr:rowOff>
    </xdr:to>
    <xdr:pic>
      <xdr:nvPicPr>
        <xdr:cNvPr id="2" name="Image 1">
          <a:extLst>
            <a:ext uri="{FF2B5EF4-FFF2-40B4-BE49-F238E27FC236}">
              <a16:creationId xmlns:a16="http://schemas.microsoft.com/office/drawing/2014/main" id="{00000000-0008-0000-00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45065"/>
        <a:stretch/>
      </xdr:blipFill>
      <xdr:spPr bwMode="auto">
        <a:xfrm>
          <a:off x="54429" y="68036"/>
          <a:ext cx="2849707" cy="8416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979715</xdr:colOff>
      <xdr:row>0</xdr:row>
      <xdr:rowOff>108858</xdr:rowOff>
    </xdr:from>
    <xdr:to>
      <xdr:col>14</xdr:col>
      <xdr:colOff>937141</xdr:colOff>
      <xdr:row>1</xdr:row>
      <xdr:rowOff>356508</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1321144" y="108858"/>
          <a:ext cx="4093997" cy="43815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571500</xdr:colOff>
          <xdr:row>0</xdr:row>
          <xdr:rowOff>184150</xdr:rowOff>
        </xdr:from>
        <xdr:to>
          <xdr:col>15</xdr:col>
          <xdr:colOff>381000</xdr:colOff>
          <xdr:row>1</xdr:row>
          <xdr:rowOff>298450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ea typeface="Calibri"/>
                  <a:cs typeface="Calibri"/>
                </a:rPr>
                <a:t>Generate index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4710545</xdr:colOff>
      <xdr:row>14</xdr:row>
      <xdr:rowOff>2412999</xdr:rowOff>
    </xdr:from>
    <xdr:to>
      <xdr:col>2</xdr:col>
      <xdr:colOff>5327402</xdr:colOff>
      <xdr:row>14</xdr:row>
      <xdr:rowOff>2712356</xdr:rowOff>
    </xdr:to>
    <xdr:sp macro="" textlink="">
      <xdr:nvSpPr>
        <xdr:cNvPr id="2" name="ZoneTexte 1">
          <a:extLst>
            <a:ext uri="{FF2B5EF4-FFF2-40B4-BE49-F238E27FC236}">
              <a16:creationId xmlns:a16="http://schemas.microsoft.com/office/drawing/2014/main" id="{00000000-0008-0000-0700-000002000000}"/>
            </a:ext>
          </a:extLst>
        </xdr:cNvPr>
        <xdr:cNvSpPr txBox="1"/>
      </xdr:nvSpPr>
      <xdr:spPr>
        <a:xfrm>
          <a:off x="5920220" y="9899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14</xdr:row>
      <xdr:rowOff>3706090</xdr:rowOff>
    </xdr:from>
    <xdr:to>
      <xdr:col>2</xdr:col>
      <xdr:colOff>5142675</xdr:colOff>
      <xdr:row>14</xdr:row>
      <xdr:rowOff>4005447</xdr:rowOff>
    </xdr:to>
    <xdr:sp macro="" textlink="">
      <xdr:nvSpPr>
        <xdr:cNvPr id="3" name="ZoneTexte 2">
          <a:extLst>
            <a:ext uri="{FF2B5EF4-FFF2-40B4-BE49-F238E27FC236}">
              <a16:creationId xmlns:a16="http://schemas.microsoft.com/office/drawing/2014/main" id="{00000000-0008-0000-0700-000003000000}"/>
            </a:ext>
          </a:extLst>
        </xdr:cNvPr>
        <xdr:cNvSpPr txBox="1"/>
      </xdr:nvSpPr>
      <xdr:spPr>
        <a:xfrm>
          <a:off x="5925993" y="98973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xdr:row>
      <xdr:rowOff>0</xdr:rowOff>
    </xdr:from>
    <xdr:to>
      <xdr:col>2</xdr:col>
      <xdr:colOff>5327402</xdr:colOff>
      <xdr:row>16</xdr:row>
      <xdr:rowOff>0</xdr:rowOff>
    </xdr:to>
    <xdr:sp macro="" textlink="">
      <xdr:nvSpPr>
        <xdr:cNvPr id="4" name="ZoneTexte 3">
          <a:extLst>
            <a:ext uri="{FF2B5EF4-FFF2-40B4-BE49-F238E27FC236}">
              <a16:creationId xmlns:a16="http://schemas.microsoft.com/office/drawing/2014/main" id="{00000000-0008-0000-0700-000004000000}"/>
            </a:ext>
          </a:extLst>
        </xdr:cNvPr>
        <xdr:cNvSpPr txBox="1"/>
      </xdr:nvSpPr>
      <xdr:spPr>
        <a:xfrm>
          <a:off x="5920220" y="11614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xdr:row>
      <xdr:rowOff>0</xdr:rowOff>
    </xdr:from>
    <xdr:to>
      <xdr:col>2</xdr:col>
      <xdr:colOff>5327402</xdr:colOff>
      <xdr:row>16</xdr:row>
      <xdr:rowOff>0</xdr:rowOff>
    </xdr:to>
    <xdr:sp macro="" textlink="">
      <xdr:nvSpPr>
        <xdr:cNvPr id="6" name="ZoneTexte 5">
          <a:extLst>
            <a:ext uri="{FF2B5EF4-FFF2-40B4-BE49-F238E27FC236}">
              <a16:creationId xmlns:a16="http://schemas.microsoft.com/office/drawing/2014/main" id="{00000000-0008-0000-0700-000006000000}"/>
            </a:ext>
          </a:extLst>
        </xdr:cNvPr>
        <xdr:cNvSpPr txBox="1"/>
      </xdr:nvSpPr>
      <xdr:spPr>
        <a:xfrm>
          <a:off x="5920220" y="11614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xdr:row>
      <xdr:rowOff>0</xdr:rowOff>
    </xdr:from>
    <xdr:to>
      <xdr:col>2</xdr:col>
      <xdr:colOff>5327402</xdr:colOff>
      <xdr:row>16</xdr:row>
      <xdr:rowOff>0</xdr:rowOff>
    </xdr:to>
    <xdr:sp macro="" textlink="">
      <xdr:nvSpPr>
        <xdr:cNvPr id="11" name="ZoneTexte 10">
          <a:extLst>
            <a:ext uri="{FF2B5EF4-FFF2-40B4-BE49-F238E27FC236}">
              <a16:creationId xmlns:a16="http://schemas.microsoft.com/office/drawing/2014/main" id="{00000000-0008-0000-0700-00000B000000}"/>
            </a:ext>
          </a:extLst>
        </xdr:cNvPr>
        <xdr:cNvSpPr txBox="1"/>
      </xdr:nvSpPr>
      <xdr:spPr>
        <a:xfrm>
          <a:off x="5920220" y="11614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xdr:row>
      <xdr:rowOff>2412999</xdr:rowOff>
    </xdr:from>
    <xdr:to>
      <xdr:col>2</xdr:col>
      <xdr:colOff>5327402</xdr:colOff>
      <xdr:row>16</xdr:row>
      <xdr:rowOff>2712356</xdr:rowOff>
    </xdr:to>
    <xdr:sp macro="" textlink="">
      <xdr:nvSpPr>
        <xdr:cNvPr id="12" name="ZoneTexte 11">
          <a:extLst>
            <a:ext uri="{FF2B5EF4-FFF2-40B4-BE49-F238E27FC236}">
              <a16:creationId xmlns:a16="http://schemas.microsoft.com/office/drawing/2014/main" id="{00000000-0008-0000-0700-00000C000000}"/>
            </a:ext>
          </a:extLst>
        </xdr:cNvPr>
        <xdr:cNvSpPr txBox="1"/>
      </xdr:nvSpPr>
      <xdr:spPr>
        <a:xfrm>
          <a:off x="5920220" y="12376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13" name="ZoneTexte 12">
          <a:extLst>
            <a:ext uri="{FF2B5EF4-FFF2-40B4-BE49-F238E27FC236}">
              <a16:creationId xmlns:a16="http://schemas.microsoft.com/office/drawing/2014/main" id="{00000000-0008-0000-0700-00000D000000}"/>
            </a:ext>
          </a:extLst>
        </xdr:cNvPr>
        <xdr:cNvSpPr txBox="1"/>
      </xdr:nvSpPr>
      <xdr:spPr>
        <a:xfrm>
          <a:off x="5920220" y="13328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xdr:row>
      <xdr:rowOff>2412999</xdr:rowOff>
    </xdr:from>
    <xdr:to>
      <xdr:col>2</xdr:col>
      <xdr:colOff>5327402</xdr:colOff>
      <xdr:row>18</xdr:row>
      <xdr:rowOff>2712356</xdr:rowOff>
    </xdr:to>
    <xdr:sp macro="" textlink="">
      <xdr:nvSpPr>
        <xdr:cNvPr id="14" name="ZoneTexte 13">
          <a:extLst>
            <a:ext uri="{FF2B5EF4-FFF2-40B4-BE49-F238E27FC236}">
              <a16:creationId xmlns:a16="http://schemas.microsoft.com/office/drawing/2014/main" id="{00000000-0008-0000-0700-00000E000000}"/>
            </a:ext>
          </a:extLst>
        </xdr:cNvPr>
        <xdr:cNvSpPr txBox="1"/>
      </xdr:nvSpPr>
      <xdr:spPr>
        <a:xfrm>
          <a:off x="5920220" y="14090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xdr:row>
      <xdr:rowOff>0</xdr:rowOff>
    </xdr:from>
    <xdr:to>
      <xdr:col>2</xdr:col>
      <xdr:colOff>5327402</xdr:colOff>
      <xdr:row>16</xdr:row>
      <xdr:rowOff>0</xdr:rowOff>
    </xdr:to>
    <xdr:sp macro="" textlink="">
      <xdr:nvSpPr>
        <xdr:cNvPr id="15" name="ZoneTexte 14">
          <a:extLst>
            <a:ext uri="{FF2B5EF4-FFF2-40B4-BE49-F238E27FC236}">
              <a16:creationId xmlns:a16="http://schemas.microsoft.com/office/drawing/2014/main" id="{00000000-0008-0000-0700-00000F000000}"/>
            </a:ext>
          </a:extLst>
        </xdr:cNvPr>
        <xdr:cNvSpPr txBox="1"/>
      </xdr:nvSpPr>
      <xdr:spPr>
        <a:xfrm>
          <a:off x="5920220" y="11614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35</xdr:row>
      <xdr:rowOff>2412999</xdr:rowOff>
    </xdr:from>
    <xdr:to>
      <xdr:col>2</xdr:col>
      <xdr:colOff>5327402</xdr:colOff>
      <xdr:row>35</xdr:row>
      <xdr:rowOff>2712356</xdr:rowOff>
    </xdr:to>
    <xdr:sp macro="" textlink="">
      <xdr:nvSpPr>
        <xdr:cNvPr id="16" name="ZoneTexte 15">
          <a:extLst>
            <a:ext uri="{FF2B5EF4-FFF2-40B4-BE49-F238E27FC236}">
              <a16:creationId xmlns:a16="http://schemas.microsoft.com/office/drawing/2014/main" id="{00000000-0008-0000-0700-000010000000}"/>
            </a:ext>
          </a:extLst>
        </xdr:cNvPr>
        <xdr:cNvSpPr txBox="1"/>
      </xdr:nvSpPr>
      <xdr:spPr>
        <a:xfrm>
          <a:off x="5920220" y="1752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35</xdr:row>
      <xdr:rowOff>3706090</xdr:rowOff>
    </xdr:from>
    <xdr:to>
      <xdr:col>2</xdr:col>
      <xdr:colOff>5142675</xdr:colOff>
      <xdr:row>35</xdr:row>
      <xdr:rowOff>4005447</xdr:rowOff>
    </xdr:to>
    <xdr:sp macro="" textlink="">
      <xdr:nvSpPr>
        <xdr:cNvPr id="17" name="ZoneTexte 16">
          <a:extLst>
            <a:ext uri="{FF2B5EF4-FFF2-40B4-BE49-F238E27FC236}">
              <a16:creationId xmlns:a16="http://schemas.microsoft.com/office/drawing/2014/main" id="{00000000-0008-0000-0700-000011000000}"/>
            </a:ext>
          </a:extLst>
        </xdr:cNvPr>
        <xdr:cNvSpPr txBox="1"/>
      </xdr:nvSpPr>
      <xdr:spPr>
        <a:xfrm>
          <a:off x="5925993" y="17526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35</xdr:row>
      <xdr:rowOff>2412999</xdr:rowOff>
    </xdr:from>
    <xdr:to>
      <xdr:col>2</xdr:col>
      <xdr:colOff>5327402</xdr:colOff>
      <xdr:row>35</xdr:row>
      <xdr:rowOff>2712356</xdr:rowOff>
    </xdr:to>
    <xdr:sp macro="" textlink="">
      <xdr:nvSpPr>
        <xdr:cNvPr id="18" name="ZoneTexte 17">
          <a:extLst>
            <a:ext uri="{FF2B5EF4-FFF2-40B4-BE49-F238E27FC236}">
              <a16:creationId xmlns:a16="http://schemas.microsoft.com/office/drawing/2014/main" id="{00000000-0008-0000-0700-000012000000}"/>
            </a:ext>
          </a:extLst>
        </xdr:cNvPr>
        <xdr:cNvSpPr txBox="1"/>
      </xdr:nvSpPr>
      <xdr:spPr>
        <a:xfrm>
          <a:off x="5920220" y="1752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xdr:row>
      <xdr:rowOff>2412999</xdr:rowOff>
    </xdr:from>
    <xdr:to>
      <xdr:col>2</xdr:col>
      <xdr:colOff>5327402</xdr:colOff>
      <xdr:row>8</xdr:row>
      <xdr:rowOff>2712356</xdr:rowOff>
    </xdr:to>
    <xdr:sp macro="" textlink="">
      <xdr:nvSpPr>
        <xdr:cNvPr id="21" name="ZoneTexte 20">
          <a:extLst>
            <a:ext uri="{FF2B5EF4-FFF2-40B4-BE49-F238E27FC236}">
              <a16:creationId xmlns:a16="http://schemas.microsoft.com/office/drawing/2014/main" id="{00000000-0008-0000-0700-000015000000}"/>
            </a:ext>
          </a:extLst>
        </xdr:cNvPr>
        <xdr:cNvSpPr txBox="1"/>
      </xdr:nvSpPr>
      <xdr:spPr>
        <a:xfrm>
          <a:off x="5920220" y="2279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24" name="ZoneTexte 23">
          <a:extLst>
            <a:ext uri="{FF2B5EF4-FFF2-40B4-BE49-F238E27FC236}">
              <a16:creationId xmlns:a16="http://schemas.microsoft.com/office/drawing/2014/main" id="{00000000-0008-0000-0700-000018000000}"/>
            </a:ext>
          </a:extLst>
        </xdr:cNvPr>
        <xdr:cNvSpPr txBox="1"/>
      </xdr:nvSpPr>
      <xdr:spPr>
        <a:xfrm>
          <a:off x="5931106" y="3622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21</xdr:row>
      <xdr:rowOff>3706090</xdr:rowOff>
    </xdr:from>
    <xdr:to>
      <xdr:col>2</xdr:col>
      <xdr:colOff>5142675</xdr:colOff>
      <xdr:row>21</xdr:row>
      <xdr:rowOff>4005447</xdr:rowOff>
    </xdr:to>
    <xdr:sp macro="" textlink="">
      <xdr:nvSpPr>
        <xdr:cNvPr id="25" name="ZoneTexte 24">
          <a:extLst>
            <a:ext uri="{FF2B5EF4-FFF2-40B4-BE49-F238E27FC236}">
              <a16:creationId xmlns:a16="http://schemas.microsoft.com/office/drawing/2014/main" id="{00000000-0008-0000-0700-000019000000}"/>
            </a:ext>
          </a:extLst>
        </xdr:cNvPr>
        <xdr:cNvSpPr txBox="1"/>
      </xdr:nvSpPr>
      <xdr:spPr>
        <a:xfrm>
          <a:off x="5936879" y="3620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xdr:row>
      <xdr:rowOff>0</xdr:rowOff>
    </xdr:from>
    <xdr:to>
      <xdr:col>2</xdr:col>
      <xdr:colOff>5327402</xdr:colOff>
      <xdr:row>23</xdr:row>
      <xdr:rowOff>0</xdr:rowOff>
    </xdr:to>
    <xdr:sp macro="" textlink="">
      <xdr:nvSpPr>
        <xdr:cNvPr id="26" name="ZoneTexte 25">
          <a:extLst>
            <a:ext uri="{FF2B5EF4-FFF2-40B4-BE49-F238E27FC236}">
              <a16:creationId xmlns:a16="http://schemas.microsoft.com/office/drawing/2014/main" id="{00000000-0008-0000-0700-00001A000000}"/>
            </a:ext>
          </a:extLst>
        </xdr:cNvPr>
        <xdr:cNvSpPr txBox="1"/>
      </xdr:nvSpPr>
      <xdr:spPr>
        <a:xfrm>
          <a:off x="5931106" y="38100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xdr:row>
      <xdr:rowOff>0</xdr:rowOff>
    </xdr:from>
    <xdr:to>
      <xdr:col>2</xdr:col>
      <xdr:colOff>5327402</xdr:colOff>
      <xdr:row>23</xdr:row>
      <xdr:rowOff>0</xdr:rowOff>
    </xdr:to>
    <xdr:sp macro="" textlink="">
      <xdr:nvSpPr>
        <xdr:cNvPr id="27" name="ZoneTexte 26">
          <a:extLst>
            <a:ext uri="{FF2B5EF4-FFF2-40B4-BE49-F238E27FC236}">
              <a16:creationId xmlns:a16="http://schemas.microsoft.com/office/drawing/2014/main" id="{00000000-0008-0000-0700-00001B000000}"/>
            </a:ext>
          </a:extLst>
        </xdr:cNvPr>
        <xdr:cNvSpPr txBox="1"/>
      </xdr:nvSpPr>
      <xdr:spPr>
        <a:xfrm>
          <a:off x="5931106" y="38100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xdr:row>
      <xdr:rowOff>0</xdr:rowOff>
    </xdr:from>
    <xdr:to>
      <xdr:col>2</xdr:col>
      <xdr:colOff>5327402</xdr:colOff>
      <xdr:row>23</xdr:row>
      <xdr:rowOff>0</xdr:rowOff>
    </xdr:to>
    <xdr:sp macro="" textlink="">
      <xdr:nvSpPr>
        <xdr:cNvPr id="28" name="ZoneTexte 27">
          <a:extLst>
            <a:ext uri="{FF2B5EF4-FFF2-40B4-BE49-F238E27FC236}">
              <a16:creationId xmlns:a16="http://schemas.microsoft.com/office/drawing/2014/main" id="{00000000-0008-0000-0700-00001C000000}"/>
            </a:ext>
          </a:extLst>
        </xdr:cNvPr>
        <xdr:cNvSpPr txBox="1"/>
      </xdr:nvSpPr>
      <xdr:spPr>
        <a:xfrm>
          <a:off x="5931106" y="38100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xdr:row>
      <xdr:rowOff>2412999</xdr:rowOff>
    </xdr:from>
    <xdr:to>
      <xdr:col>2</xdr:col>
      <xdr:colOff>5327402</xdr:colOff>
      <xdr:row>23</xdr:row>
      <xdr:rowOff>2712356</xdr:rowOff>
    </xdr:to>
    <xdr:sp macro="" textlink="">
      <xdr:nvSpPr>
        <xdr:cNvPr id="29" name="ZoneTexte 28">
          <a:extLst>
            <a:ext uri="{FF2B5EF4-FFF2-40B4-BE49-F238E27FC236}">
              <a16:creationId xmlns:a16="http://schemas.microsoft.com/office/drawing/2014/main" id="{00000000-0008-0000-0700-00001D000000}"/>
            </a:ext>
          </a:extLst>
        </xdr:cNvPr>
        <xdr:cNvSpPr txBox="1"/>
      </xdr:nvSpPr>
      <xdr:spPr>
        <a:xfrm>
          <a:off x="5931106" y="4003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30" name="ZoneTexte 29">
          <a:extLst>
            <a:ext uri="{FF2B5EF4-FFF2-40B4-BE49-F238E27FC236}">
              <a16:creationId xmlns:a16="http://schemas.microsoft.com/office/drawing/2014/main" id="{00000000-0008-0000-0700-00001E000000}"/>
            </a:ext>
          </a:extLst>
        </xdr:cNvPr>
        <xdr:cNvSpPr txBox="1"/>
      </xdr:nvSpPr>
      <xdr:spPr>
        <a:xfrm>
          <a:off x="5931106" y="419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xdr:row>
      <xdr:rowOff>0</xdr:rowOff>
    </xdr:from>
    <xdr:to>
      <xdr:col>2</xdr:col>
      <xdr:colOff>5327402</xdr:colOff>
      <xdr:row>23</xdr:row>
      <xdr:rowOff>0</xdr:rowOff>
    </xdr:to>
    <xdr:sp macro="" textlink="">
      <xdr:nvSpPr>
        <xdr:cNvPr id="31" name="ZoneTexte 30">
          <a:extLst>
            <a:ext uri="{FF2B5EF4-FFF2-40B4-BE49-F238E27FC236}">
              <a16:creationId xmlns:a16="http://schemas.microsoft.com/office/drawing/2014/main" id="{00000000-0008-0000-0700-00001F000000}"/>
            </a:ext>
          </a:extLst>
        </xdr:cNvPr>
        <xdr:cNvSpPr txBox="1"/>
      </xdr:nvSpPr>
      <xdr:spPr>
        <a:xfrm>
          <a:off x="5931106" y="38100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35</xdr:row>
      <xdr:rowOff>2412999</xdr:rowOff>
    </xdr:from>
    <xdr:to>
      <xdr:col>2</xdr:col>
      <xdr:colOff>5327402</xdr:colOff>
      <xdr:row>35</xdr:row>
      <xdr:rowOff>2712356</xdr:rowOff>
    </xdr:to>
    <xdr:sp macro="" textlink="">
      <xdr:nvSpPr>
        <xdr:cNvPr id="32" name="ZoneTexte 31">
          <a:extLst>
            <a:ext uri="{FF2B5EF4-FFF2-40B4-BE49-F238E27FC236}">
              <a16:creationId xmlns:a16="http://schemas.microsoft.com/office/drawing/2014/main" id="{00000000-0008-0000-0700-000020000000}"/>
            </a:ext>
          </a:extLst>
        </xdr:cNvPr>
        <xdr:cNvSpPr txBox="1"/>
      </xdr:nvSpPr>
      <xdr:spPr>
        <a:xfrm>
          <a:off x="5931106" y="457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38</xdr:row>
      <xdr:rowOff>2412999</xdr:rowOff>
    </xdr:from>
    <xdr:to>
      <xdr:col>2</xdr:col>
      <xdr:colOff>5327402</xdr:colOff>
      <xdr:row>38</xdr:row>
      <xdr:rowOff>2712356</xdr:rowOff>
    </xdr:to>
    <xdr:sp macro="" textlink="">
      <xdr:nvSpPr>
        <xdr:cNvPr id="33" name="ZoneTexte 32">
          <a:extLst>
            <a:ext uri="{FF2B5EF4-FFF2-40B4-BE49-F238E27FC236}">
              <a16:creationId xmlns:a16="http://schemas.microsoft.com/office/drawing/2014/main" id="{00000000-0008-0000-0700-000021000000}"/>
            </a:ext>
          </a:extLst>
        </xdr:cNvPr>
        <xdr:cNvSpPr txBox="1"/>
      </xdr:nvSpPr>
      <xdr:spPr>
        <a:xfrm>
          <a:off x="5931106" y="5337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38</xdr:row>
      <xdr:rowOff>3706090</xdr:rowOff>
    </xdr:from>
    <xdr:to>
      <xdr:col>2</xdr:col>
      <xdr:colOff>5142675</xdr:colOff>
      <xdr:row>38</xdr:row>
      <xdr:rowOff>4005447</xdr:rowOff>
    </xdr:to>
    <xdr:sp macro="" textlink="">
      <xdr:nvSpPr>
        <xdr:cNvPr id="34" name="ZoneTexte 33">
          <a:extLst>
            <a:ext uri="{FF2B5EF4-FFF2-40B4-BE49-F238E27FC236}">
              <a16:creationId xmlns:a16="http://schemas.microsoft.com/office/drawing/2014/main" id="{00000000-0008-0000-0700-000022000000}"/>
            </a:ext>
          </a:extLst>
        </xdr:cNvPr>
        <xdr:cNvSpPr txBox="1"/>
      </xdr:nvSpPr>
      <xdr:spPr>
        <a:xfrm>
          <a:off x="5936879" y="5334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40</xdr:row>
      <xdr:rowOff>0</xdr:rowOff>
    </xdr:from>
    <xdr:to>
      <xdr:col>2</xdr:col>
      <xdr:colOff>5327402</xdr:colOff>
      <xdr:row>40</xdr:row>
      <xdr:rowOff>0</xdr:rowOff>
    </xdr:to>
    <xdr:sp macro="" textlink="">
      <xdr:nvSpPr>
        <xdr:cNvPr id="35" name="ZoneTexte 34">
          <a:extLst>
            <a:ext uri="{FF2B5EF4-FFF2-40B4-BE49-F238E27FC236}">
              <a16:creationId xmlns:a16="http://schemas.microsoft.com/office/drawing/2014/main" id="{00000000-0008-0000-0700-000023000000}"/>
            </a:ext>
          </a:extLst>
        </xdr:cNvPr>
        <xdr:cNvSpPr txBox="1"/>
      </xdr:nvSpPr>
      <xdr:spPr>
        <a:xfrm>
          <a:off x="5931106" y="55245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40</xdr:row>
      <xdr:rowOff>0</xdr:rowOff>
    </xdr:from>
    <xdr:to>
      <xdr:col>2</xdr:col>
      <xdr:colOff>5327402</xdr:colOff>
      <xdr:row>40</xdr:row>
      <xdr:rowOff>0</xdr:rowOff>
    </xdr:to>
    <xdr:sp macro="" textlink="">
      <xdr:nvSpPr>
        <xdr:cNvPr id="36" name="ZoneTexte 35">
          <a:extLst>
            <a:ext uri="{FF2B5EF4-FFF2-40B4-BE49-F238E27FC236}">
              <a16:creationId xmlns:a16="http://schemas.microsoft.com/office/drawing/2014/main" id="{00000000-0008-0000-0700-000024000000}"/>
            </a:ext>
          </a:extLst>
        </xdr:cNvPr>
        <xdr:cNvSpPr txBox="1"/>
      </xdr:nvSpPr>
      <xdr:spPr>
        <a:xfrm>
          <a:off x="5931106" y="55245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40</xdr:row>
      <xdr:rowOff>0</xdr:rowOff>
    </xdr:from>
    <xdr:to>
      <xdr:col>2</xdr:col>
      <xdr:colOff>5327402</xdr:colOff>
      <xdr:row>40</xdr:row>
      <xdr:rowOff>0</xdr:rowOff>
    </xdr:to>
    <xdr:sp macro="" textlink="">
      <xdr:nvSpPr>
        <xdr:cNvPr id="37" name="ZoneTexte 36">
          <a:extLst>
            <a:ext uri="{FF2B5EF4-FFF2-40B4-BE49-F238E27FC236}">
              <a16:creationId xmlns:a16="http://schemas.microsoft.com/office/drawing/2014/main" id="{00000000-0008-0000-0700-000025000000}"/>
            </a:ext>
          </a:extLst>
        </xdr:cNvPr>
        <xdr:cNvSpPr txBox="1"/>
      </xdr:nvSpPr>
      <xdr:spPr>
        <a:xfrm>
          <a:off x="5931106" y="55245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40</xdr:row>
      <xdr:rowOff>2412999</xdr:rowOff>
    </xdr:from>
    <xdr:to>
      <xdr:col>2</xdr:col>
      <xdr:colOff>5327402</xdr:colOff>
      <xdr:row>40</xdr:row>
      <xdr:rowOff>2712356</xdr:rowOff>
    </xdr:to>
    <xdr:sp macro="" textlink="">
      <xdr:nvSpPr>
        <xdr:cNvPr id="38" name="ZoneTexte 37">
          <a:extLst>
            <a:ext uri="{FF2B5EF4-FFF2-40B4-BE49-F238E27FC236}">
              <a16:creationId xmlns:a16="http://schemas.microsoft.com/office/drawing/2014/main" id="{00000000-0008-0000-0700-000026000000}"/>
            </a:ext>
          </a:extLst>
        </xdr:cNvPr>
        <xdr:cNvSpPr txBox="1"/>
      </xdr:nvSpPr>
      <xdr:spPr>
        <a:xfrm>
          <a:off x="5931106" y="5718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41</xdr:row>
      <xdr:rowOff>2412999</xdr:rowOff>
    </xdr:from>
    <xdr:to>
      <xdr:col>2</xdr:col>
      <xdr:colOff>5327402</xdr:colOff>
      <xdr:row>41</xdr:row>
      <xdr:rowOff>2712356</xdr:rowOff>
    </xdr:to>
    <xdr:sp macro="" textlink="">
      <xdr:nvSpPr>
        <xdr:cNvPr id="39" name="ZoneTexte 38">
          <a:extLst>
            <a:ext uri="{FF2B5EF4-FFF2-40B4-BE49-F238E27FC236}">
              <a16:creationId xmlns:a16="http://schemas.microsoft.com/office/drawing/2014/main" id="{00000000-0008-0000-0700-000027000000}"/>
            </a:ext>
          </a:extLst>
        </xdr:cNvPr>
        <xdr:cNvSpPr txBox="1"/>
      </xdr:nvSpPr>
      <xdr:spPr>
        <a:xfrm>
          <a:off x="5931106" y="5908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40</xdr:row>
      <xdr:rowOff>0</xdr:rowOff>
    </xdr:from>
    <xdr:to>
      <xdr:col>2</xdr:col>
      <xdr:colOff>5327402</xdr:colOff>
      <xdr:row>40</xdr:row>
      <xdr:rowOff>0</xdr:rowOff>
    </xdr:to>
    <xdr:sp macro="" textlink="">
      <xdr:nvSpPr>
        <xdr:cNvPr id="40" name="ZoneTexte 39">
          <a:extLst>
            <a:ext uri="{FF2B5EF4-FFF2-40B4-BE49-F238E27FC236}">
              <a16:creationId xmlns:a16="http://schemas.microsoft.com/office/drawing/2014/main" id="{00000000-0008-0000-0700-000028000000}"/>
            </a:ext>
          </a:extLst>
        </xdr:cNvPr>
        <xdr:cNvSpPr txBox="1"/>
      </xdr:nvSpPr>
      <xdr:spPr>
        <a:xfrm>
          <a:off x="5931106" y="55245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4710545</xdr:colOff>
      <xdr:row>17</xdr:row>
      <xdr:rowOff>2412999</xdr:rowOff>
    </xdr:from>
    <xdr:to>
      <xdr:col>2</xdr:col>
      <xdr:colOff>5327402</xdr:colOff>
      <xdr:row>17</xdr:row>
      <xdr:rowOff>2712356</xdr:rowOff>
    </xdr:to>
    <xdr:sp macro="" textlink="">
      <xdr:nvSpPr>
        <xdr:cNvPr id="2" name="ZoneTexte 1">
          <a:extLst>
            <a:ext uri="{FF2B5EF4-FFF2-40B4-BE49-F238E27FC236}">
              <a16:creationId xmlns:a16="http://schemas.microsoft.com/office/drawing/2014/main" id="{00000000-0008-0000-0900-000002000000}"/>
            </a:ext>
          </a:extLst>
        </xdr:cNvPr>
        <xdr:cNvSpPr txBox="1"/>
      </xdr:nvSpPr>
      <xdr:spPr>
        <a:xfrm>
          <a:off x="5920220" y="3232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xdr:row>
      <xdr:rowOff>3706090</xdr:rowOff>
    </xdr:from>
    <xdr:to>
      <xdr:col>2</xdr:col>
      <xdr:colOff>5142675</xdr:colOff>
      <xdr:row>17</xdr:row>
      <xdr:rowOff>4005447</xdr:rowOff>
    </xdr:to>
    <xdr:sp macro="" textlink="">
      <xdr:nvSpPr>
        <xdr:cNvPr id="3" name="ZoneTexte 2">
          <a:extLst>
            <a:ext uri="{FF2B5EF4-FFF2-40B4-BE49-F238E27FC236}">
              <a16:creationId xmlns:a16="http://schemas.microsoft.com/office/drawing/2014/main" id="{00000000-0008-0000-0900-000003000000}"/>
            </a:ext>
          </a:extLst>
        </xdr:cNvPr>
        <xdr:cNvSpPr txBox="1"/>
      </xdr:nvSpPr>
      <xdr:spPr>
        <a:xfrm>
          <a:off x="5925993" y="32298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4" name="ZoneTexte 3">
          <a:extLst>
            <a:ext uri="{FF2B5EF4-FFF2-40B4-BE49-F238E27FC236}">
              <a16:creationId xmlns:a16="http://schemas.microsoft.com/office/drawing/2014/main" id="{00000000-0008-0000-0900-000004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5" name="ZoneTexte 4">
          <a:extLst>
            <a:ext uri="{FF2B5EF4-FFF2-40B4-BE49-F238E27FC236}">
              <a16:creationId xmlns:a16="http://schemas.microsoft.com/office/drawing/2014/main" id="{00000000-0008-0000-0900-000005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6" name="ZoneTexte 5">
          <a:extLst>
            <a:ext uri="{FF2B5EF4-FFF2-40B4-BE49-F238E27FC236}">
              <a16:creationId xmlns:a16="http://schemas.microsoft.com/office/drawing/2014/main" id="{00000000-0008-0000-0900-000006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7" name="ZoneTexte 6">
          <a:extLst>
            <a:ext uri="{FF2B5EF4-FFF2-40B4-BE49-F238E27FC236}">
              <a16:creationId xmlns:a16="http://schemas.microsoft.com/office/drawing/2014/main" id="{00000000-0008-0000-0900-000007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xdr:row>
      <xdr:rowOff>2412999</xdr:rowOff>
    </xdr:from>
    <xdr:to>
      <xdr:col>2</xdr:col>
      <xdr:colOff>5327402</xdr:colOff>
      <xdr:row>19</xdr:row>
      <xdr:rowOff>2712356</xdr:rowOff>
    </xdr:to>
    <xdr:sp macro="" textlink="">
      <xdr:nvSpPr>
        <xdr:cNvPr id="10" name="ZoneTexte 9">
          <a:extLst>
            <a:ext uri="{FF2B5EF4-FFF2-40B4-BE49-F238E27FC236}">
              <a16:creationId xmlns:a16="http://schemas.microsoft.com/office/drawing/2014/main" id="{00000000-0008-0000-0900-00000A000000}"/>
            </a:ext>
          </a:extLst>
        </xdr:cNvPr>
        <xdr:cNvSpPr txBox="1"/>
      </xdr:nvSpPr>
      <xdr:spPr>
        <a:xfrm>
          <a:off x="5920220" y="3422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11" name="ZoneTexte 10">
          <a:extLst>
            <a:ext uri="{FF2B5EF4-FFF2-40B4-BE49-F238E27FC236}">
              <a16:creationId xmlns:a16="http://schemas.microsoft.com/office/drawing/2014/main" id="{00000000-0008-0000-0900-00000B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12" name="ZoneTexte 11">
          <a:extLst>
            <a:ext uri="{FF2B5EF4-FFF2-40B4-BE49-F238E27FC236}">
              <a16:creationId xmlns:a16="http://schemas.microsoft.com/office/drawing/2014/main" id="{00000000-0008-0000-0900-00000C000000}"/>
            </a:ext>
          </a:extLst>
        </xdr:cNvPr>
        <xdr:cNvSpPr txBox="1"/>
      </xdr:nvSpPr>
      <xdr:spPr>
        <a:xfrm>
          <a:off x="5920220" y="3803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13" name="ZoneTexte 12">
          <a:extLst>
            <a:ext uri="{FF2B5EF4-FFF2-40B4-BE49-F238E27FC236}">
              <a16:creationId xmlns:a16="http://schemas.microsoft.com/office/drawing/2014/main" id="{00000000-0008-0000-0900-00000D000000}"/>
            </a:ext>
          </a:extLst>
        </xdr:cNvPr>
        <xdr:cNvSpPr txBox="1"/>
      </xdr:nvSpPr>
      <xdr:spPr>
        <a:xfrm>
          <a:off x="5920220" y="3994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xdr:row>
      <xdr:rowOff>2412999</xdr:rowOff>
    </xdr:from>
    <xdr:to>
      <xdr:col>2</xdr:col>
      <xdr:colOff>5327402</xdr:colOff>
      <xdr:row>23</xdr:row>
      <xdr:rowOff>2712356</xdr:rowOff>
    </xdr:to>
    <xdr:sp macro="" textlink="">
      <xdr:nvSpPr>
        <xdr:cNvPr id="14" name="ZoneTexte 13">
          <a:extLst>
            <a:ext uri="{FF2B5EF4-FFF2-40B4-BE49-F238E27FC236}">
              <a16:creationId xmlns:a16="http://schemas.microsoft.com/office/drawing/2014/main" id="{00000000-0008-0000-0900-00000E000000}"/>
            </a:ext>
          </a:extLst>
        </xdr:cNvPr>
        <xdr:cNvSpPr txBox="1"/>
      </xdr:nvSpPr>
      <xdr:spPr>
        <a:xfrm>
          <a:off x="5920220" y="4184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15" name="ZoneTexte 14">
          <a:extLst>
            <a:ext uri="{FF2B5EF4-FFF2-40B4-BE49-F238E27FC236}">
              <a16:creationId xmlns:a16="http://schemas.microsoft.com/office/drawing/2014/main" id="{00000000-0008-0000-0900-00000F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35</xdr:row>
      <xdr:rowOff>2412999</xdr:rowOff>
    </xdr:from>
    <xdr:to>
      <xdr:col>2</xdr:col>
      <xdr:colOff>5327402</xdr:colOff>
      <xdr:row>35</xdr:row>
      <xdr:rowOff>2712356</xdr:rowOff>
    </xdr:to>
    <xdr:sp macro="" textlink="">
      <xdr:nvSpPr>
        <xdr:cNvPr id="16" name="ZoneTexte 15">
          <a:extLst>
            <a:ext uri="{FF2B5EF4-FFF2-40B4-BE49-F238E27FC236}">
              <a16:creationId xmlns:a16="http://schemas.microsoft.com/office/drawing/2014/main" id="{00000000-0008-0000-0900-000010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35</xdr:row>
      <xdr:rowOff>3706090</xdr:rowOff>
    </xdr:from>
    <xdr:to>
      <xdr:col>2</xdr:col>
      <xdr:colOff>5142675</xdr:colOff>
      <xdr:row>35</xdr:row>
      <xdr:rowOff>4005447</xdr:rowOff>
    </xdr:to>
    <xdr:sp macro="" textlink="">
      <xdr:nvSpPr>
        <xdr:cNvPr id="17" name="ZoneTexte 16">
          <a:extLst>
            <a:ext uri="{FF2B5EF4-FFF2-40B4-BE49-F238E27FC236}">
              <a16:creationId xmlns:a16="http://schemas.microsoft.com/office/drawing/2014/main" id="{00000000-0008-0000-0900-000011000000}"/>
            </a:ext>
          </a:extLst>
        </xdr:cNvPr>
        <xdr:cNvSpPr txBox="1"/>
      </xdr:nvSpPr>
      <xdr:spPr>
        <a:xfrm>
          <a:off x="5925993" y="495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35</xdr:row>
      <xdr:rowOff>2412999</xdr:rowOff>
    </xdr:from>
    <xdr:to>
      <xdr:col>2</xdr:col>
      <xdr:colOff>5327402</xdr:colOff>
      <xdr:row>35</xdr:row>
      <xdr:rowOff>2712356</xdr:rowOff>
    </xdr:to>
    <xdr:sp macro="" textlink="">
      <xdr:nvSpPr>
        <xdr:cNvPr id="18" name="ZoneTexte 17">
          <a:extLst>
            <a:ext uri="{FF2B5EF4-FFF2-40B4-BE49-F238E27FC236}">
              <a16:creationId xmlns:a16="http://schemas.microsoft.com/office/drawing/2014/main" id="{00000000-0008-0000-0900-000012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19" name="ZoneTexte 18">
          <a:extLst>
            <a:ext uri="{FF2B5EF4-FFF2-40B4-BE49-F238E27FC236}">
              <a16:creationId xmlns:a16="http://schemas.microsoft.com/office/drawing/2014/main" id="{00000000-0008-0000-0900-000013000000}"/>
            </a:ext>
          </a:extLst>
        </xdr:cNvPr>
        <xdr:cNvSpPr txBox="1"/>
      </xdr:nvSpPr>
      <xdr:spPr>
        <a:xfrm>
          <a:off x="5920220" y="4375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20" name="ZoneTexte 19">
          <a:extLst>
            <a:ext uri="{FF2B5EF4-FFF2-40B4-BE49-F238E27FC236}">
              <a16:creationId xmlns:a16="http://schemas.microsoft.com/office/drawing/2014/main" id="{00000000-0008-0000-0900-000014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xdr:row>
      <xdr:rowOff>2412999</xdr:rowOff>
    </xdr:from>
    <xdr:to>
      <xdr:col>2</xdr:col>
      <xdr:colOff>5327402</xdr:colOff>
      <xdr:row>10</xdr:row>
      <xdr:rowOff>2712356</xdr:rowOff>
    </xdr:to>
    <xdr:sp macro="" textlink="">
      <xdr:nvSpPr>
        <xdr:cNvPr id="21" name="ZoneTexte 20">
          <a:extLst>
            <a:ext uri="{FF2B5EF4-FFF2-40B4-BE49-F238E27FC236}">
              <a16:creationId xmlns:a16="http://schemas.microsoft.com/office/drawing/2014/main" id="{00000000-0008-0000-0900-000015000000}"/>
            </a:ext>
          </a:extLst>
        </xdr:cNvPr>
        <xdr:cNvSpPr txBox="1"/>
      </xdr:nvSpPr>
      <xdr:spPr>
        <a:xfrm>
          <a:off x="5920220" y="1898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23" name="ZoneTexte 22">
          <a:extLst>
            <a:ext uri="{FF2B5EF4-FFF2-40B4-BE49-F238E27FC236}">
              <a16:creationId xmlns:a16="http://schemas.microsoft.com/office/drawing/2014/main" id="{00000000-0008-0000-0900-000017000000}"/>
            </a:ext>
          </a:extLst>
        </xdr:cNvPr>
        <xdr:cNvSpPr txBox="1"/>
      </xdr:nvSpPr>
      <xdr:spPr>
        <a:xfrm>
          <a:off x="5920220" y="3232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xdr:row>
      <xdr:rowOff>3706090</xdr:rowOff>
    </xdr:from>
    <xdr:to>
      <xdr:col>2</xdr:col>
      <xdr:colOff>5142675</xdr:colOff>
      <xdr:row>17</xdr:row>
      <xdr:rowOff>4005447</xdr:rowOff>
    </xdr:to>
    <xdr:sp macro="" textlink="">
      <xdr:nvSpPr>
        <xdr:cNvPr id="24" name="ZoneTexte 23">
          <a:extLst>
            <a:ext uri="{FF2B5EF4-FFF2-40B4-BE49-F238E27FC236}">
              <a16:creationId xmlns:a16="http://schemas.microsoft.com/office/drawing/2014/main" id="{00000000-0008-0000-0900-000018000000}"/>
            </a:ext>
          </a:extLst>
        </xdr:cNvPr>
        <xdr:cNvSpPr txBox="1"/>
      </xdr:nvSpPr>
      <xdr:spPr>
        <a:xfrm>
          <a:off x="5925993" y="32298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25" name="ZoneTexte 24">
          <a:extLst>
            <a:ext uri="{FF2B5EF4-FFF2-40B4-BE49-F238E27FC236}">
              <a16:creationId xmlns:a16="http://schemas.microsoft.com/office/drawing/2014/main" id="{00000000-0008-0000-0900-000019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26" name="ZoneTexte 25">
          <a:extLst>
            <a:ext uri="{FF2B5EF4-FFF2-40B4-BE49-F238E27FC236}">
              <a16:creationId xmlns:a16="http://schemas.microsoft.com/office/drawing/2014/main" id="{00000000-0008-0000-0900-00001A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27" name="ZoneTexte 26">
          <a:extLst>
            <a:ext uri="{FF2B5EF4-FFF2-40B4-BE49-F238E27FC236}">
              <a16:creationId xmlns:a16="http://schemas.microsoft.com/office/drawing/2014/main" id="{00000000-0008-0000-0900-00001B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28" name="ZoneTexte 27">
          <a:extLst>
            <a:ext uri="{FF2B5EF4-FFF2-40B4-BE49-F238E27FC236}">
              <a16:creationId xmlns:a16="http://schemas.microsoft.com/office/drawing/2014/main" id="{00000000-0008-0000-0900-00001C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xdr:row>
      <xdr:rowOff>2412999</xdr:rowOff>
    </xdr:from>
    <xdr:to>
      <xdr:col>2</xdr:col>
      <xdr:colOff>5327402</xdr:colOff>
      <xdr:row>19</xdr:row>
      <xdr:rowOff>2712356</xdr:rowOff>
    </xdr:to>
    <xdr:sp macro="" textlink="">
      <xdr:nvSpPr>
        <xdr:cNvPr id="31" name="ZoneTexte 30">
          <a:extLst>
            <a:ext uri="{FF2B5EF4-FFF2-40B4-BE49-F238E27FC236}">
              <a16:creationId xmlns:a16="http://schemas.microsoft.com/office/drawing/2014/main" id="{00000000-0008-0000-0900-00001F000000}"/>
            </a:ext>
          </a:extLst>
        </xdr:cNvPr>
        <xdr:cNvSpPr txBox="1"/>
      </xdr:nvSpPr>
      <xdr:spPr>
        <a:xfrm>
          <a:off x="5920220" y="3422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32" name="ZoneTexte 31">
          <a:extLst>
            <a:ext uri="{FF2B5EF4-FFF2-40B4-BE49-F238E27FC236}">
              <a16:creationId xmlns:a16="http://schemas.microsoft.com/office/drawing/2014/main" id="{00000000-0008-0000-0900-000020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33" name="ZoneTexte 32">
          <a:extLst>
            <a:ext uri="{FF2B5EF4-FFF2-40B4-BE49-F238E27FC236}">
              <a16:creationId xmlns:a16="http://schemas.microsoft.com/office/drawing/2014/main" id="{00000000-0008-0000-0900-000021000000}"/>
            </a:ext>
          </a:extLst>
        </xdr:cNvPr>
        <xdr:cNvSpPr txBox="1"/>
      </xdr:nvSpPr>
      <xdr:spPr>
        <a:xfrm>
          <a:off x="5920220" y="3803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34" name="ZoneTexte 33">
          <a:extLst>
            <a:ext uri="{FF2B5EF4-FFF2-40B4-BE49-F238E27FC236}">
              <a16:creationId xmlns:a16="http://schemas.microsoft.com/office/drawing/2014/main" id="{00000000-0008-0000-0900-000022000000}"/>
            </a:ext>
          </a:extLst>
        </xdr:cNvPr>
        <xdr:cNvSpPr txBox="1"/>
      </xdr:nvSpPr>
      <xdr:spPr>
        <a:xfrm>
          <a:off x="5920220" y="3994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xdr:row>
      <xdr:rowOff>2412999</xdr:rowOff>
    </xdr:from>
    <xdr:to>
      <xdr:col>2</xdr:col>
      <xdr:colOff>5327402</xdr:colOff>
      <xdr:row>23</xdr:row>
      <xdr:rowOff>2712356</xdr:rowOff>
    </xdr:to>
    <xdr:sp macro="" textlink="">
      <xdr:nvSpPr>
        <xdr:cNvPr id="35" name="ZoneTexte 34">
          <a:extLst>
            <a:ext uri="{FF2B5EF4-FFF2-40B4-BE49-F238E27FC236}">
              <a16:creationId xmlns:a16="http://schemas.microsoft.com/office/drawing/2014/main" id="{00000000-0008-0000-0900-000023000000}"/>
            </a:ext>
          </a:extLst>
        </xdr:cNvPr>
        <xdr:cNvSpPr txBox="1"/>
      </xdr:nvSpPr>
      <xdr:spPr>
        <a:xfrm>
          <a:off x="5920220" y="4184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36" name="ZoneTexte 35">
          <a:extLst>
            <a:ext uri="{FF2B5EF4-FFF2-40B4-BE49-F238E27FC236}">
              <a16:creationId xmlns:a16="http://schemas.microsoft.com/office/drawing/2014/main" id="{00000000-0008-0000-0900-000024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35</xdr:row>
      <xdr:rowOff>2412999</xdr:rowOff>
    </xdr:from>
    <xdr:to>
      <xdr:col>2</xdr:col>
      <xdr:colOff>5327402</xdr:colOff>
      <xdr:row>35</xdr:row>
      <xdr:rowOff>2712356</xdr:rowOff>
    </xdr:to>
    <xdr:sp macro="" textlink="">
      <xdr:nvSpPr>
        <xdr:cNvPr id="37" name="ZoneTexte 36">
          <a:extLst>
            <a:ext uri="{FF2B5EF4-FFF2-40B4-BE49-F238E27FC236}">
              <a16:creationId xmlns:a16="http://schemas.microsoft.com/office/drawing/2014/main" id="{00000000-0008-0000-0900-000025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35</xdr:row>
      <xdr:rowOff>3706090</xdr:rowOff>
    </xdr:from>
    <xdr:to>
      <xdr:col>2</xdr:col>
      <xdr:colOff>5142675</xdr:colOff>
      <xdr:row>35</xdr:row>
      <xdr:rowOff>4005447</xdr:rowOff>
    </xdr:to>
    <xdr:sp macro="" textlink="">
      <xdr:nvSpPr>
        <xdr:cNvPr id="38" name="ZoneTexte 37">
          <a:extLst>
            <a:ext uri="{FF2B5EF4-FFF2-40B4-BE49-F238E27FC236}">
              <a16:creationId xmlns:a16="http://schemas.microsoft.com/office/drawing/2014/main" id="{00000000-0008-0000-0900-000026000000}"/>
            </a:ext>
          </a:extLst>
        </xdr:cNvPr>
        <xdr:cNvSpPr txBox="1"/>
      </xdr:nvSpPr>
      <xdr:spPr>
        <a:xfrm>
          <a:off x="5925993" y="495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35</xdr:row>
      <xdr:rowOff>2412999</xdr:rowOff>
    </xdr:from>
    <xdr:to>
      <xdr:col>2</xdr:col>
      <xdr:colOff>5327402</xdr:colOff>
      <xdr:row>35</xdr:row>
      <xdr:rowOff>2712356</xdr:rowOff>
    </xdr:to>
    <xdr:sp macro="" textlink="">
      <xdr:nvSpPr>
        <xdr:cNvPr id="39" name="ZoneTexte 38">
          <a:extLst>
            <a:ext uri="{FF2B5EF4-FFF2-40B4-BE49-F238E27FC236}">
              <a16:creationId xmlns:a16="http://schemas.microsoft.com/office/drawing/2014/main" id="{00000000-0008-0000-0900-000027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40" name="ZoneTexte 39">
          <a:extLst>
            <a:ext uri="{FF2B5EF4-FFF2-40B4-BE49-F238E27FC236}">
              <a16:creationId xmlns:a16="http://schemas.microsoft.com/office/drawing/2014/main" id="{00000000-0008-0000-0900-000028000000}"/>
            </a:ext>
          </a:extLst>
        </xdr:cNvPr>
        <xdr:cNvSpPr txBox="1"/>
      </xdr:nvSpPr>
      <xdr:spPr>
        <a:xfrm>
          <a:off x="5920220" y="4375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41" name="ZoneTexte 40">
          <a:extLst>
            <a:ext uri="{FF2B5EF4-FFF2-40B4-BE49-F238E27FC236}">
              <a16:creationId xmlns:a16="http://schemas.microsoft.com/office/drawing/2014/main" id="{00000000-0008-0000-0900-000029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xdr:row>
      <xdr:rowOff>2412999</xdr:rowOff>
    </xdr:from>
    <xdr:to>
      <xdr:col>2</xdr:col>
      <xdr:colOff>5327402</xdr:colOff>
      <xdr:row>10</xdr:row>
      <xdr:rowOff>2712356</xdr:rowOff>
    </xdr:to>
    <xdr:sp macro="" textlink="">
      <xdr:nvSpPr>
        <xdr:cNvPr id="42" name="ZoneTexte 41">
          <a:extLst>
            <a:ext uri="{FF2B5EF4-FFF2-40B4-BE49-F238E27FC236}">
              <a16:creationId xmlns:a16="http://schemas.microsoft.com/office/drawing/2014/main" id="{00000000-0008-0000-0900-00002A000000}"/>
            </a:ext>
          </a:extLst>
        </xdr:cNvPr>
        <xdr:cNvSpPr txBox="1"/>
      </xdr:nvSpPr>
      <xdr:spPr>
        <a:xfrm>
          <a:off x="5920220" y="1898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xdr:row>
      <xdr:rowOff>2412999</xdr:rowOff>
    </xdr:from>
    <xdr:to>
      <xdr:col>2</xdr:col>
      <xdr:colOff>5327402</xdr:colOff>
      <xdr:row>15</xdr:row>
      <xdr:rowOff>2712356</xdr:rowOff>
    </xdr:to>
    <xdr:sp macro="" textlink="">
      <xdr:nvSpPr>
        <xdr:cNvPr id="44" name="ZoneTexte 43">
          <a:extLst>
            <a:ext uri="{FF2B5EF4-FFF2-40B4-BE49-F238E27FC236}">
              <a16:creationId xmlns:a16="http://schemas.microsoft.com/office/drawing/2014/main" id="{1CE12B29-9972-4B26-814A-F83C6F24B245}"/>
            </a:ext>
          </a:extLst>
        </xdr:cNvPr>
        <xdr:cNvSpPr txBox="1"/>
      </xdr:nvSpPr>
      <xdr:spPr>
        <a:xfrm>
          <a:off x="6488999" y="721496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xdr:row>
      <xdr:rowOff>2412999</xdr:rowOff>
    </xdr:from>
    <xdr:to>
      <xdr:col>2</xdr:col>
      <xdr:colOff>5327402</xdr:colOff>
      <xdr:row>15</xdr:row>
      <xdr:rowOff>2712356</xdr:rowOff>
    </xdr:to>
    <xdr:sp macro="" textlink="">
      <xdr:nvSpPr>
        <xdr:cNvPr id="45" name="ZoneTexte 44">
          <a:extLst>
            <a:ext uri="{FF2B5EF4-FFF2-40B4-BE49-F238E27FC236}">
              <a16:creationId xmlns:a16="http://schemas.microsoft.com/office/drawing/2014/main" id="{48AD148D-ADB9-4FD8-AED2-9EE632E6AFCA}"/>
            </a:ext>
          </a:extLst>
        </xdr:cNvPr>
        <xdr:cNvSpPr txBox="1"/>
      </xdr:nvSpPr>
      <xdr:spPr>
        <a:xfrm>
          <a:off x="6488999" y="721496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xdr:row>
      <xdr:rowOff>2412999</xdr:rowOff>
    </xdr:from>
    <xdr:to>
      <xdr:col>2</xdr:col>
      <xdr:colOff>5327402</xdr:colOff>
      <xdr:row>19</xdr:row>
      <xdr:rowOff>2712356</xdr:rowOff>
    </xdr:to>
    <xdr:sp macro="" textlink="">
      <xdr:nvSpPr>
        <xdr:cNvPr id="46" name="ZoneTexte 45">
          <a:extLst>
            <a:ext uri="{FF2B5EF4-FFF2-40B4-BE49-F238E27FC236}">
              <a16:creationId xmlns:a16="http://schemas.microsoft.com/office/drawing/2014/main" id="{C80377D8-D50B-4D0F-8161-4DA7A07D0B12}"/>
            </a:ext>
          </a:extLst>
        </xdr:cNvPr>
        <xdr:cNvSpPr txBox="1"/>
      </xdr:nvSpPr>
      <xdr:spPr>
        <a:xfrm>
          <a:off x="6488999" y="721496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xdr:row>
      <xdr:rowOff>2412999</xdr:rowOff>
    </xdr:from>
    <xdr:to>
      <xdr:col>2</xdr:col>
      <xdr:colOff>5327402</xdr:colOff>
      <xdr:row>19</xdr:row>
      <xdr:rowOff>2712356</xdr:rowOff>
    </xdr:to>
    <xdr:sp macro="" textlink="">
      <xdr:nvSpPr>
        <xdr:cNvPr id="47" name="ZoneTexte 46">
          <a:extLst>
            <a:ext uri="{FF2B5EF4-FFF2-40B4-BE49-F238E27FC236}">
              <a16:creationId xmlns:a16="http://schemas.microsoft.com/office/drawing/2014/main" id="{B7898432-8BA1-4396-8872-302E880652B4}"/>
            </a:ext>
          </a:extLst>
        </xdr:cNvPr>
        <xdr:cNvSpPr txBox="1"/>
      </xdr:nvSpPr>
      <xdr:spPr>
        <a:xfrm>
          <a:off x="6488999" y="721496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48" name="ZoneTexte 47">
          <a:extLst>
            <a:ext uri="{FF2B5EF4-FFF2-40B4-BE49-F238E27FC236}">
              <a16:creationId xmlns:a16="http://schemas.microsoft.com/office/drawing/2014/main" id="{553E168A-EEB9-40D1-BF18-09003F22D04E}"/>
            </a:ext>
          </a:extLst>
        </xdr:cNvPr>
        <xdr:cNvSpPr txBox="1"/>
      </xdr:nvSpPr>
      <xdr:spPr>
        <a:xfrm>
          <a:off x="6488999" y="141818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21</xdr:row>
      <xdr:rowOff>3706090</xdr:rowOff>
    </xdr:from>
    <xdr:to>
      <xdr:col>2</xdr:col>
      <xdr:colOff>5142675</xdr:colOff>
      <xdr:row>21</xdr:row>
      <xdr:rowOff>4005447</xdr:rowOff>
    </xdr:to>
    <xdr:sp macro="" textlink="">
      <xdr:nvSpPr>
        <xdr:cNvPr id="49" name="ZoneTexte 48">
          <a:extLst>
            <a:ext uri="{FF2B5EF4-FFF2-40B4-BE49-F238E27FC236}">
              <a16:creationId xmlns:a16="http://schemas.microsoft.com/office/drawing/2014/main" id="{57B56427-3A88-40CA-B5BE-1A21EA282C7C}"/>
            </a:ext>
          </a:extLst>
        </xdr:cNvPr>
        <xdr:cNvSpPr txBox="1"/>
      </xdr:nvSpPr>
      <xdr:spPr>
        <a:xfrm>
          <a:off x="6494772" y="14179508"/>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50" name="ZoneTexte 49">
          <a:extLst>
            <a:ext uri="{FF2B5EF4-FFF2-40B4-BE49-F238E27FC236}">
              <a16:creationId xmlns:a16="http://schemas.microsoft.com/office/drawing/2014/main" id="{086A2835-ABA0-4940-B67A-0DED68FB2F33}"/>
            </a:ext>
          </a:extLst>
        </xdr:cNvPr>
        <xdr:cNvSpPr txBox="1"/>
      </xdr:nvSpPr>
      <xdr:spPr>
        <a:xfrm>
          <a:off x="6488999" y="141818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21</xdr:row>
      <xdr:rowOff>3706090</xdr:rowOff>
    </xdr:from>
    <xdr:to>
      <xdr:col>2</xdr:col>
      <xdr:colOff>5142675</xdr:colOff>
      <xdr:row>21</xdr:row>
      <xdr:rowOff>4005447</xdr:rowOff>
    </xdr:to>
    <xdr:sp macro="" textlink="">
      <xdr:nvSpPr>
        <xdr:cNvPr id="51" name="ZoneTexte 50">
          <a:extLst>
            <a:ext uri="{FF2B5EF4-FFF2-40B4-BE49-F238E27FC236}">
              <a16:creationId xmlns:a16="http://schemas.microsoft.com/office/drawing/2014/main" id="{8008532E-88E8-4264-AC62-E34311597B7D}"/>
            </a:ext>
          </a:extLst>
        </xdr:cNvPr>
        <xdr:cNvSpPr txBox="1"/>
      </xdr:nvSpPr>
      <xdr:spPr>
        <a:xfrm>
          <a:off x="6494772" y="14179508"/>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52" name="ZoneTexte 51">
          <a:extLst>
            <a:ext uri="{FF2B5EF4-FFF2-40B4-BE49-F238E27FC236}">
              <a16:creationId xmlns:a16="http://schemas.microsoft.com/office/drawing/2014/main" id="{83352CFB-BE50-4446-90F5-A72963C06668}"/>
            </a:ext>
          </a:extLst>
        </xdr:cNvPr>
        <xdr:cNvSpPr txBox="1"/>
      </xdr:nvSpPr>
      <xdr:spPr>
        <a:xfrm>
          <a:off x="6488999" y="13610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53" name="ZoneTexte 52">
          <a:extLst>
            <a:ext uri="{FF2B5EF4-FFF2-40B4-BE49-F238E27FC236}">
              <a16:creationId xmlns:a16="http://schemas.microsoft.com/office/drawing/2014/main" id="{C2B172D6-2353-4916-BEB5-8C41FB0D13AD}"/>
            </a:ext>
          </a:extLst>
        </xdr:cNvPr>
        <xdr:cNvSpPr txBox="1"/>
      </xdr:nvSpPr>
      <xdr:spPr>
        <a:xfrm>
          <a:off x="6488999" y="13610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54" name="ZoneTexte 53">
          <a:extLst>
            <a:ext uri="{FF2B5EF4-FFF2-40B4-BE49-F238E27FC236}">
              <a16:creationId xmlns:a16="http://schemas.microsoft.com/office/drawing/2014/main" id="{19056CFE-2B94-464A-BFEF-A6D592BDB8EA}"/>
            </a:ext>
          </a:extLst>
        </xdr:cNvPr>
        <xdr:cNvSpPr txBox="1"/>
      </xdr:nvSpPr>
      <xdr:spPr>
        <a:xfrm>
          <a:off x="6488999" y="141818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xdr:row>
      <xdr:rowOff>3706090</xdr:rowOff>
    </xdr:from>
    <xdr:to>
      <xdr:col>2</xdr:col>
      <xdr:colOff>5142675</xdr:colOff>
      <xdr:row>26</xdr:row>
      <xdr:rowOff>4005447</xdr:rowOff>
    </xdr:to>
    <xdr:sp macro="" textlink="">
      <xdr:nvSpPr>
        <xdr:cNvPr id="55" name="ZoneTexte 54">
          <a:extLst>
            <a:ext uri="{FF2B5EF4-FFF2-40B4-BE49-F238E27FC236}">
              <a16:creationId xmlns:a16="http://schemas.microsoft.com/office/drawing/2014/main" id="{C510BF22-FF96-43B7-A415-099687012778}"/>
            </a:ext>
          </a:extLst>
        </xdr:cNvPr>
        <xdr:cNvSpPr txBox="1"/>
      </xdr:nvSpPr>
      <xdr:spPr>
        <a:xfrm>
          <a:off x="6494772" y="14179508"/>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56" name="ZoneTexte 55">
          <a:extLst>
            <a:ext uri="{FF2B5EF4-FFF2-40B4-BE49-F238E27FC236}">
              <a16:creationId xmlns:a16="http://schemas.microsoft.com/office/drawing/2014/main" id="{BC0E40BB-57A9-4887-B456-EBCF40D6F5D2}"/>
            </a:ext>
          </a:extLst>
        </xdr:cNvPr>
        <xdr:cNvSpPr txBox="1"/>
      </xdr:nvSpPr>
      <xdr:spPr>
        <a:xfrm>
          <a:off x="6488999" y="141818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xdr:row>
      <xdr:rowOff>3706090</xdr:rowOff>
    </xdr:from>
    <xdr:to>
      <xdr:col>2</xdr:col>
      <xdr:colOff>5142675</xdr:colOff>
      <xdr:row>26</xdr:row>
      <xdr:rowOff>4005447</xdr:rowOff>
    </xdr:to>
    <xdr:sp macro="" textlink="">
      <xdr:nvSpPr>
        <xdr:cNvPr id="57" name="ZoneTexte 56">
          <a:extLst>
            <a:ext uri="{FF2B5EF4-FFF2-40B4-BE49-F238E27FC236}">
              <a16:creationId xmlns:a16="http://schemas.microsoft.com/office/drawing/2014/main" id="{EF9FAC35-7946-4813-922E-FF1D8B7042CA}"/>
            </a:ext>
          </a:extLst>
        </xdr:cNvPr>
        <xdr:cNvSpPr txBox="1"/>
      </xdr:nvSpPr>
      <xdr:spPr>
        <a:xfrm>
          <a:off x="6494772" y="14179508"/>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xdr:row>
      <xdr:rowOff>2412999</xdr:rowOff>
    </xdr:from>
    <xdr:to>
      <xdr:col>2</xdr:col>
      <xdr:colOff>5327402</xdr:colOff>
      <xdr:row>27</xdr:row>
      <xdr:rowOff>2712356</xdr:rowOff>
    </xdr:to>
    <xdr:sp macro="" textlink="">
      <xdr:nvSpPr>
        <xdr:cNvPr id="58" name="ZoneTexte 57">
          <a:extLst>
            <a:ext uri="{FF2B5EF4-FFF2-40B4-BE49-F238E27FC236}">
              <a16:creationId xmlns:a16="http://schemas.microsoft.com/office/drawing/2014/main" id="{8D2A19B5-7021-4AE3-9A07-73D1510841C8}"/>
            </a:ext>
          </a:extLst>
        </xdr:cNvPr>
        <xdr:cNvSpPr txBox="1"/>
      </xdr:nvSpPr>
      <xdr:spPr>
        <a:xfrm>
          <a:off x="6488999" y="21611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xdr:row>
      <xdr:rowOff>2412999</xdr:rowOff>
    </xdr:from>
    <xdr:to>
      <xdr:col>2</xdr:col>
      <xdr:colOff>5327402</xdr:colOff>
      <xdr:row>28</xdr:row>
      <xdr:rowOff>2712356</xdr:rowOff>
    </xdr:to>
    <xdr:sp macro="" textlink="">
      <xdr:nvSpPr>
        <xdr:cNvPr id="59" name="ZoneTexte 58">
          <a:extLst>
            <a:ext uri="{FF2B5EF4-FFF2-40B4-BE49-F238E27FC236}">
              <a16:creationId xmlns:a16="http://schemas.microsoft.com/office/drawing/2014/main" id="{00549ADA-AC75-4989-AB8E-6A8B4093BB87}"/>
            </a:ext>
          </a:extLst>
        </xdr:cNvPr>
        <xdr:cNvSpPr txBox="1"/>
      </xdr:nvSpPr>
      <xdr:spPr>
        <a:xfrm>
          <a:off x="6488999" y="22754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xdr:row>
      <xdr:rowOff>2412999</xdr:rowOff>
    </xdr:from>
    <xdr:to>
      <xdr:col>2</xdr:col>
      <xdr:colOff>5327402</xdr:colOff>
      <xdr:row>29</xdr:row>
      <xdr:rowOff>2712356</xdr:rowOff>
    </xdr:to>
    <xdr:sp macro="" textlink="">
      <xdr:nvSpPr>
        <xdr:cNvPr id="60" name="ZoneTexte 59">
          <a:extLst>
            <a:ext uri="{FF2B5EF4-FFF2-40B4-BE49-F238E27FC236}">
              <a16:creationId xmlns:a16="http://schemas.microsoft.com/office/drawing/2014/main" id="{9193971C-EE3D-426B-BEAD-14B367159EBD}"/>
            </a:ext>
          </a:extLst>
        </xdr:cNvPr>
        <xdr:cNvSpPr txBox="1"/>
      </xdr:nvSpPr>
      <xdr:spPr>
        <a:xfrm>
          <a:off x="6488999" y="24659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xdr:row>
      <xdr:rowOff>2412999</xdr:rowOff>
    </xdr:from>
    <xdr:to>
      <xdr:col>2</xdr:col>
      <xdr:colOff>5327402</xdr:colOff>
      <xdr:row>27</xdr:row>
      <xdr:rowOff>2712356</xdr:rowOff>
    </xdr:to>
    <xdr:sp macro="" textlink="">
      <xdr:nvSpPr>
        <xdr:cNvPr id="61" name="ZoneTexte 60">
          <a:extLst>
            <a:ext uri="{FF2B5EF4-FFF2-40B4-BE49-F238E27FC236}">
              <a16:creationId xmlns:a16="http://schemas.microsoft.com/office/drawing/2014/main" id="{F1C68C18-F939-4458-A627-C8386D9B3157}"/>
            </a:ext>
          </a:extLst>
        </xdr:cNvPr>
        <xdr:cNvSpPr txBox="1"/>
      </xdr:nvSpPr>
      <xdr:spPr>
        <a:xfrm>
          <a:off x="6488999" y="21611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xdr:row>
      <xdr:rowOff>2412999</xdr:rowOff>
    </xdr:from>
    <xdr:to>
      <xdr:col>2</xdr:col>
      <xdr:colOff>5327402</xdr:colOff>
      <xdr:row>28</xdr:row>
      <xdr:rowOff>2712356</xdr:rowOff>
    </xdr:to>
    <xdr:sp macro="" textlink="">
      <xdr:nvSpPr>
        <xdr:cNvPr id="62" name="ZoneTexte 61">
          <a:extLst>
            <a:ext uri="{FF2B5EF4-FFF2-40B4-BE49-F238E27FC236}">
              <a16:creationId xmlns:a16="http://schemas.microsoft.com/office/drawing/2014/main" id="{5A868A38-1D2D-4D12-BB7E-FD5855C53F85}"/>
            </a:ext>
          </a:extLst>
        </xdr:cNvPr>
        <xdr:cNvSpPr txBox="1"/>
      </xdr:nvSpPr>
      <xdr:spPr>
        <a:xfrm>
          <a:off x="6488999" y="22754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xdr:row>
      <xdr:rowOff>2412999</xdr:rowOff>
    </xdr:from>
    <xdr:to>
      <xdr:col>2</xdr:col>
      <xdr:colOff>5327402</xdr:colOff>
      <xdr:row>29</xdr:row>
      <xdr:rowOff>2712356</xdr:rowOff>
    </xdr:to>
    <xdr:sp macro="" textlink="">
      <xdr:nvSpPr>
        <xdr:cNvPr id="63" name="ZoneTexte 62">
          <a:extLst>
            <a:ext uri="{FF2B5EF4-FFF2-40B4-BE49-F238E27FC236}">
              <a16:creationId xmlns:a16="http://schemas.microsoft.com/office/drawing/2014/main" id="{C854F101-BA81-4083-9CDF-6C71FAAE5969}"/>
            </a:ext>
          </a:extLst>
        </xdr:cNvPr>
        <xdr:cNvSpPr txBox="1"/>
      </xdr:nvSpPr>
      <xdr:spPr>
        <a:xfrm>
          <a:off x="6488999" y="24659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xdr:row>
      <xdr:rowOff>2412999</xdr:rowOff>
    </xdr:from>
    <xdr:to>
      <xdr:col>2</xdr:col>
      <xdr:colOff>5327402</xdr:colOff>
      <xdr:row>29</xdr:row>
      <xdr:rowOff>2712356</xdr:rowOff>
    </xdr:to>
    <xdr:sp macro="" textlink="">
      <xdr:nvSpPr>
        <xdr:cNvPr id="64" name="ZoneTexte 63">
          <a:extLst>
            <a:ext uri="{FF2B5EF4-FFF2-40B4-BE49-F238E27FC236}">
              <a16:creationId xmlns:a16="http://schemas.microsoft.com/office/drawing/2014/main" id="{A57864D2-CBF3-4EA8-A7DA-C4A255C3275D}"/>
            </a:ext>
          </a:extLst>
        </xdr:cNvPr>
        <xdr:cNvSpPr txBox="1"/>
      </xdr:nvSpPr>
      <xdr:spPr>
        <a:xfrm>
          <a:off x="6488999" y="24659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xdr:row>
      <xdr:rowOff>2412999</xdr:rowOff>
    </xdr:from>
    <xdr:to>
      <xdr:col>2</xdr:col>
      <xdr:colOff>5327402</xdr:colOff>
      <xdr:row>29</xdr:row>
      <xdr:rowOff>2712356</xdr:rowOff>
    </xdr:to>
    <xdr:sp macro="" textlink="">
      <xdr:nvSpPr>
        <xdr:cNvPr id="65" name="ZoneTexte 64">
          <a:extLst>
            <a:ext uri="{FF2B5EF4-FFF2-40B4-BE49-F238E27FC236}">
              <a16:creationId xmlns:a16="http://schemas.microsoft.com/office/drawing/2014/main" id="{379D02BC-8DDB-47BA-8D14-DE539EBFA98B}"/>
            </a:ext>
          </a:extLst>
        </xdr:cNvPr>
        <xdr:cNvSpPr txBox="1"/>
      </xdr:nvSpPr>
      <xdr:spPr>
        <a:xfrm>
          <a:off x="6488999" y="24659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xdr:row>
      <xdr:rowOff>2412999</xdr:rowOff>
    </xdr:from>
    <xdr:to>
      <xdr:col>2</xdr:col>
      <xdr:colOff>5327402</xdr:colOff>
      <xdr:row>30</xdr:row>
      <xdr:rowOff>2712356</xdr:rowOff>
    </xdr:to>
    <xdr:sp macro="" textlink="">
      <xdr:nvSpPr>
        <xdr:cNvPr id="66" name="ZoneTexte 65">
          <a:extLst>
            <a:ext uri="{FF2B5EF4-FFF2-40B4-BE49-F238E27FC236}">
              <a16:creationId xmlns:a16="http://schemas.microsoft.com/office/drawing/2014/main" id="{08FA6BCA-B9E4-4844-96C1-687271C40453}"/>
            </a:ext>
          </a:extLst>
        </xdr:cNvPr>
        <xdr:cNvSpPr txBox="1"/>
      </xdr:nvSpPr>
      <xdr:spPr>
        <a:xfrm>
          <a:off x="6488999" y="25040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xdr:row>
      <xdr:rowOff>2412999</xdr:rowOff>
    </xdr:from>
    <xdr:to>
      <xdr:col>2</xdr:col>
      <xdr:colOff>5327402</xdr:colOff>
      <xdr:row>30</xdr:row>
      <xdr:rowOff>2712356</xdr:rowOff>
    </xdr:to>
    <xdr:sp macro="" textlink="">
      <xdr:nvSpPr>
        <xdr:cNvPr id="67" name="ZoneTexte 66">
          <a:extLst>
            <a:ext uri="{FF2B5EF4-FFF2-40B4-BE49-F238E27FC236}">
              <a16:creationId xmlns:a16="http://schemas.microsoft.com/office/drawing/2014/main" id="{5021EAA9-7B1C-44C1-B097-88A8469C020D}"/>
            </a:ext>
          </a:extLst>
        </xdr:cNvPr>
        <xdr:cNvSpPr txBox="1"/>
      </xdr:nvSpPr>
      <xdr:spPr>
        <a:xfrm>
          <a:off x="6488999" y="25040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xdr:row>
      <xdr:rowOff>2412999</xdr:rowOff>
    </xdr:from>
    <xdr:to>
      <xdr:col>2</xdr:col>
      <xdr:colOff>5327402</xdr:colOff>
      <xdr:row>30</xdr:row>
      <xdr:rowOff>2712356</xdr:rowOff>
    </xdr:to>
    <xdr:sp macro="" textlink="">
      <xdr:nvSpPr>
        <xdr:cNvPr id="68" name="ZoneTexte 67">
          <a:extLst>
            <a:ext uri="{FF2B5EF4-FFF2-40B4-BE49-F238E27FC236}">
              <a16:creationId xmlns:a16="http://schemas.microsoft.com/office/drawing/2014/main" id="{E4203C6F-A021-41D7-A65F-FEFCBCDAC8A6}"/>
            </a:ext>
          </a:extLst>
        </xdr:cNvPr>
        <xdr:cNvSpPr txBox="1"/>
      </xdr:nvSpPr>
      <xdr:spPr>
        <a:xfrm>
          <a:off x="6488999" y="25040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xdr:row>
      <xdr:rowOff>2412999</xdr:rowOff>
    </xdr:from>
    <xdr:to>
      <xdr:col>2</xdr:col>
      <xdr:colOff>5327402</xdr:colOff>
      <xdr:row>30</xdr:row>
      <xdr:rowOff>2712356</xdr:rowOff>
    </xdr:to>
    <xdr:sp macro="" textlink="">
      <xdr:nvSpPr>
        <xdr:cNvPr id="69" name="ZoneTexte 68">
          <a:extLst>
            <a:ext uri="{FF2B5EF4-FFF2-40B4-BE49-F238E27FC236}">
              <a16:creationId xmlns:a16="http://schemas.microsoft.com/office/drawing/2014/main" id="{4D819709-67D1-4A0A-BEA2-6D3D8AE9B23F}"/>
            </a:ext>
          </a:extLst>
        </xdr:cNvPr>
        <xdr:cNvSpPr txBox="1"/>
      </xdr:nvSpPr>
      <xdr:spPr>
        <a:xfrm>
          <a:off x="6488999" y="25040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xdr:row>
      <xdr:rowOff>2412999</xdr:rowOff>
    </xdr:from>
    <xdr:to>
      <xdr:col>2</xdr:col>
      <xdr:colOff>5327402</xdr:colOff>
      <xdr:row>30</xdr:row>
      <xdr:rowOff>2712356</xdr:rowOff>
    </xdr:to>
    <xdr:sp macro="" textlink="">
      <xdr:nvSpPr>
        <xdr:cNvPr id="70" name="ZoneTexte 69">
          <a:extLst>
            <a:ext uri="{FF2B5EF4-FFF2-40B4-BE49-F238E27FC236}">
              <a16:creationId xmlns:a16="http://schemas.microsoft.com/office/drawing/2014/main" id="{5602CF65-6692-40ED-87F1-1E61F4A5D8FF}"/>
            </a:ext>
          </a:extLst>
        </xdr:cNvPr>
        <xdr:cNvSpPr txBox="1"/>
      </xdr:nvSpPr>
      <xdr:spPr>
        <a:xfrm>
          <a:off x="6488999" y="25040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xdr:row>
      <xdr:rowOff>2412999</xdr:rowOff>
    </xdr:from>
    <xdr:to>
      <xdr:col>2</xdr:col>
      <xdr:colOff>5327402</xdr:colOff>
      <xdr:row>30</xdr:row>
      <xdr:rowOff>2712356</xdr:rowOff>
    </xdr:to>
    <xdr:sp macro="" textlink="">
      <xdr:nvSpPr>
        <xdr:cNvPr id="71" name="ZoneTexte 70">
          <a:extLst>
            <a:ext uri="{FF2B5EF4-FFF2-40B4-BE49-F238E27FC236}">
              <a16:creationId xmlns:a16="http://schemas.microsoft.com/office/drawing/2014/main" id="{3732567D-8749-41CF-B4DE-85AF8627FA61}"/>
            </a:ext>
          </a:extLst>
        </xdr:cNvPr>
        <xdr:cNvSpPr txBox="1"/>
      </xdr:nvSpPr>
      <xdr:spPr>
        <a:xfrm>
          <a:off x="6488999" y="250403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72" name="ZoneTexte 71">
          <a:extLst>
            <a:ext uri="{FF2B5EF4-FFF2-40B4-BE49-F238E27FC236}">
              <a16:creationId xmlns:a16="http://schemas.microsoft.com/office/drawing/2014/main" id="{B4771109-8EC4-41BD-BBF7-5B349FCBF183}"/>
            </a:ext>
          </a:extLst>
        </xdr:cNvPr>
        <xdr:cNvSpPr txBox="1"/>
      </xdr:nvSpPr>
      <xdr:spPr>
        <a:xfrm>
          <a:off x="6488999" y="252308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xdr:row>
      <xdr:rowOff>3706090</xdr:rowOff>
    </xdr:from>
    <xdr:to>
      <xdr:col>2</xdr:col>
      <xdr:colOff>5142675</xdr:colOff>
      <xdr:row>31</xdr:row>
      <xdr:rowOff>4005447</xdr:rowOff>
    </xdr:to>
    <xdr:sp macro="" textlink="">
      <xdr:nvSpPr>
        <xdr:cNvPr id="73" name="ZoneTexte 72">
          <a:extLst>
            <a:ext uri="{FF2B5EF4-FFF2-40B4-BE49-F238E27FC236}">
              <a16:creationId xmlns:a16="http://schemas.microsoft.com/office/drawing/2014/main" id="{79501D5D-0C69-4EF6-943B-50777641D53C}"/>
            </a:ext>
          </a:extLst>
        </xdr:cNvPr>
        <xdr:cNvSpPr txBox="1"/>
      </xdr:nvSpPr>
      <xdr:spPr>
        <a:xfrm>
          <a:off x="6494772" y="25228508"/>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74" name="ZoneTexte 73">
          <a:extLst>
            <a:ext uri="{FF2B5EF4-FFF2-40B4-BE49-F238E27FC236}">
              <a16:creationId xmlns:a16="http://schemas.microsoft.com/office/drawing/2014/main" id="{80B2FFED-CFDF-46FA-8EA3-422ED3554057}"/>
            </a:ext>
          </a:extLst>
        </xdr:cNvPr>
        <xdr:cNvSpPr txBox="1"/>
      </xdr:nvSpPr>
      <xdr:spPr>
        <a:xfrm>
          <a:off x="6488999" y="252308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xdr:row>
      <xdr:rowOff>3706090</xdr:rowOff>
    </xdr:from>
    <xdr:to>
      <xdr:col>2</xdr:col>
      <xdr:colOff>5142675</xdr:colOff>
      <xdr:row>31</xdr:row>
      <xdr:rowOff>4005447</xdr:rowOff>
    </xdr:to>
    <xdr:sp macro="" textlink="">
      <xdr:nvSpPr>
        <xdr:cNvPr id="75" name="ZoneTexte 74">
          <a:extLst>
            <a:ext uri="{FF2B5EF4-FFF2-40B4-BE49-F238E27FC236}">
              <a16:creationId xmlns:a16="http://schemas.microsoft.com/office/drawing/2014/main" id="{888D52EB-2324-4F68-A19A-10DCA6DB0555}"/>
            </a:ext>
          </a:extLst>
        </xdr:cNvPr>
        <xdr:cNvSpPr txBox="1"/>
      </xdr:nvSpPr>
      <xdr:spPr>
        <a:xfrm>
          <a:off x="6494772" y="25228508"/>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xdr:row>
      <xdr:rowOff>2412999</xdr:rowOff>
    </xdr:from>
    <xdr:to>
      <xdr:col>2</xdr:col>
      <xdr:colOff>5327402</xdr:colOff>
      <xdr:row>32</xdr:row>
      <xdr:rowOff>2712356</xdr:rowOff>
    </xdr:to>
    <xdr:sp macro="" textlink="">
      <xdr:nvSpPr>
        <xdr:cNvPr id="76" name="ZoneTexte 75">
          <a:extLst>
            <a:ext uri="{FF2B5EF4-FFF2-40B4-BE49-F238E27FC236}">
              <a16:creationId xmlns:a16="http://schemas.microsoft.com/office/drawing/2014/main" id="{BFDF66E0-892A-4EE6-B65E-7771A16203B3}"/>
            </a:ext>
          </a:extLst>
        </xdr:cNvPr>
        <xdr:cNvSpPr txBox="1"/>
      </xdr:nvSpPr>
      <xdr:spPr>
        <a:xfrm>
          <a:off x="6488999" y="286598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xdr:row>
      <xdr:rowOff>2412999</xdr:rowOff>
    </xdr:from>
    <xdr:to>
      <xdr:col>2</xdr:col>
      <xdr:colOff>5327402</xdr:colOff>
      <xdr:row>33</xdr:row>
      <xdr:rowOff>2712356</xdr:rowOff>
    </xdr:to>
    <xdr:sp macro="" textlink="">
      <xdr:nvSpPr>
        <xdr:cNvPr id="77" name="ZoneTexte 76">
          <a:extLst>
            <a:ext uri="{FF2B5EF4-FFF2-40B4-BE49-F238E27FC236}">
              <a16:creationId xmlns:a16="http://schemas.microsoft.com/office/drawing/2014/main" id="{C616ED93-A8C7-4682-92ED-D9C9B5F08E64}"/>
            </a:ext>
          </a:extLst>
        </xdr:cNvPr>
        <xdr:cNvSpPr txBox="1"/>
      </xdr:nvSpPr>
      <xdr:spPr>
        <a:xfrm>
          <a:off x="6488999" y="305648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xdr:row>
      <xdr:rowOff>2412999</xdr:rowOff>
    </xdr:from>
    <xdr:to>
      <xdr:col>2</xdr:col>
      <xdr:colOff>5327402</xdr:colOff>
      <xdr:row>32</xdr:row>
      <xdr:rowOff>2712356</xdr:rowOff>
    </xdr:to>
    <xdr:sp macro="" textlink="">
      <xdr:nvSpPr>
        <xdr:cNvPr id="78" name="ZoneTexte 77">
          <a:extLst>
            <a:ext uri="{FF2B5EF4-FFF2-40B4-BE49-F238E27FC236}">
              <a16:creationId xmlns:a16="http://schemas.microsoft.com/office/drawing/2014/main" id="{C38047A4-3738-4AEA-B887-294B2425A6D7}"/>
            </a:ext>
          </a:extLst>
        </xdr:cNvPr>
        <xdr:cNvSpPr txBox="1"/>
      </xdr:nvSpPr>
      <xdr:spPr>
        <a:xfrm>
          <a:off x="6488999" y="286598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xdr:row>
      <xdr:rowOff>2412999</xdr:rowOff>
    </xdr:from>
    <xdr:to>
      <xdr:col>2</xdr:col>
      <xdr:colOff>5327402</xdr:colOff>
      <xdr:row>33</xdr:row>
      <xdr:rowOff>2712356</xdr:rowOff>
    </xdr:to>
    <xdr:sp macro="" textlink="">
      <xdr:nvSpPr>
        <xdr:cNvPr id="79" name="ZoneTexte 78">
          <a:extLst>
            <a:ext uri="{FF2B5EF4-FFF2-40B4-BE49-F238E27FC236}">
              <a16:creationId xmlns:a16="http://schemas.microsoft.com/office/drawing/2014/main" id="{0F536E9D-4D20-4FA8-837A-B8E4D53E4277}"/>
            </a:ext>
          </a:extLst>
        </xdr:cNvPr>
        <xdr:cNvSpPr txBox="1"/>
      </xdr:nvSpPr>
      <xdr:spPr>
        <a:xfrm>
          <a:off x="6488999" y="305648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xdr:row>
      <xdr:rowOff>2412999</xdr:rowOff>
    </xdr:from>
    <xdr:to>
      <xdr:col>2</xdr:col>
      <xdr:colOff>5327402</xdr:colOff>
      <xdr:row>33</xdr:row>
      <xdr:rowOff>2712356</xdr:rowOff>
    </xdr:to>
    <xdr:sp macro="" textlink="">
      <xdr:nvSpPr>
        <xdr:cNvPr id="80" name="ZoneTexte 79">
          <a:extLst>
            <a:ext uri="{FF2B5EF4-FFF2-40B4-BE49-F238E27FC236}">
              <a16:creationId xmlns:a16="http://schemas.microsoft.com/office/drawing/2014/main" id="{2238D5E8-316F-4BC0-A417-60173BEBFDEE}"/>
            </a:ext>
          </a:extLst>
        </xdr:cNvPr>
        <xdr:cNvSpPr txBox="1"/>
      </xdr:nvSpPr>
      <xdr:spPr>
        <a:xfrm>
          <a:off x="6488999" y="305648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xdr:row>
      <xdr:rowOff>2412999</xdr:rowOff>
    </xdr:from>
    <xdr:to>
      <xdr:col>2</xdr:col>
      <xdr:colOff>5327402</xdr:colOff>
      <xdr:row>33</xdr:row>
      <xdr:rowOff>2712356</xdr:rowOff>
    </xdr:to>
    <xdr:sp macro="" textlink="">
      <xdr:nvSpPr>
        <xdr:cNvPr id="81" name="ZoneTexte 80">
          <a:extLst>
            <a:ext uri="{FF2B5EF4-FFF2-40B4-BE49-F238E27FC236}">
              <a16:creationId xmlns:a16="http://schemas.microsoft.com/office/drawing/2014/main" id="{3DB23111-C1A7-419B-B579-8B5C60BD85E0}"/>
            </a:ext>
          </a:extLst>
        </xdr:cNvPr>
        <xdr:cNvSpPr txBox="1"/>
      </xdr:nvSpPr>
      <xdr:spPr>
        <a:xfrm>
          <a:off x="6488999" y="30564817"/>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52</xdr:row>
      <xdr:rowOff>2412999</xdr:rowOff>
    </xdr:from>
    <xdr:to>
      <xdr:col>2</xdr:col>
      <xdr:colOff>5327402</xdr:colOff>
      <xdr:row>52</xdr:row>
      <xdr:rowOff>2712356</xdr:rowOff>
    </xdr:to>
    <xdr:sp macro="" textlink="">
      <xdr:nvSpPr>
        <xdr:cNvPr id="22" name="ZoneTexte 21">
          <a:extLst>
            <a:ext uri="{FF2B5EF4-FFF2-40B4-BE49-F238E27FC236}">
              <a16:creationId xmlns:a16="http://schemas.microsoft.com/office/drawing/2014/main" id="{3224F02B-E58C-4EE9-B7E6-F4597185782B}"/>
            </a:ext>
          </a:extLst>
        </xdr:cNvPr>
        <xdr:cNvSpPr txBox="1"/>
      </xdr:nvSpPr>
      <xdr:spPr>
        <a:xfrm>
          <a:off x="6842784" y="35908342"/>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52</xdr:row>
      <xdr:rowOff>3706090</xdr:rowOff>
    </xdr:from>
    <xdr:to>
      <xdr:col>2</xdr:col>
      <xdr:colOff>5142675</xdr:colOff>
      <xdr:row>52</xdr:row>
      <xdr:rowOff>4005447</xdr:rowOff>
    </xdr:to>
    <xdr:sp macro="" textlink="">
      <xdr:nvSpPr>
        <xdr:cNvPr id="43" name="ZoneTexte 42">
          <a:extLst>
            <a:ext uri="{FF2B5EF4-FFF2-40B4-BE49-F238E27FC236}">
              <a16:creationId xmlns:a16="http://schemas.microsoft.com/office/drawing/2014/main" id="{11F9043E-04DA-45C1-BCF6-20460B7C18D8}"/>
            </a:ext>
          </a:extLst>
        </xdr:cNvPr>
        <xdr:cNvSpPr txBox="1"/>
      </xdr:nvSpPr>
      <xdr:spPr>
        <a:xfrm>
          <a:off x="6848557" y="35906033"/>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52</xdr:row>
      <xdr:rowOff>2412999</xdr:rowOff>
    </xdr:from>
    <xdr:to>
      <xdr:col>2</xdr:col>
      <xdr:colOff>5327402</xdr:colOff>
      <xdr:row>52</xdr:row>
      <xdr:rowOff>2712356</xdr:rowOff>
    </xdr:to>
    <xdr:sp macro="" textlink="">
      <xdr:nvSpPr>
        <xdr:cNvPr id="82" name="ZoneTexte 81">
          <a:extLst>
            <a:ext uri="{FF2B5EF4-FFF2-40B4-BE49-F238E27FC236}">
              <a16:creationId xmlns:a16="http://schemas.microsoft.com/office/drawing/2014/main" id="{18B283F5-55FE-4655-8141-591C9834200A}"/>
            </a:ext>
          </a:extLst>
        </xdr:cNvPr>
        <xdr:cNvSpPr txBox="1"/>
      </xdr:nvSpPr>
      <xdr:spPr>
        <a:xfrm>
          <a:off x="6842784" y="35908342"/>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52</xdr:row>
      <xdr:rowOff>2412999</xdr:rowOff>
    </xdr:from>
    <xdr:to>
      <xdr:col>2</xdr:col>
      <xdr:colOff>5327402</xdr:colOff>
      <xdr:row>52</xdr:row>
      <xdr:rowOff>2712356</xdr:rowOff>
    </xdr:to>
    <xdr:sp macro="" textlink="">
      <xdr:nvSpPr>
        <xdr:cNvPr id="83" name="ZoneTexte 82">
          <a:extLst>
            <a:ext uri="{FF2B5EF4-FFF2-40B4-BE49-F238E27FC236}">
              <a16:creationId xmlns:a16="http://schemas.microsoft.com/office/drawing/2014/main" id="{D20E2C51-6430-48B4-9A26-0AE121176A2D}"/>
            </a:ext>
          </a:extLst>
        </xdr:cNvPr>
        <xdr:cNvSpPr txBox="1"/>
      </xdr:nvSpPr>
      <xdr:spPr>
        <a:xfrm>
          <a:off x="6842784" y="35908342"/>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52</xdr:row>
      <xdr:rowOff>3706090</xdr:rowOff>
    </xdr:from>
    <xdr:to>
      <xdr:col>2</xdr:col>
      <xdr:colOff>5142675</xdr:colOff>
      <xdr:row>52</xdr:row>
      <xdr:rowOff>4005447</xdr:rowOff>
    </xdr:to>
    <xdr:sp macro="" textlink="">
      <xdr:nvSpPr>
        <xdr:cNvPr id="84" name="ZoneTexte 83">
          <a:extLst>
            <a:ext uri="{FF2B5EF4-FFF2-40B4-BE49-F238E27FC236}">
              <a16:creationId xmlns:a16="http://schemas.microsoft.com/office/drawing/2014/main" id="{7B09E3B7-2199-44D6-903D-5946F4820143}"/>
            </a:ext>
          </a:extLst>
        </xdr:cNvPr>
        <xdr:cNvSpPr txBox="1"/>
      </xdr:nvSpPr>
      <xdr:spPr>
        <a:xfrm>
          <a:off x="6848557" y="35906033"/>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52</xdr:row>
      <xdr:rowOff>2412999</xdr:rowOff>
    </xdr:from>
    <xdr:to>
      <xdr:col>2</xdr:col>
      <xdr:colOff>5327402</xdr:colOff>
      <xdr:row>52</xdr:row>
      <xdr:rowOff>2712356</xdr:rowOff>
    </xdr:to>
    <xdr:sp macro="" textlink="">
      <xdr:nvSpPr>
        <xdr:cNvPr id="85" name="ZoneTexte 84">
          <a:extLst>
            <a:ext uri="{FF2B5EF4-FFF2-40B4-BE49-F238E27FC236}">
              <a16:creationId xmlns:a16="http://schemas.microsoft.com/office/drawing/2014/main" id="{E286C2F1-F209-4003-927D-FDEE416AE58C}"/>
            </a:ext>
          </a:extLst>
        </xdr:cNvPr>
        <xdr:cNvSpPr txBox="1"/>
      </xdr:nvSpPr>
      <xdr:spPr>
        <a:xfrm>
          <a:off x="6842784" y="35908342"/>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91</xdr:row>
      <xdr:rowOff>2412999</xdr:rowOff>
    </xdr:from>
    <xdr:to>
      <xdr:col>2</xdr:col>
      <xdr:colOff>5327402</xdr:colOff>
      <xdr:row>91</xdr:row>
      <xdr:rowOff>2712356</xdr:rowOff>
    </xdr:to>
    <xdr:sp macro="" textlink="">
      <xdr:nvSpPr>
        <xdr:cNvPr id="86" name="ZoneTexte 85">
          <a:extLst>
            <a:ext uri="{FF2B5EF4-FFF2-40B4-BE49-F238E27FC236}">
              <a16:creationId xmlns:a16="http://schemas.microsoft.com/office/drawing/2014/main" id="{4D061E6E-26BA-4CC8-ACE5-08D70E963772}"/>
            </a:ext>
          </a:extLst>
        </xdr:cNvPr>
        <xdr:cNvSpPr txBox="1"/>
      </xdr:nvSpPr>
      <xdr:spPr>
        <a:xfrm>
          <a:off x="6842784" y="5422355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91</xdr:row>
      <xdr:rowOff>3706090</xdr:rowOff>
    </xdr:from>
    <xdr:to>
      <xdr:col>2</xdr:col>
      <xdr:colOff>5142675</xdr:colOff>
      <xdr:row>91</xdr:row>
      <xdr:rowOff>4005447</xdr:rowOff>
    </xdr:to>
    <xdr:sp macro="" textlink="">
      <xdr:nvSpPr>
        <xdr:cNvPr id="87" name="ZoneTexte 86">
          <a:extLst>
            <a:ext uri="{FF2B5EF4-FFF2-40B4-BE49-F238E27FC236}">
              <a16:creationId xmlns:a16="http://schemas.microsoft.com/office/drawing/2014/main" id="{EDDA0D77-9FD1-4DF8-8628-F23D08BAD627}"/>
            </a:ext>
          </a:extLst>
        </xdr:cNvPr>
        <xdr:cNvSpPr txBox="1"/>
      </xdr:nvSpPr>
      <xdr:spPr>
        <a:xfrm>
          <a:off x="6848557" y="54221247"/>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91</xdr:row>
      <xdr:rowOff>2412999</xdr:rowOff>
    </xdr:from>
    <xdr:to>
      <xdr:col>2</xdr:col>
      <xdr:colOff>5327402</xdr:colOff>
      <xdr:row>91</xdr:row>
      <xdr:rowOff>2712356</xdr:rowOff>
    </xdr:to>
    <xdr:sp macro="" textlink="">
      <xdr:nvSpPr>
        <xdr:cNvPr id="88" name="ZoneTexte 87">
          <a:extLst>
            <a:ext uri="{FF2B5EF4-FFF2-40B4-BE49-F238E27FC236}">
              <a16:creationId xmlns:a16="http://schemas.microsoft.com/office/drawing/2014/main" id="{85F8C031-3D80-4CCB-8EF2-C16B2171A721}"/>
            </a:ext>
          </a:extLst>
        </xdr:cNvPr>
        <xdr:cNvSpPr txBox="1"/>
      </xdr:nvSpPr>
      <xdr:spPr>
        <a:xfrm>
          <a:off x="6842784" y="5422355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91</xdr:row>
      <xdr:rowOff>2412999</xdr:rowOff>
    </xdr:from>
    <xdr:to>
      <xdr:col>2</xdr:col>
      <xdr:colOff>5327402</xdr:colOff>
      <xdr:row>91</xdr:row>
      <xdr:rowOff>2712356</xdr:rowOff>
    </xdr:to>
    <xdr:sp macro="" textlink="">
      <xdr:nvSpPr>
        <xdr:cNvPr id="89" name="ZoneTexte 88">
          <a:extLst>
            <a:ext uri="{FF2B5EF4-FFF2-40B4-BE49-F238E27FC236}">
              <a16:creationId xmlns:a16="http://schemas.microsoft.com/office/drawing/2014/main" id="{EF0C25AF-F2FB-4B9D-863B-6E626AA2D630}"/>
            </a:ext>
          </a:extLst>
        </xdr:cNvPr>
        <xdr:cNvSpPr txBox="1"/>
      </xdr:nvSpPr>
      <xdr:spPr>
        <a:xfrm>
          <a:off x="6842784" y="5422355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91</xdr:row>
      <xdr:rowOff>3706090</xdr:rowOff>
    </xdr:from>
    <xdr:to>
      <xdr:col>2</xdr:col>
      <xdr:colOff>5142675</xdr:colOff>
      <xdr:row>91</xdr:row>
      <xdr:rowOff>4005447</xdr:rowOff>
    </xdr:to>
    <xdr:sp macro="" textlink="">
      <xdr:nvSpPr>
        <xdr:cNvPr id="90" name="ZoneTexte 89">
          <a:extLst>
            <a:ext uri="{FF2B5EF4-FFF2-40B4-BE49-F238E27FC236}">
              <a16:creationId xmlns:a16="http://schemas.microsoft.com/office/drawing/2014/main" id="{841127DA-8CEB-48EC-8DA0-FB9099DC4A80}"/>
            </a:ext>
          </a:extLst>
        </xdr:cNvPr>
        <xdr:cNvSpPr txBox="1"/>
      </xdr:nvSpPr>
      <xdr:spPr>
        <a:xfrm>
          <a:off x="6848557" y="54221247"/>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91</xdr:row>
      <xdr:rowOff>2412999</xdr:rowOff>
    </xdr:from>
    <xdr:to>
      <xdr:col>2</xdr:col>
      <xdr:colOff>5327402</xdr:colOff>
      <xdr:row>91</xdr:row>
      <xdr:rowOff>2712356</xdr:rowOff>
    </xdr:to>
    <xdr:sp macro="" textlink="">
      <xdr:nvSpPr>
        <xdr:cNvPr id="91" name="ZoneTexte 90">
          <a:extLst>
            <a:ext uri="{FF2B5EF4-FFF2-40B4-BE49-F238E27FC236}">
              <a16:creationId xmlns:a16="http://schemas.microsoft.com/office/drawing/2014/main" id="{A82F2536-1407-4C34-9841-B37402FD822F}"/>
            </a:ext>
          </a:extLst>
        </xdr:cNvPr>
        <xdr:cNvSpPr txBox="1"/>
      </xdr:nvSpPr>
      <xdr:spPr>
        <a:xfrm>
          <a:off x="6842784" y="5422355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130</xdr:row>
      <xdr:rowOff>2412999</xdr:rowOff>
    </xdr:from>
    <xdr:to>
      <xdr:col>2</xdr:col>
      <xdr:colOff>5327402</xdr:colOff>
      <xdr:row>130</xdr:row>
      <xdr:rowOff>2712356</xdr:rowOff>
    </xdr:to>
    <xdr:sp macro="" textlink="">
      <xdr:nvSpPr>
        <xdr:cNvPr id="92" name="ZoneTexte 91">
          <a:extLst>
            <a:ext uri="{FF2B5EF4-FFF2-40B4-BE49-F238E27FC236}">
              <a16:creationId xmlns:a16="http://schemas.microsoft.com/office/drawing/2014/main" id="{69D8CDAF-F046-40C5-B69A-CA78512682C2}"/>
            </a:ext>
          </a:extLst>
        </xdr:cNvPr>
        <xdr:cNvSpPr txBox="1"/>
      </xdr:nvSpPr>
      <xdr:spPr>
        <a:xfrm>
          <a:off x="6842784" y="8454027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130</xdr:row>
      <xdr:rowOff>3706090</xdr:rowOff>
    </xdr:from>
    <xdr:to>
      <xdr:col>2</xdr:col>
      <xdr:colOff>5142675</xdr:colOff>
      <xdr:row>130</xdr:row>
      <xdr:rowOff>4005447</xdr:rowOff>
    </xdr:to>
    <xdr:sp macro="" textlink="">
      <xdr:nvSpPr>
        <xdr:cNvPr id="93" name="ZoneTexte 92">
          <a:extLst>
            <a:ext uri="{FF2B5EF4-FFF2-40B4-BE49-F238E27FC236}">
              <a16:creationId xmlns:a16="http://schemas.microsoft.com/office/drawing/2014/main" id="{0D00376C-8445-47AB-A40A-AF48E426B917}"/>
            </a:ext>
          </a:extLst>
        </xdr:cNvPr>
        <xdr:cNvSpPr txBox="1"/>
      </xdr:nvSpPr>
      <xdr:spPr>
        <a:xfrm>
          <a:off x="6848557" y="84537961"/>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130</xdr:row>
      <xdr:rowOff>2412999</xdr:rowOff>
    </xdr:from>
    <xdr:to>
      <xdr:col>2</xdr:col>
      <xdr:colOff>5327402</xdr:colOff>
      <xdr:row>130</xdr:row>
      <xdr:rowOff>2712356</xdr:rowOff>
    </xdr:to>
    <xdr:sp macro="" textlink="">
      <xdr:nvSpPr>
        <xdr:cNvPr id="94" name="ZoneTexte 93">
          <a:extLst>
            <a:ext uri="{FF2B5EF4-FFF2-40B4-BE49-F238E27FC236}">
              <a16:creationId xmlns:a16="http://schemas.microsoft.com/office/drawing/2014/main" id="{1FCBDBB8-FB99-4A44-A1E8-1FCD9F16C032}"/>
            </a:ext>
          </a:extLst>
        </xdr:cNvPr>
        <xdr:cNvSpPr txBox="1"/>
      </xdr:nvSpPr>
      <xdr:spPr>
        <a:xfrm>
          <a:off x="6842784" y="8454027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130</xdr:row>
      <xdr:rowOff>2412999</xdr:rowOff>
    </xdr:from>
    <xdr:to>
      <xdr:col>2</xdr:col>
      <xdr:colOff>5327402</xdr:colOff>
      <xdr:row>130</xdr:row>
      <xdr:rowOff>2712356</xdr:rowOff>
    </xdr:to>
    <xdr:sp macro="" textlink="">
      <xdr:nvSpPr>
        <xdr:cNvPr id="95" name="ZoneTexte 94">
          <a:extLst>
            <a:ext uri="{FF2B5EF4-FFF2-40B4-BE49-F238E27FC236}">
              <a16:creationId xmlns:a16="http://schemas.microsoft.com/office/drawing/2014/main" id="{5BAA5004-B481-478F-AE29-F9782C0B9471}"/>
            </a:ext>
          </a:extLst>
        </xdr:cNvPr>
        <xdr:cNvSpPr txBox="1"/>
      </xdr:nvSpPr>
      <xdr:spPr>
        <a:xfrm>
          <a:off x="6842784" y="8454027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130</xdr:row>
      <xdr:rowOff>3706090</xdr:rowOff>
    </xdr:from>
    <xdr:to>
      <xdr:col>2</xdr:col>
      <xdr:colOff>5142675</xdr:colOff>
      <xdr:row>130</xdr:row>
      <xdr:rowOff>4005447</xdr:rowOff>
    </xdr:to>
    <xdr:sp macro="" textlink="">
      <xdr:nvSpPr>
        <xdr:cNvPr id="96" name="ZoneTexte 95">
          <a:extLst>
            <a:ext uri="{FF2B5EF4-FFF2-40B4-BE49-F238E27FC236}">
              <a16:creationId xmlns:a16="http://schemas.microsoft.com/office/drawing/2014/main" id="{2CC34AEA-1A91-421C-9C52-159E155206CF}"/>
            </a:ext>
          </a:extLst>
        </xdr:cNvPr>
        <xdr:cNvSpPr txBox="1"/>
      </xdr:nvSpPr>
      <xdr:spPr>
        <a:xfrm>
          <a:off x="6848557" y="84537961"/>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130</xdr:row>
      <xdr:rowOff>2412999</xdr:rowOff>
    </xdr:from>
    <xdr:to>
      <xdr:col>2</xdr:col>
      <xdr:colOff>5327402</xdr:colOff>
      <xdr:row>130</xdr:row>
      <xdr:rowOff>2712356</xdr:rowOff>
    </xdr:to>
    <xdr:sp macro="" textlink="">
      <xdr:nvSpPr>
        <xdr:cNvPr id="97" name="ZoneTexte 96">
          <a:extLst>
            <a:ext uri="{FF2B5EF4-FFF2-40B4-BE49-F238E27FC236}">
              <a16:creationId xmlns:a16="http://schemas.microsoft.com/office/drawing/2014/main" id="{7CB7288A-8F09-4C86-A39A-EAEBA969A866}"/>
            </a:ext>
          </a:extLst>
        </xdr:cNvPr>
        <xdr:cNvSpPr txBox="1"/>
      </xdr:nvSpPr>
      <xdr:spPr>
        <a:xfrm>
          <a:off x="6842784" y="8454027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98" name="ZoneTexte 97">
          <a:extLst>
            <a:ext uri="{FF2B5EF4-FFF2-40B4-BE49-F238E27FC236}">
              <a16:creationId xmlns:a16="http://schemas.microsoft.com/office/drawing/2014/main" id="{A2D14E4D-DEFA-4792-B35E-0E4F90C5DA79}"/>
            </a:ext>
          </a:extLst>
        </xdr:cNvPr>
        <xdr:cNvSpPr txBox="1"/>
      </xdr:nvSpPr>
      <xdr:spPr>
        <a:xfrm>
          <a:off x="6842784" y="11312887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159</xdr:row>
      <xdr:rowOff>3706090</xdr:rowOff>
    </xdr:from>
    <xdr:to>
      <xdr:col>2</xdr:col>
      <xdr:colOff>5142675</xdr:colOff>
      <xdr:row>159</xdr:row>
      <xdr:rowOff>4005447</xdr:rowOff>
    </xdr:to>
    <xdr:sp macro="" textlink="">
      <xdr:nvSpPr>
        <xdr:cNvPr id="99" name="ZoneTexte 98">
          <a:extLst>
            <a:ext uri="{FF2B5EF4-FFF2-40B4-BE49-F238E27FC236}">
              <a16:creationId xmlns:a16="http://schemas.microsoft.com/office/drawing/2014/main" id="{18C6DA16-31F5-46BF-BDEE-C3BE51B6BCD1}"/>
            </a:ext>
          </a:extLst>
        </xdr:cNvPr>
        <xdr:cNvSpPr txBox="1"/>
      </xdr:nvSpPr>
      <xdr:spPr>
        <a:xfrm>
          <a:off x="6848557" y="11312656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00" name="ZoneTexte 99">
          <a:extLst>
            <a:ext uri="{FF2B5EF4-FFF2-40B4-BE49-F238E27FC236}">
              <a16:creationId xmlns:a16="http://schemas.microsoft.com/office/drawing/2014/main" id="{6BA88B4C-2517-41D3-8C2C-67EA959C3EEC}"/>
            </a:ext>
          </a:extLst>
        </xdr:cNvPr>
        <xdr:cNvSpPr txBox="1"/>
      </xdr:nvSpPr>
      <xdr:spPr>
        <a:xfrm>
          <a:off x="6842784" y="11312887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01" name="ZoneTexte 100">
          <a:extLst>
            <a:ext uri="{FF2B5EF4-FFF2-40B4-BE49-F238E27FC236}">
              <a16:creationId xmlns:a16="http://schemas.microsoft.com/office/drawing/2014/main" id="{A5352A73-2A1B-4C4B-A174-6E2264B0330A}"/>
            </a:ext>
          </a:extLst>
        </xdr:cNvPr>
        <xdr:cNvSpPr txBox="1"/>
      </xdr:nvSpPr>
      <xdr:spPr>
        <a:xfrm>
          <a:off x="6842784" y="11312887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159</xdr:row>
      <xdr:rowOff>3706090</xdr:rowOff>
    </xdr:from>
    <xdr:to>
      <xdr:col>2</xdr:col>
      <xdr:colOff>5142675</xdr:colOff>
      <xdr:row>159</xdr:row>
      <xdr:rowOff>4005447</xdr:rowOff>
    </xdr:to>
    <xdr:sp macro="" textlink="">
      <xdr:nvSpPr>
        <xdr:cNvPr id="102" name="ZoneTexte 101">
          <a:extLst>
            <a:ext uri="{FF2B5EF4-FFF2-40B4-BE49-F238E27FC236}">
              <a16:creationId xmlns:a16="http://schemas.microsoft.com/office/drawing/2014/main" id="{6023D94D-7673-4F5E-814B-47B6815D1469}"/>
            </a:ext>
          </a:extLst>
        </xdr:cNvPr>
        <xdr:cNvSpPr txBox="1"/>
      </xdr:nvSpPr>
      <xdr:spPr>
        <a:xfrm>
          <a:off x="6848557" y="11312656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03" name="ZoneTexte 102">
          <a:extLst>
            <a:ext uri="{FF2B5EF4-FFF2-40B4-BE49-F238E27FC236}">
              <a16:creationId xmlns:a16="http://schemas.microsoft.com/office/drawing/2014/main" id="{0822B624-72ED-4F12-9B0D-73CBB63FA363}"/>
            </a:ext>
          </a:extLst>
        </xdr:cNvPr>
        <xdr:cNvSpPr txBox="1"/>
      </xdr:nvSpPr>
      <xdr:spPr>
        <a:xfrm>
          <a:off x="6842784" y="11312887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104" name="ZoneTexte 103">
          <a:extLst>
            <a:ext uri="{FF2B5EF4-FFF2-40B4-BE49-F238E27FC236}">
              <a16:creationId xmlns:a16="http://schemas.microsoft.com/office/drawing/2014/main" id="{7C530248-4A2C-410A-8188-2FBEE71D6D82}"/>
            </a:ext>
          </a:extLst>
        </xdr:cNvPr>
        <xdr:cNvSpPr txBox="1"/>
      </xdr:nvSpPr>
      <xdr:spPr>
        <a:xfrm>
          <a:off x="6842784" y="134668985"/>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172</xdr:row>
      <xdr:rowOff>3706090</xdr:rowOff>
    </xdr:from>
    <xdr:to>
      <xdr:col>2</xdr:col>
      <xdr:colOff>5142675</xdr:colOff>
      <xdr:row>172</xdr:row>
      <xdr:rowOff>4005447</xdr:rowOff>
    </xdr:to>
    <xdr:sp macro="" textlink="">
      <xdr:nvSpPr>
        <xdr:cNvPr id="105" name="ZoneTexte 104">
          <a:extLst>
            <a:ext uri="{FF2B5EF4-FFF2-40B4-BE49-F238E27FC236}">
              <a16:creationId xmlns:a16="http://schemas.microsoft.com/office/drawing/2014/main" id="{4C4FFA7C-DBC5-4726-98E7-5FB69F63657C}"/>
            </a:ext>
          </a:extLst>
        </xdr:cNvPr>
        <xdr:cNvSpPr txBox="1"/>
      </xdr:nvSpPr>
      <xdr:spPr>
        <a:xfrm>
          <a:off x="6848557" y="134666676"/>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106" name="ZoneTexte 105">
          <a:extLst>
            <a:ext uri="{FF2B5EF4-FFF2-40B4-BE49-F238E27FC236}">
              <a16:creationId xmlns:a16="http://schemas.microsoft.com/office/drawing/2014/main" id="{8FFE3F79-691F-43C8-8E53-4DA6120AD83B}"/>
            </a:ext>
          </a:extLst>
        </xdr:cNvPr>
        <xdr:cNvSpPr txBox="1"/>
      </xdr:nvSpPr>
      <xdr:spPr>
        <a:xfrm>
          <a:off x="6842784" y="134668985"/>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107" name="ZoneTexte 106">
          <a:extLst>
            <a:ext uri="{FF2B5EF4-FFF2-40B4-BE49-F238E27FC236}">
              <a16:creationId xmlns:a16="http://schemas.microsoft.com/office/drawing/2014/main" id="{4109CCDE-9F7C-4D9A-8024-7EEE62245C64}"/>
            </a:ext>
          </a:extLst>
        </xdr:cNvPr>
        <xdr:cNvSpPr txBox="1"/>
      </xdr:nvSpPr>
      <xdr:spPr>
        <a:xfrm>
          <a:off x="6842784" y="134668985"/>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172</xdr:row>
      <xdr:rowOff>3706090</xdr:rowOff>
    </xdr:from>
    <xdr:to>
      <xdr:col>2</xdr:col>
      <xdr:colOff>5142675</xdr:colOff>
      <xdr:row>172</xdr:row>
      <xdr:rowOff>4005447</xdr:rowOff>
    </xdr:to>
    <xdr:sp macro="" textlink="">
      <xdr:nvSpPr>
        <xdr:cNvPr id="108" name="ZoneTexte 107">
          <a:extLst>
            <a:ext uri="{FF2B5EF4-FFF2-40B4-BE49-F238E27FC236}">
              <a16:creationId xmlns:a16="http://schemas.microsoft.com/office/drawing/2014/main" id="{21B6903E-4D16-4340-9EF8-C019B6EE0A3F}"/>
            </a:ext>
          </a:extLst>
        </xdr:cNvPr>
        <xdr:cNvSpPr txBox="1"/>
      </xdr:nvSpPr>
      <xdr:spPr>
        <a:xfrm>
          <a:off x="6848557" y="134666676"/>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109" name="ZoneTexte 108">
          <a:extLst>
            <a:ext uri="{FF2B5EF4-FFF2-40B4-BE49-F238E27FC236}">
              <a16:creationId xmlns:a16="http://schemas.microsoft.com/office/drawing/2014/main" id="{8BBF81AD-3846-4385-A854-9122D93E0B68}"/>
            </a:ext>
          </a:extLst>
        </xdr:cNvPr>
        <xdr:cNvSpPr txBox="1"/>
      </xdr:nvSpPr>
      <xdr:spPr>
        <a:xfrm>
          <a:off x="6842784" y="134668985"/>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185</xdr:row>
      <xdr:rowOff>2412999</xdr:rowOff>
    </xdr:from>
    <xdr:to>
      <xdr:col>2</xdr:col>
      <xdr:colOff>5327402</xdr:colOff>
      <xdr:row>185</xdr:row>
      <xdr:rowOff>2712356</xdr:rowOff>
    </xdr:to>
    <xdr:sp macro="" textlink="">
      <xdr:nvSpPr>
        <xdr:cNvPr id="110" name="ZoneTexte 109">
          <a:extLst>
            <a:ext uri="{FF2B5EF4-FFF2-40B4-BE49-F238E27FC236}">
              <a16:creationId xmlns:a16="http://schemas.microsoft.com/office/drawing/2014/main" id="{F861A8C9-4BC7-45DC-B372-EB496371943A}"/>
            </a:ext>
          </a:extLst>
        </xdr:cNvPr>
        <xdr:cNvSpPr txBox="1"/>
      </xdr:nvSpPr>
      <xdr:spPr>
        <a:xfrm>
          <a:off x="6842784" y="152399092"/>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185</xdr:row>
      <xdr:rowOff>3706090</xdr:rowOff>
    </xdr:from>
    <xdr:to>
      <xdr:col>2</xdr:col>
      <xdr:colOff>5142675</xdr:colOff>
      <xdr:row>185</xdr:row>
      <xdr:rowOff>4005447</xdr:rowOff>
    </xdr:to>
    <xdr:sp macro="" textlink="">
      <xdr:nvSpPr>
        <xdr:cNvPr id="111" name="ZoneTexte 110">
          <a:extLst>
            <a:ext uri="{FF2B5EF4-FFF2-40B4-BE49-F238E27FC236}">
              <a16:creationId xmlns:a16="http://schemas.microsoft.com/office/drawing/2014/main" id="{814358CD-DEDD-44F9-A084-63EAD2A6BBB1}"/>
            </a:ext>
          </a:extLst>
        </xdr:cNvPr>
        <xdr:cNvSpPr txBox="1"/>
      </xdr:nvSpPr>
      <xdr:spPr>
        <a:xfrm>
          <a:off x="6848557" y="152396783"/>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185</xdr:row>
      <xdr:rowOff>2412999</xdr:rowOff>
    </xdr:from>
    <xdr:to>
      <xdr:col>2</xdr:col>
      <xdr:colOff>5327402</xdr:colOff>
      <xdr:row>185</xdr:row>
      <xdr:rowOff>2712356</xdr:rowOff>
    </xdr:to>
    <xdr:sp macro="" textlink="">
      <xdr:nvSpPr>
        <xdr:cNvPr id="112" name="ZoneTexte 111">
          <a:extLst>
            <a:ext uri="{FF2B5EF4-FFF2-40B4-BE49-F238E27FC236}">
              <a16:creationId xmlns:a16="http://schemas.microsoft.com/office/drawing/2014/main" id="{2A1A31A0-19AD-4440-BED7-9D951B5ABDE1}"/>
            </a:ext>
          </a:extLst>
        </xdr:cNvPr>
        <xdr:cNvSpPr txBox="1"/>
      </xdr:nvSpPr>
      <xdr:spPr>
        <a:xfrm>
          <a:off x="6842784" y="152399092"/>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185</xdr:row>
      <xdr:rowOff>2412999</xdr:rowOff>
    </xdr:from>
    <xdr:to>
      <xdr:col>2</xdr:col>
      <xdr:colOff>5327402</xdr:colOff>
      <xdr:row>185</xdr:row>
      <xdr:rowOff>2712356</xdr:rowOff>
    </xdr:to>
    <xdr:sp macro="" textlink="">
      <xdr:nvSpPr>
        <xdr:cNvPr id="113" name="ZoneTexte 112">
          <a:extLst>
            <a:ext uri="{FF2B5EF4-FFF2-40B4-BE49-F238E27FC236}">
              <a16:creationId xmlns:a16="http://schemas.microsoft.com/office/drawing/2014/main" id="{B1C053BB-A903-4F89-BC8B-7B0925382465}"/>
            </a:ext>
          </a:extLst>
        </xdr:cNvPr>
        <xdr:cNvSpPr txBox="1"/>
      </xdr:nvSpPr>
      <xdr:spPr>
        <a:xfrm>
          <a:off x="6842784" y="152399092"/>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185</xdr:row>
      <xdr:rowOff>3706090</xdr:rowOff>
    </xdr:from>
    <xdr:to>
      <xdr:col>2</xdr:col>
      <xdr:colOff>5142675</xdr:colOff>
      <xdr:row>185</xdr:row>
      <xdr:rowOff>4005447</xdr:rowOff>
    </xdr:to>
    <xdr:sp macro="" textlink="">
      <xdr:nvSpPr>
        <xdr:cNvPr id="114" name="ZoneTexte 113">
          <a:extLst>
            <a:ext uri="{FF2B5EF4-FFF2-40B4-BE49-F238E27FC236}">
              <a16:creationId xmlns:a16="http://schemas.microsoft.com/office/drawing/2014/main" id="{44AAF391-D5DA-4D1E-A812-5D9858E67CD1}"/>
            </a:ext>
          </a:extLst>
        </xdr:cNvPr>
        <xdr:cNvSpPr txBox="1"/>
      </xdr:nvSpPr>
      <xdr:spPr>
        <a:xfrm>
          <a:off x="6848557" y="152396783"/>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185</xdr:row>
      <xdr:rowOff>2412999</xdr:rowOff>
    </xdr:from>
    <xdr:to>
      <xdr:col>2</xdr:col>
      <xdr:colOff>5327402</xdr:colOff>
      <xdr:row>185</xdr:row>
      <xdr:rowOff>2712356</xdr:rowOff>
    </xdr:to>
    <xdr:sp macro="" textlink="">
      <xdr:nvSpPr>
        <xdr:cNvPr id="115" name="ZoneTexte 114">
          <a:extLst>
            <a:ext uri="{FF2B5EF4-FFF2-40B4-BE49-F238E27FC236}">
              <a16:creationId xmlns:a16="http://schemas.microsoft.com/office/drawing/2014/main" id="{597E5E7C-7B00-4A32-A359-DC72E303CD35}"/>
            </a:ext>
          </a:extLst>
        </xdr:cNvPr>
        <xdr:cNvSpPr txBox="1"/>
      </xdr:nvSpPr>
      <xdr:spPr>
        <a:xfrm>
          <a:off x="6842784" y="152399092"/>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198</xdr:row>
      <xdr:rowOff>2412999</xdr:rowOff>
    </xdr:from>
    <xdr:to>
      <xdr:col>2</xdr:col>
      <xdr:colOff>5327402</xdr:colOff>
      <xdr:row>198</xdr:row>
      <xdr:rowOff>2712356</xdr:rowOff>
    </xdr:to>
    <xdr:sp macro="" textlink="">
      <xdr:nvSpPr>
        <xdr:cNvPr id="116" name="ZoneTexte 115">
          <a:extLst>
            <a:ext uri="{FF2B5EF4-FFF2-40B4-BE49-F238E27FC236}">
              <a16:creationId xmlns:a16="http://schemas.microsoft.com/office/drawing/2014/main" id="{D0EE9986-3170-4EC8-9748-8F452D54BF05}"/>
            </a:ext>
          </a:extLst>
        </xdr:cNvPr>
        <xdr:cNvSpPr txBox="1"/>
      </xdr:nvSpPr>
      <xdr:spPr>
        <a:xfrm>
          <a:off x="6842784" y="1701291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198</xdr:row>
      <xdr:rowOff>3706090</xdr:rowOff>
    </xdr:from>
    <xdr:to>
      <xdr:col>2</xdr:col>
      <xdr:colOff>5142675</xdr:colOff>
      <xdr:row>198</xdr:row>
      <xdr:rowOff>4005447</xdr:rowOff>
    </xdr:to>
    <xdr:sp macro="" textlink="">
      <xdr:nvSpPr>
        <xdr:cNvPr id="117" name="ZoneTexte 116">
          <a:extLst>
            <a:ext uri="{FF2B5EF4-FFF2-40B4-BE49-F238E27FC236}">
              <a16:creationId xmlns:a16="http://schemas.microsoft.com/office/drawing/2014/main" id="{EEF80E43-04EC-4298-A485-F8A3C413D95C}"/>
            </a:ext>
          </a:extLst>
        </xdr:cNvPr>
        <xdr:cNvSpPr txBox="1"/>
      </xdr:nvSpPr>
      <xdr:spPr>
        <a:xfrm>
          <a:off x="6848557" y="1701268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198</xdr:row>
      <xdr:rowOff>2412999</xdr:rowOff>
    </xdr:from>
    <xdr:to>
      <xdr:col>2</xdr:col>
      <xdr:colOff>5327402</xdr:colOff>
      <xdr:row>198</xdr:row>
      <xdr:rowOff>2712356</xdr:rowOff>
    </xdr:to>
    <xdr:sp macro="" textlink="">
      <xdr:nvSpPr>
        <xdr:cNvPr id="118" name="ZoneTexte 117">
          <a:extLst>
            <a:ext uri="{FF2B5EF4-FFF2-40B4-BE49-F238E27FC236}">
              <a16:creationId xmlns:a16="http://schemas.microsoft.com/office/drawing/2014/main" id="{4371D729-B9EA-431E-BB6D-866E0AA620C6}"/>
            </a:ext>
          </a:extLst>
        </xdr:cNvPr>
        <xdr:cNvSpPr txBox="1"/>
      </xdr:nvSpPr>
      <xdr:spPr>
        <a:xfrm>
          <a:off x="6842784" y="1701291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198</xdr:row>
      <xdr:rowOff>2412999</xdr:rowOff>
    </xdr:from>
    <xdr:to>
      <xdr:col>2</xdr:col>
      <xdr:colOff>5327402</xdr:colOff>
      <xdr:row>198</xdr:row>
      <xdr:rowOff>2712356</xdr:rowOff>
    </xdr:to>
    <xdr:sp macro="" textlink="">
      <xdr:nvSpPr>
        <xdr:cNvPr id="119" name="ZoneTexte 118">
          <a:extLst>
            <a:ext uri="{FF2B5EF4-FFF2-40B4-BE49-F238E27FC236}">
              <a16:creationId xmlns:a16="http://schemas.microsoft.com/office/drawing/2014/main" id="{C872CA47-727C-4DE7-A1AF-EFE75E9BED23}"/>
            </a:ext>
          </a:extLst>
        </xdr:cNvPr>
        <xdr:cNvSpPr txBox="1"/>
      </xdr:nvSpPr>
      <xdr:spPr>
        <a:xfrm>
          <a:off x="6842784" y="1701291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198</xdr:row>
      <xdr:rowOff>3706090</xdr:rowOff>
    </xdr:from>
    <xdr:to>
      <xdr:col>2</xdr:col>
      <xdr:colOff>5142675</xdr:colOff>
      <xdr:row>198</xdr:row>
      <xdr:rowOff>4005447</xdr:rowOff>
    </xdr:to>
    <xdr:sp macro="" textlink="">
      <xdr:nvSpPr>
        <xdr:cNvPr id="120" name="ZoneTexte 119">
          <a:extLst>
            <a:ext uri="{FF2B5EF4-FFF2-40B4-BE49-F238E27FC236}">
              <a16:creationId xmlns:a16="http://schemas.microsoft.com/office/drawing/2014/main" id="{4503F3EA-27D3-4E2F-8525-C7D4C01CB398}"/>
            </a:ext>
          </a:extLst>
        </xdr:cNvPr>
        <xdr:cNvSpPr txBox="1"/>
      </xdr:nvSpPr>
      <xdr:spPr>
        <a:xfrm>
          <a:off x="6848557" y="1701268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198</xdr:row>
      <xdr:rowOff>2412999</xdr:rowOff>
    </xdr:from>
    <xdr:to>
      <xdr:col>2</xdr:col>
      <xdr:colOff>5327402</xdr:colOff>
      <xdr:row>198</xdr:row>
      <xdr:rowOff>2712356</xdr:rowOff>
    </xdr:to>
    <xdr:sp macro="" textlink="">
      <xdr:nvSpPr>
        <xdr:cNvPr id="121" name="ZoneTexte 120">
          <a:extLst>
            <a:ext uri="{FF2B5EF4-FFF2-40B4-BE49-F238E27FC236}">
              <a16:creationId xmlns:a16="http://schemas.microsoft.com/office/drawing/2014/main" id="{E525F385-B558-457C-84FC-0810059DF6E1}"/>
            </a:ext>
          </a:extLst>
        </xdr:cNvPr>
        <xdr:cNvSpPr txBox="1"/>
      </xdr:nvSpPr>
      <xdr:spPr>
        <a:xfrm>
          <a:off x="6842784" y="1701291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4710545</xdr:colOff>
      <xdr:row>15</xdr:row>
      <xdr:rowOff>2412999</xdr:rowOff>
    </xdr:from>
    <xdr:to>
      <xdr:col>2</xdr:col>
      <xdr:colOff>5327402</xdr:colOff>
      <xdr:row>15</xdr:row>
      <xdr:rowOff>2712356</xdr:rowOff>
    </xdr:to>
    <xdr:sp macro="" textlink="">
      <xdr:nvSpPr>
        <xdr:cNvPr id="2" name="ZoneTexte 1">
          <a:extLst>
            <a:ext uri="{FF2B5EF4-FFF2-40B4-BE49-F238E27FC236}">
              <a16:creationId xmlns:a16="http://schemas.microsoft.com/office/drawing/2014/main" id="{00000000-0008-0000-0A00-000002000000}"/>
            </a:ext>
          </a:extLst>
        </xdr:cNvPr>
        <xdr:cNvSpPr txBox="1"/>
      </xdr:nvSpPr>
      <xdr:spPr>
        <a:xfrm>
          <a:off x="5920220" y="3232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xdr:row>
      <xdr:rowOff>3706090</xdr:rowOff>
    </xdr:from>
    <xdr:to>
      <xdr:col>2</xdr:col>
      <xdr:colOff>5142675</xdr:colOff>
      <xdr:row>15</xdr:row>
      <xdr:rowOff>4005447</xdr:rowOff>
    </xdr:to>
    <xdr:sp macro="" textlink="">
      <xdr:nvSpPr>
        <xdr:cNvPr id="3" name="ZoneTexte 2">
          <a:extLst>
            <a:ext uri="{FF2B5EF4-FFF2-40B4-BE49-F238E27FC236}">
              <a16:creationId xmlns:a16="http://schemas.microsoft.com/office/drawing/2014/main" id="{00000000-0008-0000-0A00-000003000000}"/>
            </a:ext>
          </a:extLst>
        </xdr:cNvPr>
        <xdr:cNvSpPr txBox="1"/>
      </xdr:nvSpPr>
      <xdr:spPr>
        <a:xfrm>
          <a:off x="5925993" y="32298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4" name="ZoneTexte 3">
          <a:extLst>
            <a:ext uri="{FF2B5EF4-FFF2-40B4-BE49-F238E27FC236}">
              <a16:creationId xmlns:a16="http://schemas.microsoft.com/office/drawing/2014/main" id="{00000000-0008-0000-0A00-000004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5" name="ZoneTexte 4">
          <a:extLst>
            <a:ext uri="{FF2B5EF4-FFF2-40B4-BE49-F238E27FC236}">
              <a16:creationId xmlns:a16="http://schemas.microsoft.com/office/drawing/2014/main" id="{00000000-0008-0000-0A00-000005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6" name="ZoneTexte 5">
          <a:extLst>
            <a:ext uri="{FF2B5EF4-FFF2-40B4-BE49-F238E27FC236}">
              <a16:creationId xmlns:a16="http://schemas.microsoft.com/office/drawing/2014/main" id="{00000000-0008-0000-0A00-000006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7" name="ZoneTexte 6">
          <a:extLst>
            <a:ext uri="{FF2B5EF4-FFF2-40B4-BE49-F238E27FC236}">
              <a16:creationId xmlns:a16="http://schemas.microsoft.com/office/drawing/2014/main" id="{00000000-0008-0000-0A00-000007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xdr:row>
      <xdr:rowOff>2412999</xdr:rowOff>
    </xdr:from>
    <xdr:to>
      <xdr:col>2</xdr:col>
      <xdr:colOff>5327402</xdr:colOff>
      <xdr:row>28</xdr:row>
      <xdr:rowOff>2712356</xdr:rowOff>
    </xdr:to>
    <xdr:sp macro="" textlink="">
      <xdr:nvSpPr>
        <xdr:cNvPr id="8" name="ZoneTexte 7">
          <a:extLst>
            <a:ext uri="{FF2B5EF4-FFF2-40B4-BE49-F238E27FC236}">
              <a16:creationId xmlns:a16="http://schemas.microsoft.com/office/drawing/2014/main" id="{00000000-0008-0000-0A00-000008000000}"/>
            </a:ext>
          </a:extLst>
        </xdr:cNvPr>
        <xdr:cNvSpPr txBox="1"/>
      </xdr:nvSpPr>
      <xdr:spPr>
        <a:xfrm>
          <a:off x="5920220" y="5727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28</xdr:row>
      <xdr:rowOff>3706090</xdr:rowOff>
    </xdr:from>
    <xdr:to>
      <xdr:col>2</xdr:col>
      <xdr:colOff>5142675</xdr:colOff>
      <xdr:row>28</xdr:row>
      <xdr:rowOff>4005447</xdr:rowOff>
    </xdr:to>
    <xdr:sp macro="" textlink="">
      <xdr:nvSpPr>
        <xdr:cNvPr id="9" name="ZoneTexte 8">
          <a:extLst>
            <a:ext uri="{FF2B5EF4-FFF2-40B4-BE49-F238E27FC236}">
              <a16:creationId xmlns:a16="http://schemas.microsoft.com/office/drawing/2014/main" id="{00000000-0008-0000-0A00-000009000000}"/>
            </a:ext>
          </a:extLst>
        </xdr:cNvPr>
        <xdr:cNvSpPr txBox="1"/>
      </xdr:nvSpPr>
      <xdr:spPr>
        <a:xfrm>
          <a:off x="5925993" y="57253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xdr:row>
      <xdr:rowOff>2412999</xdr:rowOff>
    </xdr:from>
    <xdr:to>
      <xdr:col>2</xdr:col>
      <xdr:colOff>5327402</xdr:colOff>
      <xdr:row>16</xdr:row>
      <xdr:rowOff>2712356</xdr:rowOff>
    </xdr:to>
    <xdr:sp macro="" textlink="">
      <xdr:nvSpPr>
        <xdr:cNvPr id="10" name="ZoneTexte 9">
          <a:extLst>
            <a:ext uri="{FF2B5EF4-FFF2-40B4-BE49-F238E27FC236}">
              <a16:creationId xmlns:a16="http://schemas.microsoft.com/office/drawing/2014/main" id="{00000000-0008-0000-0A00-00000A000000}"/>
            </a:ext>
          </a:extLst>
        </xdr:cNvPr>
        <xdr:cNvSpPr txBox="1"/>
      </xdr:nvSpPr>
      <xdr:spPr>
        <a:xfrm>
          <a:off x="5920220" y="3422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11" name="ZoneTexte 10">
          <a:extLst>
            <a:ext uri="{FF2B5EF4-FFF2-40B4-BE49-F238E27FC236}">
              <a16:creationId xmlns:a16="http://schemas.microsoft.com/office/drawing/2014/main" id="{00000000-0008-0000-0A00-00000B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xdr:row>
      <xdr:rowOff>2412999</xdr:rowOff>
    </xdr:from>
    <xdr:to>
      <xdr:col>2</xdr:col>
      <xdr:colOff>5327402</xdr:colOff>
      <xdr:row>18</xdr:row>
      <xdr:rowOff>2712356</xdr:rowOff>
    </xdr:to>
    <xdr:sp macro="" textlink="">
      <xdr:nvSpPr>
        <xdr:cNvPr id="12" name="ZoneTexte 11">
          <a:extLst>
            <a:ext uri="{FF2B5EF4-FFF2-40B4-BE49-F238E27FC236}">
              <a16:creationId xmlns:a16="http://schemas.microsoft.com/office/drawing/2014/main" id="{00000000-0008-0000-0A00-00000C000000}"/>
            </a:ext>
          </a:extLst>
        </xdr:cNvPr>
        <xdr:cNvSpPr txBox="1"/>
      </xdr:nvSpPr>
      <xdr:spPr>
        <a:xfrm>
          <a:off x="5920220" y="3803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xdr:row>
      <xdr:rowOff>2412999</xdr:rowOff>
    </xdr:from>
    <xdr:to>
      <xdr:col>2</xdr:col>
      <xdr:colOff>5327402</xdr:colOff>
      <xdr:row>19</xdr:row>
      <xdr:rowOff>2712356</xdr:rowOff>
    </xdr:to>
    <xdr:sp macro="" textlink="">
      <xdr:nvSpPr>
        <xdr:cNvPr id="13" name="ZoneTexte 12">
          <a:extLst>
            <a:ext uri="{FF2B5EF4-FFF2-40B4-BE49-F238E27FC236}">
              <a16:creationId xmlns:a16="http://schemas.microsoft.com/office/drawing/2014/main" id="{00000000-0008-0000-0A00-00000D000000}"/>
            </a:ext>
          </a:extLst>
        </xdr:cNvPr>
        <xdr:cNvSpPr txBox="1"/>
      </xdr:nvSpPr>
      <xdr:spPr>
        <a:xfrm>
          <a:off x="5920220" y="3994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14" name="ZoneTexte 13">
          <a:extLst>
            <a:ext uri="{FF2B5EF4-FFF2-40B4-BE49-F238E27FC236}">
              <a16:creationId xmlns:a16="http://schemas.microsoft.com/office/drawing/2014/main" id="{00000000-0008-0000-0A00-00000E000000}"/>
            </a:ext>
          </a:extLst>
        </xdr:cNvPr>
        <xdr:cNvSpPr txBox="1"/>
      </xdr:nvSpPr>
      <xdr:spPr>
        <a:xfrm>
          <a:off x="5920220" y="4184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15" name="ZoneTexte 14">
          <a:extLst>
            <a:ext uri="{FF2B5EF4-FFF2-40B4-BE49-F238E27FC236}">
              <a16:creationId xmlns:a16="http://schemas.microsoft.com/office/drawing/2014/main" id="{00000000-0008-0000-0A00-00000F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16" name="ZoneTexte 15">
          <a:extLst>
            <a:ext uri="{FF2B5EF4-FFF2-40B4-BE49-F238E27FC236}">
              <a16:creationId xmlns:a16="http://schemas.microsoft.com/office/drawing/2014/main" id="{00000000-0008-0000-0A00-000010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xdr:row>
      <xdr:rowOff>3706090</xdr:rowOff>
    </xdr:from>
    <xdr:to>
      <xdr:col>2</xdr:col>
      <xdr:colOff>5142675</xdr:colOff>
      <xdr:row>24</xdr:row>
      <xdr:rowOff>4005447</xdr:rowOff>
    </xdr:to>
    <xdr:sp macro="" textlink="">
      <xdr:nvSpPr>
        <xdr:cNvPr id="17" name="ZoneTexte 16">
          <a:extLst>
            <a:ext uri="{FF2B5EF4-FFF2-40B4-BE49-F238E27FC236}">
              <a16:creationId xmlns:a16="http://schemas.microsoft.com/office/drawing/2014/main" id="{00000000-0008-0000-0A00-000011000000}"/>
            </a:ext>
          </a:extLst>
        </xdr:cNvPr>
        <xdr:cNvSpPr txBox="1"/>
      </xdr:nvSpPr>
      <xdr:spPr>
        <a:xfrm>
          <a:off x="5925993" y="495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18" name="ZoneTexte 17">
          <a:extLst>
            <a:ext uri="{FF2B5EF4-FFF2-40B4-BE49-F238E27FC236}">
              <a16:creationId xmlns:a16="http://schemas.microsoft.com/office/drawing/2014/main" id="{00000000-0008-0000-0A00-000012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19" name="ZoneTexte 18">
          <a:extLst>
            <a:ext uri="{FF2B5EF4-FFF2-40B4-BE49-F238E27FC236}">
              <a16:creationId xmlns:a16="http://schemas.microsoft.com/office/drawing/2014/main" id="{00000000-0008-0000-0A00-000013000000}"/>
            </a:ext>
          </a:extLst>
        </xdr:cNvPr>
        <xdr:cNvSpPr txBox="1"/>
      </xdr:nvSpPr>
      <xdr:spPr>
        <a:xfrm>
          <a:off x="5920220" y="4375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20" name="ZoneTexte 19">
          <a:extLst>
            <a:ext uri="{FF2B5EF4-FFF2-40B4-BE49-F238E27FC236}">
              <a16:creationId xmlns:a16="http://schemas.microsoft.com/office/drawing/2014/main" id="{00000000-0008-0000-0A00-000014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xdr:row>
      <xdr:rowOff>2412999</xdr:rowOff>
    </xdr:from>
    <xdr:to>
      <xdr:col>2</xdr:col>
      <xdr:colOff>5327402</xdr:colOff>
      <xdr:row>8</xdr:row>
      <xdr:rowOff>2712356</xdr:rowOff>
    </xdr:to>
    <xdr:sp macro="" textlink="">
      <xdr:nvSpPr>
        <xdr:cNvPr id="21" name="ZoneTexte 20">
          <a:extLst>
            <a:ext uri="{FF2B5EF4-FFF2-40B4-BE49-F238E27FC236}">
              <a16:creationId xmlns:a16="http://schemas.microsoft.com/office/drawing/2014/main" id="{00000000-0008-0000-0A00-000015000000}"/>
            </a:ext>
          </a:extLst>
        </xdr:cNvPr>
        <xdr:cNvSpPr txBox="1"/>
      </xdr:nvSpPr>
      <xdr:spPr>
        <a:xfrm>
          <a:off x="5920220" y="1898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xdr:row>
      <xdr:rowOff>2412999</xdr:rowOff>
    </xdr:from>
    <xdr:to>
      <xdr:col>2</xdr:col>
      <xdr:colOff>5327402</xdr:colOff>
      <xdr:row>9</xdr:row>
      <xdr:rowOff>2712356</xdr:rowOff>
    </xdr:to>
    <xdr:sp macro="" textlink="">
      <xdr:nvSpPr>
        <xdr:cNvPr id="22" name="ZoneTexte 21">
          <a:extLst>
            <a:ext uri="{FF2B5EF4-FFF2-40B4-BE49-F238E27FC236}">
              <a16:creationId xmlns:a16="http://schemas.microsoft.com/office/drawing/2014/main" id="{00000000-0008-0000-0A00-000016000000}"/>
            </a:ext>
          </a:extLst>
        </xdr:cNvPr>
        <xdr:cNvSpPr txBox="1"/>
      </xdr:nvSpPr>
      <xdr:spPr>
        <a:xfrm>
          <a:off x="5920220" y="2089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xdr:row>
      <xdr:rowOff>2412999</xdr:rowOff>
    </xdr:from>
    <xdr:to>
      <xdr:col>2</xdr:col>
      <xdr:colOff>5327402</xdr:colOff>
      <xdr:row>15</xdr:row>
      <xdr:rowOff>2712356</xdr:rowOff>
    </xdr:to>
    <xdr:sp macro="" textlink="">
      <xdr:nvSpPr>
        <xdr:cNvPr id="23" name="ZoneTexte 22">
          <a:extLst>
            <a:ext uri="{FF2B5EF4-FFF2-40B4-BE49-F238E27FC236}">
              <a16:creationId xmlns:a16="http://schemas.microsoft.com/office/drawing/2014/main" id="{00000000-0008-0000-0A00-000017000000}"/>
            </a:ext>
          </a:extLst>
        </xdr:cNvPr>
        <xdr:cNvSpPr txBox="1"/>
      </xdr:nvSpPr>
      <xdr:spPr>
        <a:xfrm>
          <a:off x="5920220" y="3232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xdr:row>
      <xdr:rowOff>3706090</xdr:rowOff>
    </xdr:from>
    <xdr:to>
      <xdr:col>2</xdr:col>
      <xdr:colOff>5142675</xdr:colOff>
      <xdr:row>15</xdr:row>
      <xdr:rowOff>4005447</xdr:rowOff>
    </xdr:to>
    <xdr:sp macro="" textlink="">
      <xdr:nvSpPr>
        <xdr:cNvPr id="24" name="ZoneTexte 23">
          <a:extLst>
            <a:ext uri="{FF2B5EF4-FFF2-40B4-BE49-F238E27FC236}">
              <a16:creationId xmlns:a16="http://schemas.microsoft.com/office/drawing/2014/main" id="{00000000-0008-0000-0A00-000018000000}"/>
            </a:ext>
          </a:extLst>
        </xdr:cNvPr>
        <xdr:cNvSpPr txBox="1"/>
      </xdr:nvSpPr>
      <xdr:spPr>
        <a:xfrm>
          <a:off x="5925993" y="32298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25" name="ZoneTexte 24">
          <a:extLst>
            <a:ext uri="{FF2B5EF4-FFF2-40B4-BE49-F238E27FC236}">
              <a16:creationId xmlns:a16="http://schemas.microsoft.com/office/drawing/2014/main" id="{00000000-0008-0000-0A00-000019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26" name="ZoneTexte 25">
          <a:extLst>
            <a:ext uri="{FF2B5EF4-FFF2-40B4-BE49-F238E27FC236}">
              <a16:creationId xmlns:a16="http://schemas.microsoft.com/office/drawing/2014/main" id="{00000000-0008-0000-0A00-00001A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27" name="ZoneTexte 26">
          <a:extLst>
            <a:ext uri="{FF2B5EF4-FFF2-40B4-BE49-F238E27FC236}">
              <a16:creationId xmlns:a16="http://schemas.microsoft.com/office/drawing/2014/main" id="{00000000-0008-0000-0A00-00001B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28" name="ZoneTexte 27">
          <a:extLst>
            <a:ext uri="{FF2B5EF4-FFF2-40B4-BE49-F238E27FC236}">
              <a16:creationId xmlns:a16="http://schemas.microsoft.com/office/drawing/2014/main" id="{00000000-0008-0000-0A00-00001C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xdr:row>
      <xdr:rowOff>2412999</xdr:rowOff>
    </xdr:from>
    <xdr:to>
      <xdr:col>2</xdr:col>
      <xdr:colOff>5327402</xdr:colOff>
      <xdr:row>28</xdr:row>
      <xdr:rowOff>2712356</xdr:rowOff>
    </xdr:to>
    <xdr:sp macro="" textlink="">
      <xdr:nvSpPr>
        <xdr:cNvPr id="29" name="ZoneTexte 28">
          <a:extLst>
            <a:ext uri="{FF2B5EF4-FFF2-40B4-BE49-F238E27FC236}">
              <a16:creationId xmlns:a16="http://schemas.microsoft.com/office/drawing/2014/main" id="{00000000-0008-0000-0A00-00001D000000}"/>
            </a:ext>
          </a:extLst>
        </xdr:cNvPr>
        <xdr:cNvSpPr txBox="1"/>
      </xdr:nvSpPr>
      <xdr:spPr>
        <a:xfrm>
          <a:off x="5920220" y="5727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28</xdr:row>
      <xdr:rowOff>3706090</xdr:rowOff>
    </xdr:from>
    <xdr:to>
      <xdr:col>2</xdr:col>
      <xdr:colOff>5142675</xdr:colOff>
      <xdr:row>28</xdr:row>
      <xdr:rowOff>4005447</xdr:rowOff>
    </xdr:to>
    <xdr:sp macro="" textlink="">
      <xdr:nvSpPr>
        <xdr:cNvPr id="30" name="ZoneTexte 29">
          <a:extLst>
            <a:ext uri="{FF2B5EF4-FFF2-40B4-BE49-F238E27FC236}">
              <a16:creationId xmlns:a16="http://schemas.microsoft.com/office/drawing/2014/main" id="{00000000-0008-0000-0A00-00001E000000}"/>
            </a:ext>
          </a:extLst>
        </xdr:cNvPr>
        <xdr:cNvSpPr txBox="1"/>
      </xdr:nvSpPr>
      <xdr:spPr>
        <a:xfrm>
          <a:off x="5925993" y="57253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xdr:row>
      <xdr:rowOff>2412999</xdr:rowOff>
    </xdr:from>
    <xdr:to>
      <xdr:col>2</xdr:col>
      <xdr:colOff>5327402</xdr:colOff>
      <xdr:row>16</xdr:row>
      <xdr:rowOff>2712356</xdr:rowOff>
    </xdr:to>
    <xdr:sp macro="" textlink="">
      <xdr:nvSpPr>
        <xdr:cNvPr id="31" name="ZoneTexte 30">
          <a:extLst>
            <a:ext uri="{FF2B5EF4-FFF2-40B4-BE49-F238E27FC236}">
              <a16:creationId xmlns:a16="http://schemas.microsoft.com/office/drawing/2014/main" id="{00000000-0008-0000-0A00-00001F000000}"/>
            </a:ext>
          </a:extLst>
        </xdr:cNvPr>
        <xdr:cNvSpPr txBox="1"/>
      </xdr:nvSpPr>
      <xdr:spPr>
        <a:xfrm>
          <a:off x="5920220" y="3422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32" name="ZoneTexte 31">
          <a:extLst>
            <a:ext uri="{FF2B5EF4-FFF2-40B4-BE49-F238E27FC236}">
              <a16:creationId xmlns:a16="http://schemas.microsoft.com/office/drawing/2014/main" id="{00000000-0008-0000-0A00-000020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xdr:row>
      <xdr:rowOff>2412999</xdr:rowOff>
    </xdr:from>
    <xdr:to>
      <xdr:col>2</xdr:col>
      <xdr:colOff>5327402</xdr:colOff>
      <xdr:row>18</xdr:row>
      <xdr:rowOff>2712356</xdr:rowOff>
    </xdr:to>
    <xdr:sp macro="" textlink="">
      <xdr:nvSpPr>
        <xdr:cNvPr id="33" name="ZoneTexte 32">
          <a:extLst>
            <a:ext uri="{FF2B5EF4-FFF2-40B4-BE49-F238E27FC236}">
              <a16:creationId xmlns:a16="http://schemas.microsoft.com/office/drawing/2014/main" id="{00000000-0008-0000-0A00-000021000000}"/>
            </a:ext>
          </a:extLst>
        </xdr:cNvPr>
        <xdr:cNvSpPr txBox="1"/>
      </xdr:nvSpPr>
      <xdr:spPr>
        <a:xfrm>
          <a:off x="5920220" y="3803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xdr:row>
      <xdr:rowOff>2412999</xdr:rowOff>
    </xdr:from>
    <xdr:to>
      <xdr:col>2</xdr:col>
      <xdr:colOff>5327402</xdr:colOff>
      <xdr:row>19</xdr:row>
      <xdr:rowOff>2712356</xdr:rowOff>
    </xdr:to>
    <xdr:sp macro="" textlink="">
      <xdr:nvSpPr>
        <xdr:cNvPr id="34" name="ZoneTexte 33">
          <a:extLst>
            <a:ext uri="{FF2B5EF4-FFF2-40B4-BE49-F238E27FC236}">
              <a16:creationId xmlns:a16="http://schemas.microsoft.com/office/drawing/2014/main" id="{00000000-0008-0000-0A00-000022000000}"/>
            </a:ext>
          </a:extLst>
        </xdr:cNvPr>
        <xdr:cNvSpPr txBox="1"/>
      </xdr:nvSpPr>
      <xdr:spPr>
        <a:xfrm>
          <a:off x="5920220" y="3994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35" name="ZoneTexte 34">
          <a:extLst>
            <a:ext uri="{FF2B5EF4-FFF2-40B4-BE49-F238E27FC236}">
              <a16:creationId xmlns:a16="http://schemas.microsoft.com/office/drawing/2014/main" id="{00000000-0008-0000-0A00-000023000000}"/>
            </a:ext>
          </a:extLst>
        </xdr:cNvPr>
        <xdr:cNvSpPr txBox="1"/>
      </xdr:nvSpPr>
      <xdr:spPr>
        <a:xfrm>
          <a:off x="5920220" y="4184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36" name="ZoneTexte 35">
          <a:extLst>
            <a:ext uri="{FF2B5EF4-FFF2-40B4-BE49-F238E27FC236}">
              <a16:creationId xmlns:a16="http://schemas.microsoft.com/office/drawing/2014/main" id="{00000000-0008-0000-0A00-000024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37" name="ZoneTexte 36">
          <a:extLst>
            <a:ext uri="{FF2B5EF4-FFF2-40B4-BE49-F238E27FC236}">
              <a16:creationId xmlns:a16="http://schemas.microsoft.com/office/drawing/2014/main" id="{00000000-0008-0000-0A00-000025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xdr:row>
      <xdr:rowOff>3706090</xdr:rowOff>
    </xdr:from>
    <xdr:to>
      <xdr:col>2</xdr:col>
      <xdr:colOff>5142675</xdr:colOff>
      <xdr:row>24</xdr:row>
      <xdr:rowOff>4005447</xdr:rowOff>
    </xdr:to>
    <xdr:sp macro="" textlink="">
      <xdr:nvSpPr>
        <xdr:cNvPr id="38" name="ZoneTexte 37">
          <a:extLst>
            <a:ext uri="{FF2B5EF4-FFF2-40B4-BE49-F238E27FC236}">
              <a16:creationId xmlns:a16="http://schemas.microsoft.com/office/drawing/2014/main" id="{00000000-0008-0000-0A00-000026000000}"/>
            </a:ext>
          </a:extLst>
        </xdr:cNvPr>
        <xdr:cNvSpPr txBox="1"/>
      </xdr:nvSpPr>
      <xdr:spPr>
        <a:xfrm>
          <a:off x="5925993" y="495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39" name="ZoneTexte 38">
          <a:extLst>
            <a:ext uri="{FF2B5EF4-FFF2-40B4-BE49-F238E27FC236}">
              <a16:creationId xmlns:a16="http://schemas.microsoft.com/office/drawing/2014/main" id="{00000000-0008-0000-0A00-000027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40" name="ZoneTexte 39">
          <a:extLst>
            <a:ext uri="{FF2B5EF4-FFF2-40B4-BE49-F238E27FC236}">
              <a16:creationId xmlns:a16="http://schemas.microsoft.com/office/drawing/2014/main" id="{00000000-0008-0000-0A00-000028000000}"/>
            </a:ext>
          </a:extLst>
        </xdr:cNvPr>
        <xdr:cNvSpPr txBox="1"/>
      </xdr:nvSpPr>
      <xdr:spPr>
        <a:xfrm>
          <a:off x="5920220" y="4375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41" name="ZoneTexte 40">
          <a:extLst>
            <a:ext uri="{FF2B5EF4-FFF2-40B4-BE49-F238E27FC236}">
              <a16:creationId xmlns:a16="http://schemas.microsoft.com/office/drawing/2014/main" id="{00000000-0008-0000-0A00-000029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xdr:row>
      <xdr:rowOff>2412999</xdr:rowOff>
    </xdr:from>
    <xdr:to>
      <xdr:col>2</xdr:col>
      <xdr:colOff>5327402</xdr:colOff>
      <xdr:row>8</xdr:row>
      <xdr:rowOff>2712356</xdr:rowOff>
    </xdr:to>
    <xdr:sp macro="" textlink="">
      <xdr:nvSpPr>
        <xdr:cNvPr id="42" name="ZoneTexte 41">
          <a:extLst>
            <a:ext uri="{FF2B5EF4-FFF2-40B4-BE49-F238E27FC236}">
              <a16:creationId xmlns:a16="http://schemas.microsoft.com/office/drawing/2014/main" id="{00000000-0008-0000-0A00-00002A000000}"/>
            </a:ext>
          </a:extLst>
        </xdr:cNvPr>
        <xdr:cNvSpPr txBox="1"/>
      </xdr:nvSpPr>
      <xdr:spPr>
        <a:xfrm>
          <a:off x="5920220" y="1898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xdr:row>
      <xdr:rowOff>2412999</xdr:rowOff>
    </xdr:from>
    <xdr:to>
      <xdr:col>2</xdr:col>
      <xdr:colOff>5327402</xdr:colOff>
      <xdr:row>9</xdr:row>
      <xdr:rowOff>2712356</xdr:rowOff>
    </xdr:to>
    <xdr:sp macro="" textlink="">
      <xdr:nvSpPr>
        <xdr:cNvPr id="43" name="ZoneTexte 42">
          <a:extLst>
            <a:ext uri="{FF2B5EF4-FFF2-40B4-BE49-F238E27FC236}">
              <a16:creationId xmlns:a16="http://schemas.microsoft.com/office/drawing/2014/main" id="{00000000-0008-0000-0A00-00002B000000}"/>
            </a:ext>
          </a:extLst>
        </xdr:cNvPr>
        <xdr:cNvSpPr txBox="1"/>
      </xdr:nvSpPr>
      <xdr:spPr>
        <a:xfrm>
          <a:off x="5920220" y="2089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4710545</xdr:colOff>
      <xdr:row>13</xdr:row>
      <xdr:rowOff>2412999</xdr:rowOff>
    </xdr:from>
    <xdr:to>
      <xdr:col>2</xdr:col>
      <xdr:colOff>5327402</xdr:colOff>
      <xdr:row>13</xdr:row>
      <xdr:rowOff>2712356</xdr:rowOff>
    </xdr:to>
    <xdr:sp macro="" textlink="">
      <xdr:nvSpPr>
        <xdr:cNvPr id="2" name="ZoneTexte 1">
          <a:extLst>
            <a:ext uri="{FF2B5EF4-FFF2-40B4-BE49-F238E27FC236}">
              <a16:creationId xmlns:a16="http://schemas.microsoft.com/office/drawing/2014/main" id="{00000000-0008-0000-0B00-000002000000}"/>
            </a:ext>
          </a:extLst>
        </xdr:cNvPr>
        <xdr:cNvSpPr txBox="1"/>
      </xdr:nvSpPr>
      <xdr:spPr>
        <a:xfrm>
          <a:off x="5920220" y="3232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13</xdr:row>
      <xdr:rowOff>3706090</xdr:rowOff>
    </xdr:from>
    <xdr:to>
      <xdr:col>2</xdr:col>
      <xdr:colOff>5142675</xdr:colOff>
      <xdr:row>13</xdr:row>
      <xdr:rowOff>4005447</xdr:rowOff>
    </xdr:to>
    <xdr:sp macro="" textlink="">
      <xdr:nvSpPr>
        <xdr:cNvPr id="3" name="ZoneTexte 2">
          <a:extLst>
            <a:ext uri="{FF2B5EF4-FFF2-40B4-BE49-F238E27FC236}">
              <a16:creationId xmlns:a16="http://schemas.microsoft.com/office/drawing/2014/main" id="{00000000-0008-0000-0B00-000003000000}"/>
            </a:ext>
          </a:extLst>
        </xdr:cNvPr>
        <xdr:cNvSpPr txBox="1"/>
      </xdr:nvSpPr>
      <xdr:spPr>
        <a:xfrm>
          <a:off x="5925993" y="32298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39</xdr:row>
      <xdr:rowOff>2412999</xdr:rowOff>
    </xdr:from>
    <xdr:to>
      <xdr:col>2</xdr:col>
      <xdr:colOff>5327402</xdr:colOff>
      <xdr:row>39</xdr:row>
      <xdr:rowOff>2712356</xdr:rowOff>
    </xdr:to>
    <xdr:sp macro="" textlink="">
      <xdr:nvSpPr>
        <xdr:cNvPr id="8" name="ZoneTexte 7">
          <a:extLst>
            <a:ext uri="{FF2B5EF4-FFF2-40B4-BE49-F238E27FC236}">
              <a16:creationId xmlns:a16="http://schemas.microsoft.com/office/drawing/2014/main" id="{00000000-0008-0000-0B00-000008000000}"/>
            </a:ext>
          </a:extLst>
        </xdr:cNvPr>
        <xdr:cNvSpPr txBox="1"/>
      </xdr:nvSpPr>
      <xdr:spPr>
        <a:xfrm>
          <a:off x="5920220" y="5727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39</xdr:row>
      <xdr:rowOff>3706090</xdr:rowOff>
    </xdr:from>
    <xdr:to>
      <xdr:col>2</xdr:col>
      <xdr:colOff>5142675</xdr:colOff>
      <xdr:row>39</xdr:row>
      <xdr:rowOff>4005447</xdr:rowOff>
    </xdr:to>
    <xdr:sp macro="" textlink="">
      <xdr:nvSpPr>
        <xdr:cNvPr id="9" name="ZoneTexte 8">
          <a:extLst>
            <a:ext uri="{FF2B5EF4-FFF2-40B4-BE49-F238E27FC236}">
              <a16:creationId xmlns:a16="http://schemas.microsoft.com/office/drawing/2014/main" id="{00000000-0008-0000-0B00-000009000000}"/>
            </a:ext>
          </a:extLst>
        </xdr:cNvPr>
        <xdr:cNvSpPr txBox="1"/>
      </xdr:nvSpPr>
      <xdr:spPr>
        <a:xfrm>
          <a:off x="5925993" y="57253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xdr:row>
      <xdr:rowOff>2412999</xdr:rowOff>
    </xdr:from>
    <xdr:to>
      <xdr:col>2</xdr:col>
      <xdr:colOff>5327402</xdr:colOff>
      <xdr:row>14</xdr:row>
      <xdr:rowOff>2712356</xdr:rowOff>
    </xdr:to>
    <xdr:sp macro="" textlink="">
      <xdr:nvSpPr>
        <xdr:cNvPr id="10" name="ZoneTexte 9">
          <a:extLst>
            <a:ext uri="{FF2B5EF4-FFF2-40B4-BE49-F238E27FC236}">
              <a16:creationId xmlns:a16="http://schemas.microsoft.com/office/drawing/2014/main" id="{00000000-0008-0000-0B00-00000A000000}"/>
            </a:ext>
          </a:extLst>
        </xdr:cNvPr>
        <xdr:cNvSpPr txBox="1"/>
      </xdr:nvSpPr>
      <xdr:spPr>
        <a:xfrm>
          <a:off x="5920220" y="3422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16" name="ZoneTexte 15">
          <a:extLst>
            <a:ext uri="{FF2B5EF4-FFF2-40B4-BE49-F238E27FC236}">
              <a16:creationId xmlns:a16="http://schemas.microsoft.com/office/drawing/2014/main" id="{00000000-0008-0000-0B00-000010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21</xdr:row>
      <xdr:rowOff>3706090</xdr:rowOff>
    </xdr:from>
    <xdr:to>
      <xdr:col>2</xdr:col>
      <xdr:colOff>5142675</xdr:colOff>
      <xdr:row>21</xdr:row>
      <xdr:rowOff>4005447</xdr:rowOff>
    </xdr:to>
    <xdr:sp macro="" textlink="">
      <xdr:nvSpPr>
        <xdr:cNvPr id="17" name="ZoneTexte 16">
          <a:extLst>
            <a:ext uri="{FF2B5EF4-FFF2-40B4-BE49-F238E27FC236}">
              <a16:creationId xmlns:a16="http://schemas.microsoft.com/office/drawing/2014/main" id="{00000000-0008-0000-0B00-000011000000}"/>
            </a:ext>
          </a:extLst>
        </xdr:cNvPr>
        <xdr:cNvSpPr txBox="1"/>
      </xdr:nvSpPr>
      <xdr:spPr>
        <a:xfrm>
          <a:off x="5925993" y="495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18" name="ZoneTexte 17">
          <a:extLst>
            <a:ext uri="{FF2B5EF4-FFF2-40B4-BE49-F238E27FC236}">
              <a16:creationId xmlns:a16="http://schemas.microsoft.com/office/drawing/2014/main" id="{00000000-0008-0000-0B00-000012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xdr:row>
      <xdr:rowOff>2412999</xdr:rowOff>
    </xdr:from>
    <xdr:to>
      <xdr:col>2</xdr:col>
      <xdr:colOff>5327402</xdr:colOff>
      <xdr:row>13</xdr:row>
      <xdr:rowOff>2712356</xdr:rowOff>
    </xdr:to>
    <xdr:sp macro="" textlink="">
      <xdr:nvSpPr>
        <xdr:cNvPr id="23" name="ZoneTexte 22">
          <a:extLst>
            <a:ext uri="{FF2B5EF4-FFF2-40B4-BE49-F238E27FC236}">
              <a16:creationId xmlns:a16="http://schemas.microsoft.com/office/drawing/2014/main" id="{00000000-0008-0000-0B00-000017000000}"/>
            </a:ext>
          </a:extLst>
        </xdr:cNvPr>
        <xdr:cNvSpPr txBox="1"/>
      </xdr:nvSpPr>
      <xdr:spPr>
        <a:xfrm>
          <a:off x="5920220" y="3232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13</xdr:row>
      <xdr:rowOff>3706090</xdr:rowOff>
    </xdr:from>
    <xdr:to>
      <xdr:col>2</xdr:col>
      <xdr:colOff>5142675</xdr:colOff>
      <xdr:row>13</xdr:row>
      <xdr:rowOff>4005447</xdr:rowOff>
    </xdr:to>
    <xdr:sp macro="" textlink="">
      <xdr:nvSpPr>
        <xdr:cNvPr id="24" name="ZoneTexte 23">
          <a:extLst>
            <a:ext uri="{FF2B5EF4-FFF2-40B4-BE49-F238E27FC236}">
              <a16:creationId xmlns:a16="http://schemas.microsoft.com/office/drawing/2014/main" id="{00000000-0008-0000-0B00-000018000000}"/>
            </a:ext>
          </a:extLst>
        </xdr:cNvPr>
        <xdr:cNvSpPr txBox="1"/>
      </xdr:nvSpPr>
      <xdr:spPr>
        <a:xfrm>
          <a:off x="5925993" y="32298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xdr:row>
      <xdr:rowOff>2412999</xdr:rowOff>
    </xdr:from>
    <xdr:to>
      <xdr:col>2</xdr:col>
      <xdr:colOff>5327402</xdr:colOff>
      <xdr:row>14</xdr:row>
      <xdr:rowOff>2712356</xdr:rowOff>
    </xdr:to>
    <xdr:sp macro="" textlink="">
      <xdr:nvSpPr>
        <xdr:cNvPr id="31" name="ZoneTexte 30">
          <a:extLst>
            <a:ext uri="{FF2B5EF4-FFF2-40B4-BE49-F238E27FC236}">
              <a16:creationId xmlns:a16="http://schemas.microsoft.com/office/drawing/2014/main" id="{00000000-0008-0000-0B00-00001F000000}"/>
            </a:ext>
          </a:extLst>
        </xdr:cNvPr>
        <xdr:cNvSpPr txBox="1"/>
      </xdr:nvSpPr>
      <xdr:spPr>
        <a:xfrm>
          <a:off x="5920220" y="3422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37" name="ZoneTexte 36">
          <a:extLst>
            <a:ext uri="{FF2B5EF4-FFF2-40B4-BE49-F238E27FC236}">
              <a16:creationId xmlns:a16="http://schemas.microsoft.com/office/drawing/2014/main" id="{00000000-0008-0000-0B00-000025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21</xdr:row>
      <xdr:rowOff>3706090</xdr:rowOff>
    </xdr:from>
    <xdr:to>
      <xdr:col>2</xdr:col>
      <xdr:colOff>5142675</xdr:colOff>
      <xdr:row>21</xdr:row>
      <xdr:rowOff>4005447</xdr:rowOff>
    </xdr:to>
    <xdr:sp macro="" textlink="">
      <xdr:nvSpPr>
        <xdr:cNvPr id="38" name="ZoneTexte 37">
          <a:extLst>
            <a:ext uri="{FF2B5EF4-FFF2-40B4-BE49-F238E27FC236}">
              <a16:creationId xmlns:a16="http://schemas.microsoft.com/office/drawing/2014/main" id="{00000000-0008-0000-0B00-000026000000}"/>
            </a:ext>
          </a:extLst>
        </xdr:cNvPr>
        <xdr:cNvSpPr txBox="1"/>
      </xdr:nvSpPr>
      <xdr:spPr>
        <a:xfrm>
          <a:off x="5925993" y="495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39" name="ZoneTexte 38">
          <a:extLst>
            <a:ext uri="{FF2B5EF4-FFF2-40B4-BE49-F238E27FC236}">
              <a16:creationId xmlns:a16="http://schemas.microsoft.com/office/drawing/2014/main" id="{00000000-0008-0000-0B00-000027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xdr:row>
      <xdr:rowOff>2412999</xdr:rowOff>
    </xdr:from>
    <xdr:to>
      <xdr:col>2</xdr:col>
      <xdr:colOff>5327402</xdr:colOff>
      <xdr:row>18</xdr:row>
      <xdr:rowOff>2712356</xdr:rowOff>
    </xdr:to>
    <xdr:sp macro="" textlink="">
      <xdr:nvSpPr>
        <xdr:cNvPr id="19" name="ZoneTexte 18">
          <a:extLst>
            <a:ext uri="{FF2B5EF4-FFF2-40B4-BE49-F238E27FC236}">
              <a16:creationId xmlns:a16="http://schemas.microsoft.com/office/drawing/2014/main" id="{00000000-0008-0000-0B00-000013000000}"/>
            </a:ext>
          </a:extLst>
        </xdr:cNvPr>
        <xdr:cNvSpPr txBox="1"/>
      </xdr:nvSpPr>
      <xdr:spPr>
        <a:xfrm>
          <a:off x="5931106" y="3432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xdr:row>
      <xdr:rowOff>3706090</xdr:rowOff>
    </xdr:from>
    <xdr:to>
      <xdr:col>2</xdr:col>
      <xdr:colOff>5142675</xdr:colOff>
      <xdr:row>18</xdr:row>
      <xdr:rowOff>4005447</xdr:rowOff>
    </xdr:to>
    <xdr:sp macro="" textlink="">
      <xdr:nvSpPr>
        <xdr:cNvPr id="20" name="ZoneTexte 19">
          <a:extLst>
            <a:ext uri="{FF2B5EF4-FFF2-40B4-BE49-F238E27FC236}">
              <a16:creationId xmlns:a16="http://schemas.microsoft.com/office/drawing/2014/main" id="{00000000-0008-0000-0B00-000014000000}"/>
            </a:ext>
          </a:extLst>
        </xdr:cNvPr>
        <xdr:cNvSpPr txBox="1"/>
      </xdr:nvSpPr>
      <xdr:spPr>
        <a:xfrm>
          <a:off x="5936879" y="3429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xdr:row>
      <xdr:rowOff>2412999</xdr:rowOff>
    </xdr:from>
    <xdr:to>
      <xdr:col>2</xdr:col>
      <xdr:colOff>5327402</xdr:colOff>
      <xdr:row>19</xdr:row>
      <xdr:rowOff>2712356</xdr:rowOff>
    </xdr:to>
    <xdr:sp macro="" textlink="">
      <xdr:nvSpPr>
        <xdr:cNvPr id="21" name="ZoneTexte 20">
          <a:extLst>
            <a:ext uri="{FF2B5EF4-FFF2-40B4-BE49-F238E27FC236}">
              <a16:creationId xmlns:a16="http://schemas.microsoft.com/office/drawing/2014/main" id="{00000000-0008-0000-0B00-000015000000}"/>
            </a:ext>
          </a:extLst>
        </xdr:cNvPr>
        <xdr:cNvSpPr txBox="1"/>
      </xdr:nvSpPr>
      <xdr:spPr>
        <a:xfrm>
          <a:off x="5931106" y="3813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xdr:row>
      <xdr:rowOff>2412999</xdr:rowOff>
    </xdr:from>
    <xdr:to>
      <xdr:col>2</xdr:col>
      <xdr:colOff>5327402</xdr:colOff>
      <xdr:row>18</xdr:row>
      <xdr:rowOff>2712356</xdr:rowOff>
    </xdr:to>
    <xdr:sp macro="" textlink="">
      <xdr:nvSpPr>
        <xdr:cNvPr id="22" name="ZoneTexte 21">
          <a:extLst>
            <a:ext uri="{FF2B5EF4-FFF2-40B4-BE49-F238E27FC236}">
              <a16:creationId xmlns:a16="http://schemas.microsoft.com/office/drawing/2014/main" id="{00000000-0008-0000-0B00-000016000000}"/>
            </a:ext>
          </a:extLst>
        </xdr:cNvPr>
        <xdr:cNvSpPr txBox="1"/>
      </xdr:nvSpPr>
      <xdr:spPr>
        <a:xfrm>
          <a:off x="5931106" y="3432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xdr:row>
      <xdr:rowOff>3706090</xdr:rowOff>
    </xdr:from>
    <xdr:to>
      <xdr:col>2</xdr:col>
      <xdr:colOff>5142675</xdr:colOff>
      <xdr:row>18</xdr:row>
      <xdr:rowOff>4005447</xdr:rowOff>
    </xdr:to>
    <xdr:sp macro="" textlink="">
      <xdr:nvSpPr>
        <xdr:cNvPr id="25" name="ZoneTexte 24">
          <a:extLst>
            <a:ext uri="{FF2B5EF4-FFF2-40B4-BE49-F238E27FC236}">
              <a16:creationId xmlns:a16="http://schemas.microsoft.com/office/drawing/2014/main" id="{00000000-0008-0000-0B00-000019000000}"/>
            </a:ext>
          </a:extLst>
        </xdr:cNvPr>
        <xdr:cNvSpPr txBox="1"/>
      </xdr:nvSpPr>
      <xdr:spPr>
        <a:xfrm>
          <a:off x="5936879" y="3429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xdr:row>
      <xdr:rowOff>2412999</xdr:rowOff>
    </xdr:from>
    <xdr:to>
      <xdr:col>2</xdr:col>
      <xdr:colOff>5327402</xdr:colOff>
      <xdr:row>19</xdr:row>
      <xdr:rowOff>2712356</xdr:rowOff>
    </xdr:to>
    <xdr:sp macro="" textlink="">
      <xdr:nvSpPr>
        <xdr:cNvPr id="26" name="ZoneTexte 25">
          <a:extLst>
            <a:ext uri="{FF2B5EF4-FFF2-40B4-BE49-F238E27FC236}">
              <a16:creationId xmlns:a16="http://schemas.microsoft.com/office/drawing/2014/main" id="{00000000-0008-0000-0B00-00001A000000}"/>
            </a:ext>
          </a:extLst>
        </xdr:cNvPr>
        <xdr:cNvSpPr txBox="1"/>
      </xdr:nvSpPr>
      <xdr:spPr>
        <a:xfrm>
          <a:off x="5931106" y="3813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27" name="ZoneTexte 26">
          <a:extLst>
            <a:ext uri="{FF2B5EF4-FFF2-40B4-BE49-F238E27FC236}">
              <a16:creationId xmlns:a16="http://schemas.microsoft.com/office/drawing/2014/main" id="{00000000-0008-0000-0B00-00001B000000}"/>
            </a:ext>
          </a:extLst>
        </xdr:cNvPr>
        <xdr:cNvSpPr txBox="1"/>
      </xdr:nvSpPr>
      <xdr:spPr>
        <a:xfrm>
          <a:off x="5931106" y="764630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25</xdr:row>
      <xdr:rowOff>3706090</xdr:rowOff>
    </xdr:from>
    <xdr:to>
      <xdr:col>2</xdr:col>
      <xdr:colOff>5142675</xdr:colOff>
      <xdr:row>25</xdr:row>
      <xdr:rowOff>4005447</xdr:rowOff>
    </xdr:to>
    <xdr:sp macro="" textlink="">
      <xdr:nvSpPr>
        <xdr:cNvPr id="28" name="ZoneTexte 27">
          <a:extLst>
            <a:ext uri="{FF2B5EF4-FFF2-40B4-BE49-F238E27FC236}">
              <a16:creationId xmlns:a16="http://schemas.microsoft.com/office/drawing/2014/main" id="{00000000-0008-0000-0B00-00001C000000}"/>
            </a:ext>
          </a:extLst>
        </xdr:cNvPr>
        <xdr:cNvSpPr txBox="1"/>
      </xdr:nvSpPr>
      <xdr:spPr>
        <a:xfrm>
          <a:off x="5936879" y="7643997"/>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35</xdr:row>
      <xdr:rowOff>2412999</xdr:rowOff>
    </xdr:from>
    <xdr:to>
      <xdr:col>2</xdr:col>
      <xdr:colOff>5327402</xdr:colOff>
      <xdr:row>35</xdr:row>
      <xdr:rowOff>2712356</xdr:rowOff>
    </xdr:to>
    <xdr:sp macro="" textlink="">
      <xdr:nvSpPr>
        <xdr:cNvPr id="29" name="ZoneTexte 28">
          <a:extLst>
            <a:ext uri="{FF2B5EF4-FFF2-40B4-BE49-F238E27FC236}">
              <a16:creationId xmlns:a16="http://schemas.microsoft.com/office/drawing/2014/main" id="{00000000-0008-0000-0B00-00001D000000}"/>
            </a:ext>
          </a:extLst>
        </xdr:cNvPr>
        <xdr:cNvSpPr txBox="1"/>
      </xdr:nvSpPr>
      <xdr:spPr>
        <a:xfrm>
          <a:off x="7033284" y="650330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35</xdr:row>
      <xdr:rowOff>3706090</xdr:rowOff>
    </xdr:from>
    <xdr:to>
      <xdr:col>2</xdr:col>
      <xdr:colOff>5142675</xdr:colOff>
      <xdr:row>35</xdr:row>
      <xdr:rowOff>4005447</xdr:rowOff>
    </xdr:to>
    <xdr:sp macro="" textlink="">
      <xdr:nvSpPr>
        <xdr:cNvPr id="30" name="ZoneTexte 29">
          <a:extLst>
            <a:ext uri="{FF2B5EF4-FFF2-40B4-BE49-F238E27FC236}">
              <a16:creationId xmlns:a16="http://schemas.microsoft.com/office/drawing/2014/main" id="{00000000-0008-0000-0B00-00001E000000}"/>
            </a:ext>
          </a:extLst>
        </xdr:cNvPr>
        <xdr:cNvSpPr txBox="1"/>
      </xdr:nvSpPr>
      <xdr:spPr>
        <a:xfrm>
          <a:off x="7039057" y="6500997"/>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4710545</xdr:colOff>
      <xdr:row>15</xdr:row>
      <xdr:rowOff>2412999</xdr:rowOff>
    </xdr:from>
    <xdr:to>
      <xdr:col>2</xdr:col>
      <xdr:colOff>5327402</xdr:colOff>
      <xdr:row>15</xdr:row>
      <xdr:rowOff>2712356</xdr:rowOff>
    </xdr:to>
    <xdr:sp macro="" textlink="">
      <xdr:nvSpPr>
        <xdr:cNvPr id="8" name="ZoneTexte 7">
          <a:extLst>
            <a:ext uri="{FF2B5EF4-FFF2-40B4-BE49-F238E27FC236}">
              <a16:creationId xmlns:a16="http://schemas.microsoft.com/office/drawing/2014/main" id="{00000000-0008-0000-0C00-000008000000}"/>
            </a:ext>
          </a:extLst>
        </xdr:cNvPr>
        <xdr:cNvSpPr txBox="1"/>
      </xdr:nvSpPr>
      <xdr:spPr>
        <a:xfrm>
          <a:off x="5920220" y="5727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xdr:row>
      <xdr:rowOff>3706090</xdr:rowOff>
    </xdr:from>
    <xdr:to>
      <xdr:col>2</xdr:col>
      <xdr:colOff>5142675</xdr:colOff>
      <xdr:row>15</xdr:row>
      <xdr:rowOff>4005447</xdr:rowOff>
    </xdr:to>
    <xdr:sp macro="" textlink="">
      <xdr:nvSpPr>
        <xdr:cNvPr id="9" name="ZoneTexte 8">
          <a:extLst>
            <a:ext uri="{FF2B5EF4-FFF2-40B4-BE49-F238E27FC236}">
              <a16:creationId xmlns:a16="http://schemas.microsoft.com/office/drawing/2014/main" id="{00000000-0008-0000-0C00-000009000000}"/>
            </a:ext>
          </a:extLst>
        </xdr:cNvPr>
        <xdr:cNvSpPr txBox="1"/>
      </xdr:nvSpPr>
      <xdr:spPr>
        <a:xfrm>
          <a:off x="5925993" y="57253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xdr:row>
      <xdr:rowOff>2412999</xdr:rowOff>
    </xdr:from>
    <xdr:to>
      <xdr:col>2</xdr:col>
      <xdr:colOff>5327402</xdr:colOff>
      <xdr:row>11</xdr:row>
      <xdr:rowOff>2712356</xdr:rowOff>
    </xdr:to>
    <xdr:sp macro="" textlink="">
      <xdr:nvSpPr>
        <xdr:cNvPr id="16" name="ZoneTexte 15">
          <a:extLst>
            <a:ext uri="{FF2B5EF4-FFF2-40B4-BE49-F238E27FC236}">
              <a16:creationId xmlns:a16="http://schemas.microsoft.com/office/drawing/2014/main" id="{00000000-0008-0000-0C00-000010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xdr:row>
      <xdr:rowOff>3706090</xdr:rowOff>
    </xdr:from>
    <xdr:to>
      <xdr:col>2</xdr:col>
      <xdr:colOff>5142675</xdr:colOff>
      <xdr:row>11</xdr:row>
      <xdr:rowOff>4005447</xdr:rowOff>
    </xdr:to>
    <xdr:sp macro="" textlink="">
      <xdr:nvSpPr>
        <xdr:cNvPr id="17" name="ZoneTexte 16">
          <a:extLst>
            <a:ext uri="{FF2B5EF4-FFF2-40B4-BE49-F238E27FC236}">
              <a16:creationId xmlns:a16="http://schemas.microsoft.com/office/drawing/2014/main" id="{00000000-0008-0000-0C00-000011000000}"/>
            </a:ext>
          </a:extLst>
        </xdr:cNvPr>
        <xdr:cNvSpPr txBox="1"/>
      </xdr:nvSpPr>
      <xdr:spPr>
        <a:xfrm>
          <a:off x="5925993" y="495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xdr:row>
      <xdr:rowOff>2412999</xdr:rowOff>
    </xdr:from>
    <xdr:to>
      <xdr:col>2</xdr:col>
      <xdr:colOff>5327402</xdr:colOff>
      <xdr:row>11</xdr:row>
      <xdr:rowOff>2712356</xdr:rowOff>
    </xdr:to>
    <xdr:sp macro="" textlink="">
      <xdr:nvSpPr>
        <xdr:cNvPr id="18" name="ZoneTexte 17">
          <a:extLst>
            <a:ext uri="{FF2B5EF4-FFF2-40B4-BE49-F238E27FC236}">
              <a16:creationId xmlns:a16="http://schemas.microsoft.com/office/drawing/2014/main" id="{00000000-0008-0000-0C00-000012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xdr:row>
      <xdr:rowOff>2412999</xdr:rowOff>
    </xdr:from>
    <xdr:to>
      <xdr:col>2</xdr:col>
      <xdr:colOff>5327402</xdr:colOff>
      <xdr:row>15</xdr:row>
      <xdr:rowOff>2712356</xdr:rowOff>
    </xdr:to>
    <xdr:sp macro="" textlink="">
      <xdr:nvSpPr>
        <xdr:cNvPr id="29" name="ZoneTexte 28">
          <a:extLst>
            <a:ext uri="{FF2B5EF4-FFF2-40B4-BE49-F238E27FC236}">
              <a16:creationId xmlns:a16="http://schemas.microsoft.com/office/drawing/2014/main" id="{00000000-0008-0000-0C00-00001D000000}"/>
            </a:ext>
          </a:extLst>
        </xdr:cNvPr>
        <xdr:cNvSpPr txBox="1"/>
      </xdr:nvSpPr>
      <xdr:spPr>
        <a:xfrm>
          <a:off x="5920220" y="5727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xdr:row>
      <xdr:rowOff>3706090</xdr:rowOff>
    </xdr:from>
    <xdr:to>
      <xdr:col>2</xdr:col>
      <xdr:colOff>5142675</xdr:colOff>
      <xdr:row>15</xdr:row>
      <xdr:rowOff>4005447</xdr:rowOff>
    </xdr:to>
    <xdr:sp macro="" textlink="">
      <xdr:nvSpPr>
        <xdr:cNvPr id="30" name="ZoneTexte 29">
          <a:extLst>
            <a:ext uri="{FF2B5EF4-FFF2-40B4-BE49-F238E27FC236}">
              <a16:creationId xmlns:a16="http://schemas.microsoft.com/office/drawing/2014/main" id="{00000000-0008-0000-0C00-00001E000000}"/>
            </a:ext>
          </a:extLst>
        </xdr:cNvPr>
        <xdr:cNvSpPr txBox="1"/>
      </xdr:nvSpPr>
      <xdr:spPr>
        <a:xfrm>
          <a:off x="5925993" y="57253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xdr:row>
      <xdr:rowOff>2412999</xdr:rowOff>
    </xdr:from>
    <xdr:to>
      <xdr:col>2</xdr:col>
      <xdr:colOff>5327402</xdr:colOff>
      <xdr:row>11</xdr:row>
      <xdr:rowOff>2712356</xdr:rowOff>
    </xdr:to>
    <xdr:sp macro="" textlink="">
      <xdr:nvSpPr>
        <xdr:cNvPr id="37" name="ZoneTexte 36">
          <a:extLst>
            <a:ext uri="{FF2B5EF4-FFF2-40B4-BE49-F238E27FC236}">
              <a16:creationId xmlns:a16="http://schemas.microsoft.com/office/drawing/2014/main" id="{00000000-0008-0000-0C00-000025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xdr:row>
      <xdr:rowOff>3706090</xdr:rowOff>
    </xdr:from>
    <xdr:to>
      <xdr:col>2</xdr:col>
      <xdr:colOff>5142675</xdr:colOff>
      <xdr:row>11</xdr:row>
      <xdr:rowOff>4005447</xdr:rowOff>
    </xdr:to>
    <xdr:sp macro="" textlink="">
      <xdr:nvSpPr>
        <xdr:cNvPr id="38" name="ZoneTexte 37">
          <a:extLst>
            <a:ext uri="{FF2B5EF4-FFF2-40B4-BE49-F238E27FC236}">
              <a16:creationId xmlns:a16="http://schemas.microsoft.com/office/drawing/2014/main" id="{00000000-0008-0000-0C00-000026000000}"/>
            </a:ext>
          </a:extLst>
        </xdr:cNvPr>
        <xdr:cNvSpPr txBox="1"/>
      </xdr:nvSpPr>
      <xdr:spPr>
        <a:xfrm>
          <a:off x="5925993" y="495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xdr:row>
      <xdr:rowOff>2412999</xdr:rowOff>
    </xdr:from>
    <xdr:to>
      <xdr:col>2</xdr:col>
      <xdr:colOff>5327402</xdr:colOff>
      <xdr:row>11</xdr:row>
      <xdr:rowOff>2712356</xdr:rowOff>
    </xdr:to>
    <xdr:sp macro="" textlink="">
      <xdr:nvSpPr>
        <xdr:cNvPr id="39" name="ZoneTexte 38">
          <a:extLst>
            <a:ext uri="{FF2B5EF4-FFF2-40B4-BE49-F238E27FC236}">
              <a16:creationId xmlns:a16="http://schemas.microsoft.com/office/drawing/2014/main" id="{00000000-0008-0000-0C00-000027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4710545</xdr:colOff>
      <xdr:row>61</xdr:row>
      <xdr:rowOff>0</xdr:rowOff>
    </xdr:from>
    <xdr:to>
      <xdr:col>2</xdr:col>
      <xdr:colOff>5327402</xdr:colOff>
      <xdr:row>61</xdr:row>
      <xdr:rowOff>0</xdr:rowOff>
    </xdr:to>
    <xdr:sp macro="" textlink="">
      <xdr:nvSpPr>
        <xdr:cNvPr id="12" name="ZoneTexte 11" hidden="1">
          <a:extLst>
            <a:ext uri="{FF2B5EF4-FFF2-40B4-BE49-F238E27FC236}">
              <a16:creationId xmlns:a16="http://schemas.microsoft.com/office/drawing/2014/main" id="{00000000-0008-0000-0D00-00000C000000}"/>
            </a:ext>
          </a:extLst>
        </xdr:cNvPr>
        <xdr:cNvSpPr txBox="1"/>
      </xdr:nvSpPr>
      <xdr:spPr>
        <a:xfrm>
          <a:off x="5920220" y="3803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61</xdr:row>
      <xdr:rowOff>2412999</xdr:rowOff>
    </xdr:from>
    <xdr:to>
      <xdr:col>2</xdr:col>
      <xdr:colOff>5327402</xdr:colOff>
      <xdr:row>61</xdr:row>
      <xdr:rowOff>2712356</xdr:rowOff>
    </xdr:to>
    <xdr:sp macro="" textlink="">
      <xdr:nvSpPr>
        <xdr:cNvPr id="13" name="ZoneTexte 12" hidden="1">
          <a:extLst>
            <a:ext uri="{FF2B5EF4-FFF2-40B4-BE49-F238E27FC236}">
              <a16:creationId xmlns:a16="http://schemas.microsoft.com/office/drawing/2014/main" id="{00000000-0008-0000-0D00-00000D000000}"/>
            </a:ext>
          </a:extLst>
        </xdr:cNvPr>
        <xdr:cNvSpPr txBox="1"/>
      </xdr:nvSpPr>
      <xdr:spPr>
        <a:xfrm>
          <a:off x="5920220" y="3994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62</xdr:row>
      <xdr:rowOff>2412999</xdr:rowOff>
    </xdr:from>
    <xdr:to>
      <xdr:col>2</xdr:col>
      <xdr:colOff>5327402</xdr:colOff>
      <xdr:row>62</xdr:row>
      <xdr:rowOff>2712356</xdr:rowOff>
    </xdr:to>
    <xdr:sp macro="" textlink="">
      <xdr:nvSpPr>
        <xdr:cNvPr id="14" name="ZoneTexte 13" hidden="1">
          <a:extLst>
            <a:ext uri="{FF2B5EF4-FFF2-40B4-BE49-F238E27FC236}">
              <a16:creationId xmlns:a16="http://schemas.microsoft.com/office/drawing/2014/main" id="{00000000-0008-0000-0D00-00000E000000}"/>
            </a:ext>
          </a:extLst>
        </xdr:cNvPr>
        <xdr:cNvSpPr txBox="1"/>
      </xdr:nvSpPr>
      <xdr:spPr>
        <a:xfrm>
          <a:off x="5920220" y="4184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76</xdr:row>
      <xdr:rowOff>2412999</xdr:rowOff>
    </xdr:from>
    <xdr:to>
      <xdr:col>2</xdr:col>
      <xdr:colOff>5327402</xdr:colOff>
      <xdr:row>76</xdr:row>
      <xdr:rowOff>2712356</xdr:rowOff>
    </xdr:to>
    <xdr:sp macro="" textlink="">
      <xdr:nvSpPr>
        <xdr:cNvPr id="19" name="ZoneTexte 18" hidden="1">
          <a:extLst>
            <a:ext uri="{FF2B5EF4-FFF2-40B4-BE49-F238E27FC236}">
              <a16:creationId xmlns:a16="http://schemas.microsoft.com/office/drawing/2014/main" id="{00000000-0008-0000-0D00-000013000000}"/>
            </a:ext>
          </a:extLst>
        </xdr:cNvPr>
        <xdr:cNvSpPr txBox="1"/>
      </xdr:nvSpPr>
      <xdr:spPr>
        <a:xfrm>
          <a:off x="5920220" y="4375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xdr:row>
      <xdr:rowOff>2412999</xdr:rowOff>
    </xdr:from>
    <xdr:to>
      <xdr:col>2</xdr:col>
      <xdr:colOff>5327402</xdr:colOff>
      <xdr:row>8</xdr:row>
      <xdr:rowOff>2712356</xdr:rowOff>
    </xdr:to>
    <xdr:sp macro="" textlink="">
      <xdr:nvSpPr>
        <xdr:cNvPr id="21" name="ZoneTexte 20" hidden="1">
          <a:extLst>
            <a:ext uri="{FF2B5EF4-FFF2-40B4-BE49-F238E27FC236}">
              <a16:creationId xmlns:a16="http://schemas.microsoft.com/office/drawing/2014/main" id="{00000000-0008-0000-0D00-000015000000}"/>
            </a:ext>
          </a:extLst>
        </xdr:cNvPr>
        <xdr:cNvSpPr txBox="1"/>
      </xdr:nvSpPr>
      <xdr:spPr>
        <a:xfrm>
          <a:off x="5920220" y="1898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61</xdr:row>
      <xdr:rowOff>0</xdr:rowOff>
    </xdr:from>
    <xdr:to>
      <xdr:col>2</xdr:col>
      <xdr:colOff>5327402</xdr:colOff>
      <xdr:row>61</xdr:row>
      <xdr:rowOff>0</xdr:rowOff>
    </xdr:to>
    <xdr:sp macro="" textlink="">
      <xdr:nvSpPr>
        <xdr:cNvPr id="33" name="ZoneTexte 32" hidden="1">
          <a:extLst>
            <a:ext uri="{FF2B5EF4-FFF2-40B4-BE49-F238E27FC236}">
              <a16:creationId xmlns:a16="http://schemas.microsoft.com/office/drawing/2014/main" id="{00000000-0008-0000-0D00-000021000000}"/>
            </a:ext>
          </a:extLst>
        </xdr:cNvPr>
        <xdr:cNvSpPr txBox="1"/>
      </xdr:nvSpPr>
      <xdr:spPr>
        <a:xfrm>
          <a:off x="5920220" y="3803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61</xdr:row>
      <xdr:rowOff>2412999</xdr:rowOff>
    </xdr:from>
    <xdr:to>
      <xdr:col>2</xdr:col>
      <xdr:colOff>5327402</xdr:colOff>
      <xdr:row>61</xdr:row>
      <xdr:rowOff>2712356</xdr:rowOff>
    </xdr:to>
    <xdr:sp macro="" textlink="">
      <xdr:nvSpPr>
        <xdr:cNvPr id="34" name="ZoneTexte 33" hidden="1">
          <a:extLst>
            <a:ext uri="{FF2B5EF4-FFF2-40B4-BE49-F238E27FC236}">
              <a16:creationId xmlns:a16="http://schemas.microsoft.com/office/drawing/2014/main" id="{00000000-0008-0000-0D00-000022000000}"/>
            </a:ext>
          </a:extLst>
        </xdr:cNvPr>
        <xdr:cNvSpPr txBox="1"/>
      </xdr:nvSpPr>
      <xdr:spPr>
        <a:xfrm>
          <a:off x="5920220" y="3994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62</xdr:row>
      <xdr:rowOff>2412999</xdr:rowOff>
    </xdr:from>
    <xdr:to>
      <xdr:col>2</xdr:col>
      <xdr:colOff>5327402</xdr:colOff>
      <xdr:row>62</xdr:row>
      <xdr:rowOff>2712356</xdr:rowOff>
    </xdr:to>
    <xdr:sp macro="" textlink="">
      <xdr:nvSpPr>
        <xdr:cNvPr id="35" name="ZoneTexte 34" hidden="1">
          <a:extLst>
            <a:ext uri="{FF2B5EF4-FFF2-40B4-BE49-F238E27FC236}">
              <a16:creationId xmlns:a16="http://schemas.microsoft.com/office/drawing/2014/main" id="{00000000-0008-0000-0D00-000023000000}"/>
            </a:ext>
          </a:extLst>
        </xdr:cNvPr>
        <xdr:cNvSpPr txBox="1"/>
      </xdr:nvSpPr>
      <xdr:spPr>
        <a:xfrm>
          <a:off x="5920220" y="4184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76</xdr:row>
      <xdr:rowOff>2412999</xdr:rowOff>
    </xdr:from>
    <xdr:to>
      <xdr:col>2</xdr:col>
      <xdr:colOff>5327402</xdr:colOff>
      <xdr:row>76</xdr:row>
      <xdr:rowOff>2712356</xdr:rowOff>
    </xdr:to>
    <xdr:sp macro="" textlink="">
      <xdr:nvSpPr>
        <xdr:cNvPr id="40" name="ZoneTexte 39" hidden="1">
          <a:extLst>
            <a:ext uri="{FF2B5EF4-FFF2-40B4-BE49-F238E27FC236}">
              <a16:creationId xmlns:a16="http://schemas.microsoft.com/office/drawing/2014/main" id="{00000000-0008-0000-0D00-000028000000}"/>
            </a:ext>
          </a:extLst>
        </xdr:cNvPr>
        <xdr:cNvSpPr txBox="1"/>
      </xdr:nvSpPr>
      <xdr:spPr>
        <a:xfrm>
          <a:off x="5920220" y="4375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xdr:row>
      <xdr:rowOff>2412999</xdr:rowOff>
    </xdr:from>
    <xdr:to>
      <xdr:col>2</xdr:col>
      <xdr:colOff>5327402</xdr:colOff>
      <xdr:row>8</xdr:row>
      <xdr:rowOff>2712356</xdr:rowOff>
    </xdr:to>
    <xdr:sp macro="" textlink="">
      <xdr:nvSpPr>
        <xdr:cNvPr id="42" name="ZoneTexte 41" hidden="1">
          <a:extLst>
            <a:ext uri="{FF2B5EF4-FFF2-40B4-BE49-F238E27FC236}">
              <a16:creationId xmlns:a16="http://schemas.microsoft.com/office/drawing/2014/main" id="{00000000-0008-0000-0D00-00002A000000}"/>
            </a:ext>
          </a:extLst>
        </xdr:cNvPr>
        <xdr:cNvSpPr txBox="1"/>
      </xdr:nvSpPr>
      <xdr:spPr>
        <a:xfrm>
          <a:off x="5920220" y="1898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76</xdr:row>
      <xdr:rowOff>2412999</xdr:rowOff>
    </xdr:from>
    <xdr:to>
      <xdr:col>2</xdr:col>
      <xdr:colOff>5327402</xdr:colOff>
      <xdr:row>76</xdr:row>
      <xdr:rowOff>2712356</xdr:rowOff>
    </xdr:to>
    <xdr:sp macro="" textlink="">
      <xdr:nvSpPr>
        <xdr:cNvPr id="44" name="ZoneTexte 43" hidden="1">
          <a:extLst>
            <a:ext uri="{FF2B5EF4-FFF2-40B4-BE49-F238E27FC236}">
              <a16:creationId xmlns:a16="http://schemas.microsoft.com/office/drawing/2014/main" id="{00000000-0008-0000-0D00-00002C000000}"/>
            </a:ext>
          </a:extLst>
        </xdr:cNvPr>
        <xdr:cNvSpPr txBox="1"/>
      </xdr:nvSpPr>
      <xdr:spPr>
        <a:xfrm>
          <a:off x="5931106" y="4003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76</xdr:row>
      <xdr:rowOff>2412999</xdr:rowOff>
    </xdr:from>
    <xdr:to>
      <xdr:col>2</xdr:col>
      <xdr:colOff>5327402</xdr:colOff>
      <xdr:row>76</xdr:row>
      <xdr:rowOff>2712356</xdr:rowOff>
    </xdr:to>
    <xdr:sp macro="" textlink="">
      <xdr:nvSpPr>
        <xdr:cNvPr id="45" name="ZoneTexte 44" hidden="1">
          <a:extLst>
            <a:ext uri="{FF2B5EF4-FFF2-40B4-BE49-F238E27FC236}">
              <a16:creationId xmlns:a16="http://schemas.microsoft.com/office/drawing/2014/main" id="{00000000-0008-0000-0D00-00002D000000}"/>
            </a:ext>
          </a:extLst>
        </xdr:cNvPr>
        <xdr:cNvSpPr txBox="1"/>
      </xdr:nvSpPr>
      <xdr:spPr>
        <a:xfrm>
          <a:off x="5931106" y="4003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50" name="ZoneTexte 49" hidden="1">
          <a:extLst>
            <a:ext uri="{FF2B5EF4-FFF2-40B4-BE49-F238E27FC236}">
              <a16:creationId xmlns:a16="http://schemas.microsoft.com/office/drawing/2014/main" id="{00000000-0008-0000-0D00-000032000000}"/>
            </a:ext>
          </a:extLst>
        </xdr:cNvPr>
        <xdr:cNvSpPr txBox="1"/>
      </xdr:nvSpPr>
      <xdr:spPr>
        <a:xfrm>
          <a:off x="6026356" y="61277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51" name="ZoneTexte 50" hidden="1">
          <a:extLst>
            <a:ext uri="{FF2B5EF4-FFF2-40B4-BE49-F238E27FC236}">
              <a16:creationId xmlns:a16="http://schemas.microsoft.com/office/drawing/2014/main" id="{00000000-0008-0000-0D00-000033000000}"/>
            </a:ext>
          </a:extLst>
        </xdr:cNvPr>
        <xdr:cNvSpPr txBox="1"/>
      </xdr:nvSpPr>
      <xdr:spPr>
        <a:xfrm>
          <a:off x="6026356" y="61277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52" name="ZoneTexte 51" hidden="1">
          <a:extLst>
            <a:ext uri="{FF2B5EF4-FFF2-40B4-BE49-F238E27FC236}">
              <a16:creationId xmlns:a16="http://schemas.microsoft.com/office/drawing/2014/main" id="{00000000-0008-0000-0D00-000034000000}"/>
            </a:ext>
          </a:extLst>
        </xdr:cNvPr>
        <xdr:cNvSpPr txBox="1"/>
      </xdr:nvSpPr>
      <xdr:spPr>
        <a:xfrm>
          <a:off x="6026356" y="80313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53" name="ZoneTexte 52" hidden="1">
          <a:extLst>
            <a:ext uri="{FF2B5EF4-FFF2-40B4-BE49-F238E27FC236}">
              <a16:creationId xmlns:a16="http://schemas.microsoft.com/office/drawing/2014/main" id="{00000000-0008-0000-0D00-000035000000}"/>
            </a:ext>
          </a:extLst>
        </xdr:cNvPr>
        <xdr:cNvSpPr txBox="1"/>
      </xdr:nvSpPr>
      <xdr:spPr>
        <a:xfrm>
          <a:off x="6026356" y="80313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97</xdr:row>
      <xdr:rowOff>2412999</xdr:rowOff>
    </xdr:from>
    <xdr:to>
      <xdr:col>2</xdr:col>
      <xdr:colOff>5327402</xdr:colOff>
      <xdr:row>97</xdr:row>
      <xdr:rowOff>2712356</xdr:rowOff>
    </xdr:to>
    <xdr:sp macro="" textlink="">
      <xdr:nvSpPr>
        <xdr:cNvPr id="56" name="ZoneTexte 55" hidden="1">
          <a:extLst>
            <a:ext uri="{FF2B5EF4-FFF2-40B4-BE49-F238E27FC236}">
              <a16:creationId xmlns:a16="http://schemas.microsoft.com/office/drawing/2014/main" id="{00000000-0008-0000-0D00-000038000000}"/>
            </a:ext>
          </a:extLst>
        </xdr:cNvPr>
        <xdr:cNvSpPr txBox="1"/>
      </xdr:nvSpPr>
      <xdr:spPr>
        <a:xfrm>
          <a:off x="6026356" y="1174613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97</xdr:row>
      <xdr:rowOff>3706090</xdr:rowOff>
    </xdr:from>
    <xdr:to>
      <xdr:col>2</xdr:col>
      <xdr:colOff>5142675</xdr:colOff>
      <xdr:row>97</xdr:row>
      <xdr:rowOff>4005447</xdr:rowOff>
    </xdr:to>
    <xdr:sp macro="" textlink="">
      <xdr:nvSpPr>
        <xdr:cNvPr id="57" name="ZoneTexte 56" hidden="1">
          <a:extLst>
            <a:ext uri="{FF2B5EF4-FFF2-40B4-BE49-F238E27FC236}">
              <a16:creationId xmlns:a16="http://schemas.microsoft.com/office/drawing/2014/main" id="{00000000-0008-0000-0D00-000039000000}"/>
            </a:ext>
          </a:extLst>
        </xdr:cNvPr>
        <xdr:cNvSpPr txBox="1"/>
      </xdr:nvSpPr>
      <xdr:spPr>
        <a:xfrm>
          <a:off x="6032129" y="117438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112</xdr:row>
      <xdr:rowOff>2412999</xdr:rowOff>
    </xdr:from>
    <xdr:to>
      <xdr:col>2</xdr:col>
      <xdr:colOff>5327402</xdr:colOff>
      <xdr:row>112</xdr:row>
      <xdr:rowOff>2712356</xdr:rowOff>
    </xdr:to>
    <xdr:sp macro="" textlink="">
      <xdr:nvSpPr>
        <xdr:cNvPr id="60" name="ZoneTexte 59" hidden="1">
          <a:extLst>
            <a:ext uri="{FF2B5EF4-FFF2-40B4-BE49-F238E27FC236}">
              <a16:creationId xmlns:a16="http://schemas.microsoft.com/office/drawing/2014/main" id="{00000000-0008-0000-0D00-00003C000000}"/>
            </a:ext>
          </a:extLst>
        </xdr:cNvPr>
        <xdr:cNvSpPr txBox="1"/>
      </xdr:nvSpPr>
      <xdr:spPr>
        <a:xfrm>
          <a:off x="6026356" y="1212713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97</xdr:row>
      <xdr:rowOff>2412999</xdr:rowOff>
    </xdr:from>
    <xdr:to>
      <xdr:col>2</xdr:col>
      <xdr:colOff>5327402</xdr:colOff>
      <xdr:row>97</xdr:row>
      <xdr:rowOff>2712356</xdr:rowOff>
    </xdr:to>
    <xdr:sp macro="" textlink="">
      <xdr:nvSpPr>
        <xdr:cNvPr id="63" name="ZoneTexte 62" hidden="1">
          <a:extLst>
            <a:ext uri="{FF2B5EF4-FFF2-40B4-BE49-F238E27FC236}">
              <a16:creationId xmlns:a16="http://schemas.microsoft.com/office/drawing/2014/main" id="{00000000-0008-0000-0D00-00003F000000}"/>
            </a:ext>
          </a:extLst>
        </xdr:cNvPr>
        <xdr:cNvSpPr txBox="1"/>
      </xdr:nvSpPr>
      <xdr:spPr>
        <a:xfrm>
          <a:off x="6026356" y="1174613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97</xdr:row>
      <xdr:rowOff>3706090</xdr:rowOff>
    </xdr:from>
    <xdr:to>
      <xdr:col>2</xdr:col>
      <xdr:colOff>5142675</xdr:colOff>
      <xdr:row>97</xdr:row>
      <xdr:rowOff>4005447</xdr:rowOff>
    </xdr:to>
    <xdr:sp macro="" textlink="">
      <xdr:nvSpPr>
        <xdr:cNvPr id="64" name="ZoneTexte 63" hidden="1">
          <a:extLst>
            <a:ext uri="{FF2B5EF4-FFF2-40B4-BE49-F238E27FC236}">
              <a16:creationId xmlns:a16="http://schemas.microsoft.com/office/drawing/2014/main" id="{00000000-0008-0000-0D00-000040000000}"/>
            </a:ext>
          </a:extLst>
        </xdr:cNvPr>
        <xdr:cNvSpPr txBox="1"/>
      </xdr:nvSpPr>
      <xdr:spPr>
        <a:xfrm>
          <a:off x="6032129" y="117438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112</xdr:row>
      <xdr:rowOff>2412999</xdr:rowOff>
    </xdr:from>
    <xdr:to>
      <xdr:col>2</xdr:col>
      <xdr:colOff>5327402</xdr:colOff>
      <xdr:row>112</xdr:row>
      <xdr:rowOff>2712356</xdr:rowOff>
    </xdr:to>
    <xdr:sp macro="" textlink="">
      <xdr:nvSpPr>
        <xdr:cNvPr id="67" name="ZoneTexte 66" hidden="1">
          <a:extLst>
            <a:ext uri="{FF2B5EF4-FFF2-40B4-BE49-F238E27FC236}">
              <a16:creationId xmlns:a16="http://schemas.microsoft.com/office/drawing/2014/main" id="{00000000-0008-0000-0D00-000043000000}"/>
            </a:ext>
          </a:extLst>
        </xdr:cNvPr>
        <xdr:cNvSpPr txBox="1"/>
      </xdr:nvSpPr>
      <xdr:spPr>
        <a:xfrm>
          <a:off x="6026356" y="1212713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72" name="ZoneTexte 71" hidden="1">
          <a:extLst>
            <a:ext uri="{FF2B5EF4-FFF2-40B4-BE49-F238E27FC236}">
              <a16:creationId xmlns:a16="http://schemas.microsoft.com/office/drawing/2014/main" id="{00000000-0008-0000-0D00-000048000000}"/>
            </a:ext>
          </a:extLst>
        </xdr:cNvPr>
        <xdr:cNvSpPr txBox="1"/>
      </xdr:nvSpPr>
      <xdr:spPr>
        <a:xfrm>
          <a:off x="6026356" y="4127499"/>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73" name="ZoneTexte 72" hidden="1">
          <a:extLst>
            <a:ext uri="{FF2B5EF4-FFF2-40B4-BE49-F238E27FC236}">
              <a16:creationId xmlns:a16="http://schemas.microsoft.com/office/drawing/2014/main" id="{00000000-0008-0000-0D00-000049000000}"/>
            </a:ext>
          </a:extLst>
        </xdr:cNvPr>
        <xdr:cNvSpPr txBox="1"/>
      </xdr:nvSpPr>
      <xdr:spPr>
        <a:xfrm>
          <a:off x="6026356" y="4127499"/>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62</xdr:row>
      <xdr:rowOff>2412999</xdr:rowOff>
    </xdr:from>
    <xdr:to>
      <xdr:col>2</xdr:col>
      <xdr:colOff>5327402</xdr:colOff>
      <xdr:row>62</xdr:row>
      <xdr:rowOff>2712356</xdr:rowOff>
    </xdr:to>
    <xdr:sp macro="" textlink="">
      <xdr:nvSpPr>
        <xdr:cNvPr id="74" name="ZoneTexte 73" hidden="1">
          <a:extLst>
            <a:ext uri="{FF2B5EF4-FFF2-40B4-BE49-F238E27FC236}">
              <a16:creationId xmlns:a16="http://schemas.microsoft.com/office/drawing/2014/main" id="{00000000-0008-0000-0D00-00004A000000}"/>
            </a:ext>
          </a:extLst>
        </xdr:cNvPr>
        <xdr:cNvSpPr txBox="1"/>
      </xdr:nvSpPr>
      <xdr:spPr>
        <a:xfrm>
          <a:off x="6026356" y="4127499"/>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62</xdr:row>
      <xdr:rowOff>2412999</xdr:rowOff>
    </xdr:from>
    <xdr:to>
      <xdr:col>2</xdr:col>
      <xdr:colOff>5327402</xdr:colOff>
      <xdr:row>62</xdr:row>
      <xdr:rowOff>2712356</xdr:rowOff>
    </xdr:to>
    <xdr:sp macro="" textlink="">
      <xdr:nvSpPr>
        <xdr:cNvPr id="75" name="ZoneTexte 74" hidden="1">
          <a:extLst>
            <a:ext uri="{FF2B5EF4-FFF2-40B4-BE49-F238E27FC236}">
              <a16:creationId xmlns:a16="http://schemas.microsoft.com/office/drawing/2014/main" id="{00000000-0008-0000-0D00-00004B000000}"/>
            </a:ext>
          </a:extLst>
        </xdr:cNvPr>
        <xdr:cNvSpPr txBox="1"/>
      </xdr:nvSpPr>
      <xdr:spPr>
        <a:xfrm>
          <a:off x="6026356" y="4127499"/>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94</xdr:row>
      <xdr:rowOff>2412999</xdr:rowOff>
    </xdr:from>
    <xdr:to>
      <xdr:col>2</xdr:col>
      <xdr:colOff>5327402</xdr:colOff>
      <xdr:row>94</xdr:row>
      <xdr:rowOff>2712356</xdr:rowOff>
    </xdr:to>
    <xdr:sp macro="" textlink="">
      <xdr:nvSpPr>
        <xdr:cNvPr id="76" name="ZoneTexte 75" hidden="1">
          <a:extLst>
            <a:ext uri="{FF2B5EF4-FFF2-40B4-BE49-F238E27FC236}">
              <a16:creationId xmlns:a16="http://schemas.microsoft.com/office/drawing/2014/main" id="{00000000-0008-0000-0D00-00004C000000}"/>
            </a:ext>
          </a:extLst>
        </xdr:cNvPr>
        <xdr:cNvSpPr txBox="1"/>
      </xdr:nvSpPr>
      <xdr:spPr>
        <a:xfrm>
          <a:off x="6026356" y="4127499"/>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94</xdr:row>
      <xdr:rowOff>2412999</xdr:rowOff>
    </xdr:from>
    <xdr:to>
      <xdr:col>2</xdr:col>
      <xdr:colOff>5327402</xdr:colOff>
      <xdr:row>94</xdr:row>
      <xdr:rowOff>2712356</xdr:rowOff>
    </xdr:to>
    <xdr:sp macro="" textlink="">
      <xdr:nvSpPr>
        <xdr:cNvPr id="77" name="ZoneTexte 76" hidden="1">
          <a:extLst>
            <a:ext uri="{FF2B5EF4-FFF2-40B4-BE49-F238E27FC236}">
              <a16:creationId xmlns:a16="http://schemas.microsoft.com/office/drawing/2014/main" id="{00000000-0008-0000-0D00-00004D000000}"/>
            </a:ext>
          </a:extLst>
        </xdr:cNvPr>
        <xdr:cNvSpPr txBox="1"/>
      </xdr:nvSpPr>
      <xdr:spPr>
        <a:xfrm>
          <a:off x="6026356" y="4127499"/>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112</xdr:row>
      <xdr:rowOff>2412999</xdr:rowOff>
    </xdr:from>
    <xdr:to>
      <xdr:col>2</xdr:col>
      <xdr:colOff>5327402</xdr:colOff>
      <xdr:row>112</xdr:row>
      <xdr:rowOff>2712356</xdr:rowOff>
    </xdr:to>
    <xdr:sp macro="" textlink="">
      <xdr:nvSpPr>
        <xdr:cNvPr id="78" name="ZoneTexte 77" hidden="1">
          <a:extLst>
            <a:ext uri="{FF2B5EF4-FFF2-40B4-BE49-F238E27FC236}">
              <a16:creationId xmlns:a16="http://schemas.microsoft.com/office/drawing/2014/main" id="{00000000-0008-0000-0D00-00004E000000}"/>
            </a:ext>
          </a:extLst>
        </xdr:cNvPr>
        <xdr:cNvSpPr txBox="1"/>
      </xdr:nvSpPr>
      <xdr:spPr>
        <a:xfrm>
          <a:off x="6026356" y="4127499"/>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112</xdr:row>
      <xdr:rowOff>2412999</xdr:rowOff>
    </xdr:from>
    <xdr:to>
      <xdr:col>2</xdr:col>
      <xdr:colOff>5327402</xdr:colOff>
      <xdr:row>112</xdr:row>
      <xdr:rowOff>2712356</xdr:rowOff>
    </xdr:to>
    <xdr:sp macro="" textlink="">
      <xdr:nvSpPr>
        <xdr:cNvPr id="79" name="ZoneTexte 78" hidden="1">
          <a:extLst>
            <a:ext uri="{FF2B5EF4-FFF2-40B4-BE49-F238E27FC236}">
              <a16:creationId xmlns:a16="http://schemas.microsoft.com/office/drawing/2014/main" id="{00000000-0008-0000-0D00-00004F000000}"/>
            </a:ext>
          </a:extLst>
        </xdr:cNvPr>
        <xdr:cNvSpPr txBox="1"/>
      </xdr:nvSpPr>
      <xdr:spPr>
        <a:xfrm>
          <a:off x="6026356" y="4127499"/>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115</xdr:row>
      <xdr:rowOff>2412999</xdr:rowOff>
    </xdr:from>
    <xdr:to>
      <xdr:col>2</xdr:col>
      <xdr:colOff>5327402</xdr:colOff>
      <xdr:row>115</xdr:row>
      <xdr:rowOff>2712356</xdr:rowOff>
    </xdr:to>
    <xdr:sp macro="" textlink="">
      <xdr:nvSpPr>
        <xdr:cNvPr id="84" name="ZoneTexte 83" hidden="1">
          <a:extLst>
            <a:ext uri="{FF2B5EF4-FFF2-40B4-BE49-F238E27FC236}">
              <a16:creationId xmlns:a16="http://schemas.microsoft.com/office/drawing/2014/main" id="{00000000-0008-0000-0D00-000054000000}"/>
            </a:ext>
          </a:extLst>
        </xdr:cNvPr>
        <xdr:cNvSpPr txBox="1"/>
      </xdr:nvSpPr>
      <xdr:spPr>
        <a:xfrm>
          <a:off x="6026356" y="348918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115</xdr:row>
      <xdr:rowOff>3706090</xdr:rowOff>
    </xdr:from>
    <xdr:to>
      <xdr:col>2</xdr:col>
      <xdr:colOff>5142675</xdr:colOff>
      <xdr:row>115</xdr:row>
      <xdr:rowOff>4005447</xdr:rowOff>
    </xdr:to>
    <xdr:sp macro="" textlink="">
      <xdr:nvSpPr>
        <xdr:cNvPr id="85" name="ZoneTexte 84" hidden="1">
          <a:extLst>
            <a:ext uri="{FF2B5EF4-FFF2-40B4-BE49-F238E27FC236}">
              <a16:creationId xmlns:a16="http://schemas.microsoft.com/office/drawing/2014/main" id="{00000000-0008-0000-0D00-000055000000}"/>
            </a:ext>
          </a:extLst>
        </xdr:cNvPr>
        <xdr:cNvSpPr txBox="1"/>
      </xdr:nvSpPr>
      <xdr:spPr>
        <a:xfrm>
          <a:off x="6032129" y="348895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88" name="ZoneTexte 87" hidden="1">
          <a:extLst>
            <a:ext uri="{FF2B5EF4-FFF2-40B4-BE49-F238E27FC236}">
              <a16:creationId xmlns:a16="http://schemas.microsoft.com/office/drawing/2014/main" id="{00000000-0008-0000-0D00-000058000000}"/>
            </a:ext>
          </a:extLst>
        </xdr:cNvPr>
        <xdr:cNvSpPr txBox="1"/>
      </xdr:nvSpPr>
      <xdr:spPr>
        <a:xfrm>
          <a:off x="6026356" y="37301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115</xdr:row>
      <xdr:rowOff>2412999</xdr:rowOff>
    </xdr:from>
    <xdr:to>
      <xdr:col>2</xdr:col>
      <xdr:colOff>5327402</xdr:colOff>
      <xdr:row>115</xdr:row>
      <xdr:rowOff>2712356</xdr:rowOff>
    </xdr:to>
    <xdr:sp macro="" textlink="">
      <xdr:nvSpPr>
        <xdr:cNvPr id="91" name="ZoneTexte 90" hidden="1">
          <a:extLst>
            <a:ext uri="{FF2B5EF4-FFF2-40B4-BE49-F238E27FC236}">
              <a16:creationId xmlns:a16="http://schemas.microsoft.com/office/drawing/2014/main" id="{00000000-0008-0000-0D00-00005B000000}"/>
            </a:ext>
          </a:extLst>
        </xdr:cNvPr>
        <xdr:cNvSpPr txBox="1"/>
      </xdr:nvSpPr>
      <xdr:spPr>
        <a:xfrm>
          <a:off x="6026356" y="348918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115</xdr:row>
      <xdr:rowOff>3706090</xdr:rowOff>
    </xdr:from>
    <xdr:to>
      <xdr:col>2</xdr:col>
      <xdr:colOff>5142675</xdr:colOff>
      <xdr:row>115</xdr:row>
      <xdr:rowOff>4005447</xdr:rowOff>
    </xdr:to>
    <xdr:sp macro="" textlink="">
      <xdr:nvSpPr>
        <xdr:cNvPr id="92" name="ZoneTexte 91" hidden="1">
          <a:extLst>
            <a:ext uri="{FF2B5EF4-FFF2-40B4-BE49-F238E27FC236}">
              <a16:creationId xmlns:a16="http://schemas.microsoft.com/office/drawing/2014/main" id="{00000000-0008-0000-0D00-00005C000000}"/>
            </a:ext>
          </a:extLst>
        </xdr:cNvPr>
        <xdr:cNvSpPr txBox="1"/>
      </xdr:nvSpPr>
      <xdr:spPr>
        <a:xfrm>
          <a:off x="6032129" y="348895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95" name="ZoneTexte 94" hidden="1">
          <a:extLst>
            <a:ext uri="{FF2B5EF4-FFF2-40B4-BE49-F238E27FC236}">
              <a16:creationId xmlns:a16="http://schemas.microsoft.com/office/drawing/2014/main" id="{00000000-0008-0000-0D00-00005F000000}"/>
            </a:ext>
          </a:extLst>
        </xdr:cNvPr>
        <xdr:cNvSpPr txBox="1"/>
      </xdr:nvSpPr>
      <xdr:spPr>
        <a:xfrm>
          <a:off x="6026356" y="37301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100" name="ZoneTexte 99" hidden="1">
          <a:extLst>
            <a:ext uri="{FF2B5EF4-FFF2-40B4-BE49-F238E27FC236}">
              <a16:creationId xmlns:a16="http://schemas.microsoft.com/office/drawing/2014/main" id="{00000000-0008-0000-0D00-000064000000}"/>
            </a:ext>
          </a:extLst>
        </xdr:cNvPr>
        <xdr:cNvSpPr txBox="1"/>
      </xdr:nvSpPr>
      <xdr:spPr>
        <a:xfrm>
          <a:off x="6026356" y="37301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101" name="ZoneTexte 100" hidden="1">
          <a:extLst>
            <a:ext uri="{FF2B5EF4-FFF2-40B4-BE49-F238E27FC236}">
              <a16:creationId xmlns:a16="http://schemas.microsoft.com/office/drawing/2014/main" id="{00000000-0008-0000-0D00-000065000000}"/>
            </a:ext>
          </a:extLst>
        </xdr:cNvPr>
        <xdr:cNvSpPr txBox="1"/>
      </xdr:nvSpPr>
      <xdr:spPr>
        <a:xfrm>
          <a:off x="6026356" y="37301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134</xdr:row>
      <xdr:rowOff>2412999</xdr:rowOff>
    </xdr:from>
    <xdr:to>
      <xdr:col>2</xdr:col>
      <xdr:colOff>5327402</xdr:colOff>
      <xdr:row>134</xdr:row>
      <xdr:rowOff>2712356</xdr:rowOff>
    </xdr:to>
    <xdr:sp macro="" textlink="">
      <xdr:nvSpPr>
        <xdr:cNvPr id="102" name="ZoneTexte 101" hidden="1">
          <a:extLst>
            <a:ext uri="{FF2B5EF4-FFF2-40B4-BE49-F238E27FC236}">
              <a16:creationId xmlns:a16="http://schemas.microsoft.com/office/drawing/2014/main" id="{00000000-0008-0000-0D00-000066000000}"/>
            </a:ext>
          </a:extLst>
        </xdr:cNvPr>
        <xdr:cNvSpPr txBox="1"/>
      </xdr:nvSpPr>
      <xdr:spPr>
        <a:xfrm>
          <a:off x="6026356" y="348918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134</xdr:row>
      <xdr:rowOff>3706090</xdr:rowOff>
    </xdr:from>
    <xdr:to>
      <xdr:col>2</xdr:col>
      <xdr:colOff>5142675</xdr:colOff>
      <xdr:row>134</xdr:row>
      <xdr:rowOff>4005447</xdr:rowOff>
    </xdr:to>
    <xdr:sp macro="" textlink="">
      <xdr:nvSpPr>
        <xdr:cNvPr id="103" name="ZoneTexte 102" hidden="1">
          <a:extLst>
            <a:ext uri="{FF2B5EF4-FFF2-40B4-BE49-F238E27FC236}">
              <a16:creationId xmlns:a16="http://schemas.microsoft.com/office/drawing/2014/main" id="{00000000-0008-0000-0D00-000067000000}"/>
            </a:ext>
          </a:extLst>
        </xdr:cNvPr>
        <xdr:cNvSpPr txBox="1"/>
      </xdr:nvSpPr>
      <xdr:spPr>
        <a:xfrm>
          <a:off x="6032129" y="348895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106" name="ZoneTexte 105" hidden="1">
          <a:extLst>
            <a:ext uri="{FF2B5EF4-FFF2-40B4-BE49-F238E27FC236}">
              <a16:creationId xmlns:a16="http://schemas.microsoft.com/office/drawing/2014/main" id="{00000000-0008-0000-0D00-00006A000000}"/>
            </a:ext>
          </a:extLst>
        </xdr:cNvPr>
        <xdr:cNvSpPr txBox="1"/>
      </xdr:nvSpPr>
      <xdr:spPr>
        <a:xfrm>
          <a:off x="6026356" y="37301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134</xdr:row>
      <xdr:rowOff>2412999</xdr:rowOff>
    </xdr:from>
    <xdr:to>
      <xdr:col>2</xdr:col>
      <xdr:colOff>5327402</xdr:colOff>
      <xdr:row>134</xdr:row>
      <xdr:rowOff>2712356</xdr:rowOff>
    </xdr:to>
    <xdr:sp macro="" textlink="">
      <xdr:nvSpPr>
        <xdr:cNvPr id="109" name="ZoneTexte 108" hidden="1">
          <a:extLst>
            <a:ext uri="{FF2B5EF4-FFF2-40B4-BE49-F238E27FC236}">
              <a16:creationId xmlns:a16="http://schemas.microsoft.com/office/drawing/2014/main" id="{00000000-0008-0000-0D00-00006D000000}"/>
            </a:ext>
          </a:extLst>
        </xdr:cNvPr>
        <xdr:cNvSpPr txBox="1"/>
      </xdr:nvSpPr>
      <xdr:spPr>
        <a:xfrm>
          <a:off x="6026356" y="348918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134</xdr:row>
      <xdr:rowOff>3706090</xdr:rowOff>
    </xdr:from>
    <xdr:to>
      <xdr:col>2</xdr:col>
      <xdr:colOff>5142675</xdr:colOff>
      <xdr:row>134</xdr:row>
      <xdr:rowOff>4005447</xdr:rowOff>
    </xdr:to>
    <xdr:sp macro="" textlink="">
      <xdr:nvSpPr>
        <xdr:cNvPr id="110" name="ZoneTexte 109" hidden="1">
          <a:extLst>
            <a:ext uri="{FF2B5EF4-FFF2-40B4-BE49-F238E27FC236}">
              <a16:creationId xmlns:a16="http://schemas.microsoft.com/office/drawing/2014/main" id="{00000000-0008-0000-0D00-00006E000000}"/>
            </a:ext>
          </a:extLst>
        </xdr:cNvPr>
        <xdr:cNvSpPr txBox="1"/>
      </xdr:nvSpPr>
      <xdr:spPr>
        <a:xfrm>
          <a:off x="6032129" y="348895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113" name="ZoneTexte 112" hidden="1">
          <a:extLst>
            <a:ext uri="{FF2B5EF4-FFF2-40B4-BE49-F238E27FC236}">
              <a16:creationId xmlns:a16="http://schemas.microsoft.com/office/drawing/2014/main" id="{00000000-0008-0000-0D00-000071000000}"/>
            </a:ext>
          </a:extLst>
        </xdr:cNvPr>
        <xdr:cNvSpPr txBox="1"/>
      </xdr:nvSpPr>
      <xdr:spPr>
        <a:xfrm>
          <a:off x="6026356" y="37301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118" name="ZoneTexte 117" hidden="1">
          <a:extLst>
            <a:ext uri="{FF2B5EF4-FFF2-40B4-BE49-F238E27FC236}">
              <a16:creationId xmlns:a16="http://schemas.microsoft.com/office/drawing/2014/main" id="{00000000-0008-0000-0D00-000076000000}"/>
            </a:ext>
          </a:extLst>
        </xdr:cNvPr>
        <xdr:cNvSpPr txBox="1"/>
      </xdr:nvSpPr>
      <xdr:spPr>
        <a:xfrm>
          <a:off x="6026356" y="37301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119" name="ZoneTexte 118" hidden="1">
          <a:extLst>
            <a:ext uri="{FF2B5EF4-FFF2-40B4-BE49-F238E27FC236}">
              <a16:creationId xmlns:a16="http://schemas.microsoft.com/office/drawing/2014/main" id="{00000000-0008-0000-0D00-000077000000}"/>
            </a:ext>
          </a:extLst>
        </xdr:cNvPr>
        <xdr:cNvSpPr txBox="1"/>
      </xdr:nvSpPr>
      <xdr:spPr>
        <a:xfrm>
          <a:off x="6026356" y="37301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153</xdr:row>
      <xdr:rowOff>2412999</xdr:rowOff>
    </xdr:from>
    <xdr:to>
      <xdr:col>2</xdr:col>
      <xdr:colOff>5327402</xdr:colOff>
      <xdr:row>153</xdr:row>
      <xdr:rowOff>2712356</xdr:rowOff>
    </xdr:to>
    <xdr:sp macro="" textlink="">
      <xdr:nvSpPr>
        <xdr:cNvPr id="124" name="ZoneTexte 123" hidden="1">
          <a:extLst>
            <a:ext uri="{FF2B5EF4-FFF2-40B4-BE49-F238E27FC236}">
              <a16:creationId xmlns:a16="http://schemas.microsoft.com/office/drawing/2014/main" id="{00000000-0008-0000-0D00-00007C000000}"/>
            </a:ext>
          </a:extLst>
        </xdr:cNvPr>
        <xdr:cNvSpPr txBox="1"/>
      </xdr:nvSpPr>
      <xdr:spPr>
        <a:xfrm>
          <a:off x="6026356" y="495603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153</xdr:row>
      <xdr:rowOff>3706090</xdr:rowOff>
    </xdr:from>
    <xdr:to>
      <xdr:col>2</xdr:col>
      <xdr:colOff>5142675</xdr:colOff>
      <xdr:row>153</xdr:row>
      <xdr:rowOff>4005447</xdr:rowOff>
    </xdr:to>
    <xdr:sp macro="" textlink="">
      <xdr:nvSpPr>
        <xdr:cNvPr id="125" name="ZoneTexte 124" hidden="1">
          <a:extLst>
            <a:ext uri="{FF2B5EF4-FFF2-40B4-BE49-F238E27FC236}">
              <a16:creationId xmlns:a16="http://schemas.microsoft.com/office/drawing/2014/main" id="{00000000-0008-0000-0D00-00007D000000}"/>
            </a:ext>
          </a:extLst>
        </xdr:cNvPr>
        <xdr:cNvSpPr txBox="1"/>
      </xdr:nvSpPr>
      <xdr:spPr>
        <a:xfrm>
          <a:off x="6032129" y="495580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128" name="ZoneTexte 127" hidden="1">
          <a:extLst>
            <a:ext uri="{FF2B5EF4-FFF2-40B4-BE49-F238E27FC236}">
              <a16:creationId xmlns:a16="http://schemas.microsoft.com/office/drawing/2014/main" id="{00000000-0008-0000-0D00-000080000000}"/>
            </a:ext>
          </a:extLst>
        </xdr:cNvPr>
        <xdr:cNvSpPr txBox="1"/>
      </xdr:nvSpPr>
      <xdr:spPr>
        <a:xfrm>
          <a:off x="6026356" y="51970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153</xdr:row>
      <xdr:rowOff>2412999</xdr:rowOff>
    </xdr:from>
    <xdr:to>
      <xdr:col>2</xdr:col>
      <xdr:colOff>5327402</xdr:colOff>
      <xdr:row>153</xdr:row>
      <xdr:rowOff>2712356</xdr:rowOff>
    </xdr:to>
    <xdr:sp macro="" textlink="">
      <xdr:nvSpPr>
        <xdr:cNvPr id="131" name="ZoneTexte 130" hidden="1">
          <a:extLst>
            <a:ext uri="{FF2B5EF4-FFF2-40B4-BE49-F238E27FC236}">
              <a16:creationId xmlns:a16="http://schemas.microsoft.com/office/drawing/2014/main" id="{00000000-0008-0000-0D00-000083000000}"/>
            </a:ext>
          </a:extLst>
        </xdr:cNvPr>
        <xdr:cNvSpPr txBox="1"/>
      </xdr:nvSpPr>
      <xdr:spPr>
        <a:xfrm>
          <a:off x="6026356" y="495603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153</xdr:row>
      <xdr:rowOff>3706090</xdr:rowOff>
    </xdr:from>
    <xdr:to>
      <xdr:col>2</xdr:col>
      <xdr:colOff>5142675</xdr:colOff>
      <xdr:row>153</xdr:row>
      <xdr:rowOff>4005447</xdr:rowOff>
    </xdr:to>
    <xdr:sp macro="" textlink="">
      <xdr:nvSpPr>
        <xdr:cNvPr id="132" name="ZoneTexte 131" hidden="1">
          <a:extLst>
            <a:ext uri="{FF2B5EF4-FFF2-40B4-BE49-F238E27FC236}">
              <a16:creationId xmlns:a16="http://schemas.microsoft.com/office/drawing/2014/main" id="{00000000-0008-0000-0D00-000084000000}"/>
            </a:ext>
          </a:extLst>
        </xdr:cNvPr>
        <xdr:cNvSpPr txBox="1"/>
      </xdr:nvSpPr>
      <xdr:spPr>
        <a:xfrm>
          <a:off x="6032129" y="495580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135" name="ZoneTexte 134" hidden="1">
          <a:extLst>
            <a:ext uri="{FF2B5EF4-FFF2-40B4-BE49-F238E27FC236}">
              <a16:creationId xmlns:a16="http://schemas.microsoft.com/office/drawing/2014/main" id="{00000000-0008-0000-0D00-000087000000}"/>
            </a:ext>
          </a:extLst>
        </xdr:cNvPr>
        <xdr:cNvSpPr txBox="1"/>
      </xdr:nvSpPr>
      <xdr:spPr>
        <a:xfrm>
          <a:off x="6026356" y="51970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140" name="ZoneTexte 139" hidden="1">
          <a:extLst>
            <a:ext uri="{FF2B5EF4-FFF2-40B4-BE49-F238E27FC236}">
              <a16:creationId xmlns:a16="http://schemas.microsoft.com/office/drawing/2014/main" id="{00000000-0008-0000-0D00-00008C000000}"/>
            </a:ext>
          </a:extLst>
        </xdr:cNvPr>
        <xdr:cNvSpPr txBox="1"/>
      </xdr:nvSpPr>
      <xdr:spPr>
        <a:xfrm>
          <a:off x="6026356" y="51970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141" name="ZoneTexte 140" hidden="1">
          <a:extLst>
            <a:ext uri="{FF2B5EF4-FFF2-40B4-BE49-F238E27FC236}">
              <a16:creationId xmlns:a16="http://schemas.microsoft.com/office/drawing/2014/main" id="{00000000-0008-0000-0D00-00008D000000}"/>
            </a:ext>
          </a:extLst>
        </xdr:cNvPr>
        <xdr:cNvSpPr txBox="1"/>
      </xdr:nvSpPr>
      <xdr:spPr>
        <a:xfrm>
          <a:off x="6026356" y="51970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171</xdr:row>
      <xdr:rowOff>2412999</xdr:rowOff>
    </xdr:from>
    <xdr:to>
      <xdr:col>2</xdr:col>
      <xdr:colOff>5327402</xdr:colOff>
      <xdr:row>171</xdr:row>
      <xdr:rowOff>2712356</xdr:rowOff>
    </xdr:to>
    <xdr:sp macro="" textlink="">
      <xdr:nvSpPr>
        <xdr:cNvPr id="146" name="ZoneTexte 145" hidden="1">
          <a:extLst>
            <a:ext uri="{FF2B5EF4-FFF2-40B4-BE49-F238E27FC236}">
              <a16:creationId xmlns:a16="http://schemas.microsoft.com/office/drawing/2014/main" id="{00000000-0008-0000-0D00-000092000000}"/>
            </a:ext>
          </a:extLst>
        </xdr:cNvPr>
        <xdr:cNvSpPr txBox="1"/>
      </xdr:nvSpPr>
      <xdr:spPr>
        <a:xfrm>
          <a:off x="6026356" y="569898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171</xdr:row>
      <xdr:rowOff>3706090</xdr:rowOff>
    </xdr:from>
    <xdr:to>
      <xdr:col>2</xdr:col>
      <xdr:colOff>5142675</xdr:colOff>
      <xdr:row>171</xdr:row>
      <xdr:rowOff>4005447</xdr:rowOff>
    </xdr:to>
    <xdr:sp macro="" textlink="">
      <xdr:nvSpPr>
        <xdr:cNvPr id="147" name="ZoneTexte 146" hidden="1">
          <a:extLst>
            <a:ext uri="{FF2B5EF4-FFF2-40B4-BE49-F238E27FC236}">
              <a16:creationId xmlns:a16="http://schemas.microsoft.com/office/drawing/2014/main" id="{00000000-0008-0000-0D00-000093000000}"/>
            </a:ext>
          </a:extLst>
        </xdr:cNvPr>
        <xdr:cNvSpPr txBox="1"/>
      </xdr:nvSpPr>
      <xdr:spPr>
        <a:xfrm>
          <a:off x="6032129" y="569875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150" name="ZoneTexte 149" hidden="1">
          <a:extLst>
            <a:ext uri="{FF2B5EF4-FFF2-40B4-BE49-F238E27FC236}">
              <a16:creationId xmlns:a16="http://schemas.microsoft.com/office/drawing/2014/main" id="{00000000-0008-0000-0D00-000096000000}"/>
            </a:ext>
          </a:extLst>
        </xdr:cNvPr>
        <xdr:cNvSpPr txBox="1"/>
      </xdr:nvSpPr>
      <xdr:spPr>
        <a:xfrm>
          <a:off x="6026356" y="59399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171</xdr:row>
      <xdr:rowOff>2412999</xdr:rowOff>
    </xdr:from>
    <xdr:to>
      <xdr:col>2</xdr:col>
      <xdr:colOff>5327402</xdr:colOff>
      <xdr:row>171</xdr:row>
      <xdr:rowOff>2712356</xdr:rowOff>
    </xdr:to>
    <xdr:sp macro="" textlink="">
      <xdr:nvSpPr>
        <xdr:cNvPr id="153" name="ZoneTexte 152" hidden="1">
          <a:extLst>
            <a:ext uri="{FF2B5EF4-FFF2-40B4-BE49-F238E27FC236}">
              <a16:creationId xmlns:a16="http://schemas.microsoft.com/office/drawing/2014/main" id="{00000000-0008-0000-0D00-000099000000}"/>
            </a:ext>
          </a:extLst>
        </xdr:cNvPr>
        <xdr:cNvSpPr txBox="1"/>
      </xdr:nvSpPr>
      <xdr:spPr>
        <a:xfrm>
          <a:off x="6026356" y="569898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171</xdr:row>
      <xdr:rowOff>3706090</xdr:rowOff>
    </xdr:from>
    <xdr:to>
      <xdr:col>2</xdr:col>
      <xdr:colOff>5142675</xdr:colOff>
      <xdr:row>171</xdr:row>
      <xdr:rowOff>4005447</xdr:rowOff>
    </xdr:to>
    <xdr:sp macro="" textlink="">
      <xdr:nvSpPr>
        <xdr:cNvPr id="154" name="ZoneTexte 153" hidden="1">
          <a:extLst>
            <a:ext uri="{FF2B5EF4-FFF2-40B4-BE49-F238E27FC236}">
              <a16:creationId xmlns:a16="http://schemas.microsoft.com/office/drawing/2014/main" id="{00000000-0008-0000-0D00-00009A000000}"/>
            </a:ext>
          </a:extLst>
        </xdr:cNvPr>
        <xdr:cNvSpPr txBox="1"/>
      </xdr:nvSpPr>
      <xdr:spPr>
        <a:xfrm>
          <a:off x="6032129" y="569875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157" name="ZoneTexte 156" hidden="1">
          <a:extLst>
            <a:ext uri="{FF2B5EF4-FFF2-40B4-BE49-F238E27FC236}">
              <a16:creationId xmlns:a16="http://schemas.microsoft.com/office/drawing/2014/main" id="{00000000-0008-0000-0D00-00009D000000}"/>
            </a:ext>
          </a:extLst>
        </xdr:cNvPr>
        <xdr:cNvSpPr txBox="1"/>
      </xdr:nvSpPr>
      <xdr:spPr>
        <a:xfrm>
          <a:off x="6026356" y="59399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162" name="ZoneTexte 161" hidden="1">
          <a:extLst>
            <a:ext uri="{FF2B5EF4-FFF2-40B4-BE49-F238E27FC236}">
              <a16:creationId xmlns:a16="http://schemas.microsoft.com/office/drawing/2014/main" id="{00000000-0008-0000-0D00-0000A2000000}"/>
            </a:ext>
          </a:extLst>
        </xdr:cNvPr>
        <xdr:cNvSpPr txBox="1"/>
      </xdr:nvSpPr>
      <xdr:spPr>
        <a:xfrm>
          <a:off x="6026356" y="59399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163" name="ZoneTexte 162" hidden="1">
          <a:extLst>
            <a:ext uri="{FF2B5EF4-FFF2-40B4-BE49-F238E27FC236}">
              <a16:creationId xmlns:a16="http://schemas.microsoft.com/office/drawing/2014/main" id="{00000000-0008-0000-0D00-0000A3000000}"/>
            </a:ext>
          </a:extLst>
        </xdr:cNvPr>
        <xdr:cNvSpPr txBox="1"/>
      </xdr:nvSpPr>
      <xdr:spPr>
        <a:xfrm>
          <a:off x="6026356" y="59399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168" name="ZoneTexte 167" hidden="1">
          <a:extLst>
            <a:ext uri="{FF2B5EF4-FFF2-40B4-BE49-F238E27FC236}">
              <a16:creationId xmlns:a16="http://schemas.microsoft.com/office/drawing/2014/main" id="{00000000-0008-0000-0D00-0000A8000000}"/>
            </a:ext>
          </a:extLst>
        </xdr:cNvPr>
        <xdr:cNvSpPr txBox="1"/>
      </xdr:nvSpPr>
      <xdr:spPr>
        <a:xfrm>
          <a:off x="6026356" y="569898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189</xdr:row>
      <xdr:rowOff>3706090</xdr:rowOff>
    </xdr:from>
    <xdr:to>
      <xdr:col>2</xdr:col>
      <xdr:colOff>5142675</xdr:colOff>
      <xdr:row>189</xdr:row>
      <xdr:rowOff>4005447</xdr:rowOff>
    </xdr:to>
    <xdr:sp macro="" textlink="">
      <xdr:nvSpPr>
        <xdr:cNvPr id="169" name="ZoneTexte 168" hidden="1">
          <a:extLst>
            <a:ext uri="{FF2B5EF4-FFF2-40B4-BE49-F238E27FC236}">
              <a16:creationId xmlns:a16="http://schemas.microsoft.com/office/drawing/2014/main" id="{00000000-0008-0000-0D00-0000A9000000}"/>
            </a:ext>
          </a:extLst>
        </xdr:cNvPr>
        <xdr:cNvSpPr txBox="1"/>
      </xdr:nvSpPr>
      <xdr:spPr>
        <a:xfrm>
          <a:off x="6032129" y="569875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172" name="ZoneTexte 171" hidden="1">
          <a:extLst>
            <a:ext uri="{FF2B5EF4-FFF2-40B4-BE49-F238E27FC236}">
              <a16:creationId xmlns:a16="http://schemas.microsoft.com/office/drawing/2014/main" id="{00000000-0008-0000-0D00-0000AC000000}"/>
            </a:ext>
          </a:extLst>
        </xdr:cNvPr>
        <xdr:cNvSpPr txBox="1"/>
      </xdr:nvSpPr>
      <xdr:spPr>
        <a:xfrm>
          <a:off x="6026356" y="59399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175" name="ZoneTexte 174" hidden="1">
          <a:extLst>
            <a:ext uri="{FF2B5EF4-FFF2-40B4-BE49-F238E27FC236}">
              <a16:creationId xmlns:a16="http://schemas.microsoft.com/office/drawing/2014/main" id="{00000000-0008-0000-0D00-0000AF000000}"/>
            </a:ext>
          </a:extLst>
        </xdr:cNvPr>
        <xdr:cNvSpPr txBox="1"/>
      </xdr:nvSpPr>
      <xdr:spPr>
        <a:xfrm>
          <a:off x="6026356" y="569898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189</xdr:row>
      <xdr:rowOff>3706090</xdr:rowOff>
    </xdr:from>
    <xdr:to>
      <xdr:col>2</xdr:col>
      <xdr:colOff>5142675</xdr:colOff>
      <xdr:row>189</xdr:row>
      <xdr:rowOff>4005447</xdr:rowOff>
    </xdr:to>
    <xdr:sp macro="" textlink="">
      <xdr:nvSpPr>
        <xdr:cNvPr id="176" name="ZoneTexte 175" hidden="1">
          <a:extLst>
            <a:ext uri="{FF2B5EF4-FFF2-40B4-BE49-F238E27FC236}">
              <a16:creationId xmlns:a16="http://schemas.microsoft.com/office/drawing/2014/main" id="{00000000-0008-0000-0D00-0000B0000000}"/>
            </a:ext>
          </a:extLst>
        </xdr:cNvPr>
        <xdr:cNvSpPr txBox="1"/>
      </xdr:nvSpPr>
      <xdr:spPr>
        <a:xfrm>
          <a:off x="6032129" y="569875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179" name="ZoneTexte 178" hidden="1">
          <a:extLst>
            <a:ext uri="{FF2B5EF4-FFF2-40B4-BE49-F238E27FC236}">
              <a16:creationId xmlns:a16="http://schemas.microsoft.com/office/drawing/2014/main" id="{00000000-0008-0000-0D00-0000B3000000}"/>
            </a:ext>
          </a:extLst>
        </xdr:cNvPr>
        <xdr:cNvSpPr txBox="1"/>
      </xdr:nvSpPr>
      <xdr:spPr>
        <a:xfrm>
          <a:off x="6026356" y="59399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184" name="ZoneTexte 183" hidden="1">
          <a:extLst>
            <a:ext uri="{FF2B5EF4-FFF2-40B4-BE49-F238E27FC236}">
              <a16:creationId xmlns:a16="http://schemas.microsoft.com/office/drawing/2014/main" id="{00000000-0008-0000-0D00-0000B8000000}"/>
            </a:ext>
          </a:extLst>
        </xdr:cNvPr>
        <xdr:cNvSpPr txBox="1"/>
      </xdr:nvSpPr>
      <xdr:spPr>
        <a:xfrm>
          <a:off x="6026356" y="59399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185" name="ZoneTexte 184" hidden="1">
          <a:extLst>
            <a:ext uri="{FF2B5EF4-FFF2-40B4-BE49-F238E27FC236}">
              <a16:creationId xmlns:a16="http://schemas.microsoft.com/office/drawing/2014/main" id="{00000000-0008-0000-0D00-0000B9000000}"/>
            </a:ext>
          </a:extLst>
        </xdr:cNvPr>
        <xdr:cNvSpPr txBox="1"/>
      </xdr:nvSpPr>
      <xdr:spPr>
        <a:xfrm>
          <a:off x="6026356" y="593997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190" name="ZoneTexte 189" hidden="1">
          <a:extLst>
            <a:ext uri="{FF2B5EF4-FFF2-40B4-BE49-F238E27FC236}">
              <a16:creationId xmlns:a16="http://schemas.microsoft.com/office/drawing/2014/main" id="{00000000-0008-0000-0D00-0000BE000000}"/>
            </a:ext>
          </a:extLst>
        </xdr:cNvPr>
        <xdr:cNvSpPr txBox="1"/>
      </xdr:nvSpPr>
      <xdr:spPr>
        <a:xfrm>
          <a:off x="6026356" y="716583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191" name="ZoneTexte 190" hidden="1">
          <a:extLst>
            <a:ext uri="{FF2B5EF4-FFF2-40B4-BE49-F238E27FC236}">
              <a16:creationId xmlns:a16="http://schemas.microsoft.com/office/drawing/2014/main" id="{00000000-0008-0000-0D00-0000BF000000}"/>
            </a:ext>
          </a:extLst>
        </xdr:cNvPr>
        <xdr:cNvSpPr txBox="1"/>
      </xdr:nvSpPr>
      <xdr:spPr>
        <a:xfrm>
          <a:off x="6032129" y="716560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194" name="ZoneTexte 193" hidden="1">
          <a:extLst>
            <a:ext uri="{FF2B5EF4-FFF2-40B4-BE49-F238E27FC236}">
              <a16:creationId xmlns:a16="http://schemas.microsoft.com/office/drawing/2014/main" id="{00000000-0008-0000-0D00-0000C2000000}"/>
            </a:ext>
          </a:extLst>
        </xdr:cNvPr>
        <xdr:cNvSpPr txBox="1"/>
      </xdr:nvSpPr>
      <xdr:spPr>
        <a:xfrm>
          <a:off x="6026356" y="74068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197" name="ZoneTexte 196" hidden="1">
          <a:extLst>
            <a:ext uri="{FF2B5EF4-FFF2-40B4-BE49-F238E27FC236}">
              <a16:creationId xmlns:a16="http://schemas.microsoft.com/office/drawing/2014/main" id="{00000000-0008-0000-0D00-0000C5000000}"/>
            </a:ext>
          </a:extLst>
        </xdr:cNvPr>
        <xdr:cNvSpPr txBox="1"/>
      </xdr:nvSpPr>
      <xdr:spPr>
        <a:xfrm>
          <a:off x="6026356" y="716583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198" name="ZoneTexte 197" hidden="1">
          <a:extLst>
            <a:ext uri="{FF2B5EF4-FFF2-40B4-BE49-F238E27FC236}">
              <a16:creationId xmlns:a16="http://schemas.microsoft.com/office/drawing/2014/main" id="{00000000-0008-0000-0D00-0000C6000000}"/>
            </a:ext>
          </a:extLst>
        </xdr:cNvPr>
        <xdr:cNvSpPr txBox="1"/>
      </xdr:nvSpPr>
      <xdr:spPr>
        <a:xfrm>
          <a:off x="6032129" y="716560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201" name="ZoneTexte 200" hidden="1">
          <a:extLst>
            <a:ext uri="{FF2B5EF4-FFF2-40B4-BE49-F238E27FC236}">
              <a16:creationId xmlns:a16="http://schemas.microsoft.com/office/drawing/2014/main" id="{00000000-0008-0000-0D00-0000C9000000}"/>
            </a:ext>
          </a:extLst>
        </xdr:cNvPr>
        <xdr:cNvSpPr txBox="1"/>
      </xdr:nvSpPr>
      <xdr:spPr>
        <a:xfrm>
          <a:off x="6026356" y="74068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206" name="ZoneTexte 205" hidden="1">
          <a:extLst>
            <a:ext uri="{FF2B5EF4-FFF2-40B4-BE49-F238E27FC236}">
              <a16:creationId xmlns:a16="http://schemas.microsoft.com/office/drawing/2014/main" id="{00000000-0008-0000-0D00-0000CE000000}"/>
            </a:ext>
          </a:extLst>
        </xdr:cNvPr>
        <xdr:cNvSpPr txBox="1"/>
      </xdr:nvSpPr>
      <xdr:spPr>
        <a:xfrm>
          <a:off x="6026356" y="74068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207" name="ZoneTexte 206" hidden="1">
          <a:extLst>
            <a:ext uri="{FF2B5EF4-FFF2-40B4-BE49-F238E27FC236}">
              <a16:creationId xmlns:a16="http://schemas.microsoft.com/office/drawing/2014/main" id="{00000000-0008-0000-0D00-0000CF000000}"/>
            </a:ext>
          </a:extLst>
        </xdr:cNvPr>
        <xdr:cNvSpPr txBox="1"/>
      </xdr:nvSpPr>
      <xdr:spPr>
        <a:xfrm>
          <a:off x="6026356" y="74068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212" name="ZoneTexte 211" hidden="1">
          <a:extLst>
            <a:ext uri="{FF2B5EF4-FFF2-40B4-BE49-F238E27FC236}">
              <a16:creationId xmlns:a16="http://schemas.microsoft.com/office/drawing/2014/main" id="{00000000-0008-0000-0D00-0000D4000000}"/>
            </a:ext>
          </a:extLst>
        </xdr:cNvPr>
        <xdr:cNvSpPr txBox="1"/>
      </xdr:nvSpPr>
      <xdr:spPr>
        <a:xfrm>
          <a:off x="6026356" y="788973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213" name="ZoneTexte 212" hidden="1">
          <a:extLst>
            <a:ext uri="{FF2B5EF4-FFF2-40B4-BE49-F238E27FC236}">
              <a16:creationId xmlns:a16="http://schemas.microsoft.com/office/drawing/2014/main" id="{00000000-0008-0000-0D00-0000D5000000}"/>
            </a:ext>
          </a:extLst>
        </xdr:cNvPr>
        <xdr:cNvSpPr txBox="1"/>
      </xdr:nvSpPr>
      <xdr:spPr>
        <a:xfrm>
          <a:off x="6032129" y="788950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216" name="ZoneTexte 215" hidden="1">
          <a:extLst>
            <a:ext uri="{FF2B5EF4-FFF2-40B4-BE49-F238E27FC236}">
              <a16:creationId xmlns:a16="http://schemas.microsoft.com/office/drawing/2014/main" id="{00000000-0008-0000-0D00-0000D8000000}"/>
            </a:ext>
          </a:extLst>
        </xdr:cNvPr>
        <xdr:cNvSpPr txBox="1"/>
      </xdr:nvSpPr>
      <xdr:spPr>
        <a:xfrm>
          <a:off x="6026356" y="81307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219" name="ZoneTexte 218" hidden="1">
          <a:extLst>
            <a:ext uri="{FF2B5EF4-FFF2-40B4-BE49-F238E27FC236}">
              <a16:creationId xmlns:a16="http://schemas.microsoft.com/office/drawing/2014/main" id="{00000000-0008-0000-0D00-0000DB000000}"/>
            </a:ext>
          </a:extLst>
        </xdr:cNvPr>
        <xdr:cNvSpPr txBox="1"/>
      </xdr:nvSpPr>
      <xdr:spPr>
        <a:xfrm>
          <a:off x="6026356" y="788973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220" name="ZoneTexte 219" hidden="1">
          <a:extLst>
            <a:ext uri="{FF2B5EF4-FFF2-40B4-BE49-F238E27FC236}">
              <a16:creationId xmlns:a16="http://schemas.microsoft.com/office/drawing/2014/main" id="{00000000-0008-0000-0D00-0000DC000000}"/>
            </a:ext>
          </a:extLst>
        </xdr:cNvPr>
        <xdr:cNvSpPr txBox="1"/>
      </xdr:nvSpPr>
      <xdr:spPr>
        <a:xfrm>
          <a:off x="6032129" y="788950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223" name="ZoneTexte 222" hidden="1">
          <a:extLst>
            <a:ext uri="{FF2B5EF4-FFF2-40B4-BE49-F238E27FC236}">
              <a16:creationId xmlns:a16="http://schemas.microsoft.com/office/drawing/2014/main" id="{00000000-0008-0000-0D00-0000DF000000}"/>
            </a:ext>
          </a:extLst>
        </xdr:cNvPr>
        <xdr:cNvSpPr txBox="1"/>
      </xdr:nvSpPr>
      <xdr:spPr>
        <a:xfrm>
          <a:off x="6026356" y="81307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228" name="ZoneTexte 227" hidden="1">
          <a:extLst>
            <a:ext uri="{FF2B5EF4-FFF2-40B4-BE49-F238E27FC236}">
              <a16:creationId xmlns:a16="http://schemas.microsoft.com/office/drawing/2014/main" id="{00000000-0008-0000-0D00-0000E4000000}"/>
            </a:ext>
          </a:extLst>
        </xdr:cNvPr>
        <xdr:cNvSpPr txBox="1"/>
      </xdr:nvSpPr>
      <xdr:spPr>
        <a:xfrm>
          <a:off x="6026356" y="81307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229" name="ZoneTexte 228" hidden="1">
          <a:extLst>
            <a:ext uri="{FF2B5EF4-FFF2-40B4-BE49-F238E27FC236}">
              <a16:creationId xmlns:a16="http://schemas.microsoft.com/office/drawing/2014/main" id="{00000000-0008-0000-0D00-0000E5000000}"/>
            </a:ext>
          </a:extLst>
        </xdr:cNvPr>
        <xdr:cNvSpPr txBox="1"/>
      </xdr:nvSpPr>
      <xdr:spPr>
        <a:xfrm>
          <a:off x="6026356" y="81307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234" name="ZoneTexte 233" hidden="1">
          <a:extLst>
            <a:ext uri="{FF2B5EF4-FFF2-40B4-BE49-F238E27FC236}">
              <a16:creationId xmlns:a16="http://schemas.microsoft.com/office/drawing/2014/main" id="{00000000-0008-0000-0D00-0000EA000000}"/>
            </a:ext>
          </a:extLst>
        </xdr:cNvPr>
        <xdr:cNvSpPr txBox="1"/>
      </xdr:nvSpPr>
      <xdr:spPr>
        <a:xfrm>
          <a:off x="6026356" y="861363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235" name="ZoneTexte 234" hidden="1">
          <a:extLst>
            <a:ext uri="{FF2B5EF4-FFF2-40B4-BE49-F238E27FC236}">
              <a16:creationId xmlns:a16="http://schemas.microsoft.com/office/drawing/2014/main" id="{00000000-0008-0000-0D00-0000EB000000}"/>
            </a:ext>
          </a:extLst>
        </xdr:cNvPr>
        <xdr:cNvSpPr txBox="1"/>
      </xdr:nvSpPr>
      <xdr:spPr>
        <a:xfrm>
          <a:off x="6032129" y="861340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238" name="ZoneTexte 237" hidden="1">
          <a:extLst>
            <a:ext uri="{FF2B5EF4-FFF2-40B4-BE49-F238E27FC236}">
              <a16:creationId xmlns:a16="http://schemas.microsoft.com/office/drawing/2014/main" id="{00000000-0008-0000-0D00-0000EE000000}"/>
            </a:ext>
          </a:extLst>
        </xdr:cNvPr>
        <xdr:cNvSpPr txBox="1"/>
      </xdr:nvSpPr>
      <xdr:spPr>
        <a:xfrm>
          <a:off x="6026356" y="88546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241" name="ZoneTexte 240" hidden="1">
          <a:extLst>
            <a:ext uri="{FF2B5EF4-FFF2-40B4-BE49-F238E27FC236}">
              <a16:creationId xmlns:a16="http://schemas.microsoft.com/office/drawing/2014/main" id="{00000000-0008-0000-0D00-0000F1000000}"/>
            </a:ext>
          </a:extLst>
        </xdr:cNvPr>
        <xdr:cNvSpPr txBox="1"/>
      </xdr:nvSpPr>
      <xdr:spPr>
        <a:xfrm>
          <a:off x="6026356" y="8613638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242" name="ZoneTexte 241" hidden="1">
          <a:extLst>
            <a:ext uri="{FF2B5EF4-FFF2-40B4-BE49-F238E27FC236}">
              <a16:creationId xmlns:a16="http://schemas.microsoft.com/office/drawing/2014/main" id="{00000000-0008-0000-0D00-0000F2000000}"/>
            </a:ext>
          </a:extLst>
        </xdr:cNvPr>
        <xdr:cNvSpPr txBox="1"/>
      </xdr:nvSpPr>
      <xdr:spPr>
        <a:xfrm>
          <a:off x="6032129" y="8613407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245" name="ZoneTexte 244" hidden="1">
          <a:extLst>
            <a:ext uri="{FF2B5EF4-FFF2-40B4-BE49-F238E27FC236}">
              <a16:creationId xmlns:a16="http://schemas.microsoft.com/office/drawing/2014/main" id="{00000000-0008-0000-0D00-0000F5000000}"/>
            </a:ext>
          </a:extLst>
        </xdr:cNvPr>
        <xdr:cNvSpPr txBox="1"/>
      </xdr:nvSpPr>
      <xdr:spPr>
        <a:xfrm>
          <a:off x="6026356" y="88546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250" name="ZoneTexte 249" hidden="1">
          <a:extLst>
            <a:ext uri="{FF2B5EF4-FFF2-40B4-BE49-F238E27FC236}">
              <a16:creationId xmlns:a16="http://schemas.microsoft.com/office/drawing/2014/main" id="{00000000-0008-0000-0D00-0000FA000000}"/>
            </a:ext>
          </a:extLst>
        </xdr:cNvPr>
        <xdr:cNvSpPr txBox="1"/>
      </xdr:nvSpPr>
      <xdr:spPr>
        <a:xfrm>
          <a:off x="6026356" y="88546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251" name="ZoneTexte 250" hidden="1">
          <a:extLst>
            <a:ext uri="{FF2B5EF4-FFF2-40B4-BE49-F238E27FC236}">
              <a16:creationId xmlns:a16="http://schemas.microsoft.com/office/drawing/2014/main" id="{00000000-0008-0000-0D00-0000FB000000}"/>
            </a:ext>
          </a:extLst>
        </xdr:cNvPr>
        <xdr:cNvSpPr txBox="1"/>
      </xdr:nvSpPr>
      <xdr:spPr>
        <a:xfrm>
          <a:off x="6026356" y="88546213"/>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252" name="ZoneTexte 251" hidden="1">
          <a:extLst>
            <a:ext uri="{FF2B5EF4-FFF2-40B4-BE49-F238E27FC236}">
              <a16:creationId xmlns:a16="http://schemas.microsoft.com/office/drawing/2014/main" id="{00000000-0008-0000-0D00-0000FC000000}"/>
            </a:ext>
          </a:extLst>
        </xdr:cNvPr>
        <xdr:cNvSpPr txBox="1"/>
      </xdr:nvSpPr>
      <xdr:spPr>
        <a:xfrm>
          <a:off x="6032129" y="938602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253" name="ZoneTexte 252" hidden="1">
          <a:extLst>
            <a:ext uri="{FF2B5EF4-FFF2-40B4-BE49-F238E27FC236}">
              <a16:creationId xmlns:a16="http://schemas.microsoft.com/office/drawing/2014/main" id="{00000000-0008-0000-0D00-0000FD000000}"/>
            </a:ext>
          </a:extLst>
        </xdr:cNvPr>
        <xdr:cNvSpPr txBox="1"/>
      </xdr:nvSpPr>
      <xdr:spPr>
        <a:xfrm>
          <a:off x="6032129" y="938602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258" name="ZoneTexte 257" hidden="1">
          <a:extLst>
            <a:ext uri="{FF2B5EF4-FFF2-40B4-BE49-F238E27FC236}">
              <a16:creationId xmlns:a16="http://schemas.microsoft.com/office/drawing/2014/main" id="{00000000-0008-0000-0D00-000002010000}"/>
            </a:ext>
          </a:extLst>
        </xdr:cNvPr>
        <xdr:cNvSpPr txBox="1"/>
      </xdr:nvSpPr>
      <xdr:spPr>
        <a:xfrm>
          <a:off x="6026356" y="938625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261" name="ZoneTexte 260" hidden="1">
          <a:extLst>
            <a:ext uri="{FF2B5EF4-FFF2-40B4-BE49-F238E27FC236}">
              <a16:creationId xmlns:a16="http://schemas.microsoft.com/office/drawing/2014/main" id="{00000000-0008-0000-0D00-000005010000}"/>
            </a:ext>
          </a:extLst>
        </xdr:cNvPr>
        <xdr:cNvSpPr txBox="1"/>
      </xdr:nvSpPr>
      <xdr:spPr>
        <a:xfrm>
          <a:off x="6026356" y="96275070"/>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264" name="ZoneTexte 263" hidden="1">
          <a:extLst>
            <a:ext uri="{FF2B5EF4-FFF2-40B4-BE49-F238E27FC236}">
              <a16:creationId xmlns:a16="http://schemas.microsoft.com/office/drawing/2014/main" id="{00000000-0008-0000-0D00-000008010000}"/>
            </a:ext>
          </a:extLst>
        </xdr:cNvPr>
        <xdr:cNvSpPr txBox="1"/>
      </xdr:nvSpPr>
      <xdr:spPr>
        <a:xfrm>
          <a:off x="6026356" y="938625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267" name="ZoneTexte 266" hidden="1">
          <a:extLst>
            <a:ext uri="{FF2B5EF4-FFF2-40B4-BE49-F238E27FC236}">
              <a16:creationId xmlns:a16="http://schemas.microsoft.com/office/drawing/2014/main" id="{00000000-0008-0000-0D00-00000B010000}"/>
            </a:ext>
          </a:extLst>
        </xdr:cNvPr>
        <xdr:cNvSpPr txBox="1"/>
      </xdr:nvSpPr>
      <xdr:spPr>
        <a:xfrm>
          <a:off x="6026356" y="96275070"/>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272" name="ZoneTexte 271" hidden="1">
          <a:extLst>
            <a:ext uri="{FF2B5EF4-FFF2-40B4-BE49-F238E27FC236}">
              <a16:creationId xmlns:a16="http://schemas.microsoft.com/office/drawing/2014/main" id="{00000000-0008-0000-0D00-000010010000}"/>
            </a:ext>
          </a:extLst>
        </xdr:cNvPr>
        <xdr:cNvSpPr txBox="1"/>
      </xdr:nvSpPr>
      <xdr:spPr>
        <a:xfrm>
          <a:off x="6026356" y="96275070"/>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273" name="ZoneTexte 272" hidden="1">
          <a:extLst>
            <a:ext uri="{FF2B5EF4-FFF2-40B4-BE49-F238E27FC236}">
              <a16:creationId xmlns:a16="http://schemas.microsoft.com/office/drawing/2014/main" id="{00000000-0008-0000-0D00-000011010000}"/>
            </a:ext>
          </a:extLst>
        </xdr:cNvPr>
        <xdr:cNvSpPr txBox="1"/>
      </xdr:nvSpPr>
      <xdr:spPr>
        <a:xfrm>
          <a:off x="6026356" y="96275070"/>
          <a:ext cx="7257" cy="61232"/>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xdr:row>
      <xdr:rowOff>2412999</xdr:rowOff>
    </xdr:from>
    <xdr:to>
      <xdr:col>2</xdr:col>
      <xdr:colOff>5327402</xdr:colOff>
      <xdr:row>13</xdr:row>
      <xdr:rowOff>2712356</xdr:rowOff>
    </xdr:to>
    <xdr:sp macro="" textlink="">
      <xdr:nvSpPr>
        <xdr:cNvPr id="274" name="ZoneTexte 273" hidden="1">
          <a:extLst>
            <a:ext uri="{FF2B5EF4-FFF2-40B4-BE49-F238E27FC236}">
              <a16:creationId xmlns:a16="http://schemas.microsoft.com/office/drawing/2014/main" id="{00000000-0008-0000-0D00-000012010000}"/>
            </a:ext>
          </a:extLst>
        </xdr:cNvPr>
        <xdr:cNvSpPr txBox="1"/>
      </xdr:nvSpPr>
      <xdr:spPr>
        <a:xfrm>
          <a:off x="6026356" y="61277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xdr:row>
      <xdr:rowOff>2412999</xdr:rowOff>
    </xdr:from>
    <xdr:to>
      <xdr:col>2</xdr:col>
      <xdr:colOff>5327402</xdr:colOff>
      <xdr:row>13</xdr:row>
      <xdr:rowOff>2712356</xdr:rowOff>
    </xdr:to>
    <xdr:sp macro="" textlink="">
      <xdr:nvSpPr>
        <xdr:cNvPr id="275" name="ZoneTexte 274" hidden="1">
          <a:extLst>
            <a:ext uri="{FF2B5EF4-FFF2-40B4-BE49-F238E27FC236}">
              <a16:creationId xmlns:a16="http://schemas.microsoft.com/office/drawing/2014/main" id="{00000000-0008-0000-0D00-000013010000}"/>
            </a:ext>
          </a:extLst>
        </xdr:cNvPr>
        <xdr:cNvSpPr txBox="1"/>
      </xdr:nvSpPr>
      <xdr:spPr>
        <a:xfrm>
          <a:off x="6026356" y="61277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276" name="ZoneTexte 275" hidden="1">
          <a:extLst>
            <a:ext uri="{FF2B5EF4-FFF2-40B4-BE49-F238E27FC236}">
              <a16:creationId xmlns:a16="http://schemas.microsoft.com/office/drawing/2014/main" id="{00000000-0008-0000-0D00-000014010000}"/>
            </a:ext>
          </a:extLst>
        </xdr:cNvPr>
        <xdr:cNvSpPr txBox="1"/>
      </xdr:nvSpPr>
      <xdr:spPr>
        <a:xfrm>
          <a:off x="6021820" y="412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278" name="ZoneTexte 277" hidden="1">
          <a:extLst>
            <a:ext uri="{FF2B5EF4-FFF2-40B4-BE49-F238E27FC236}">
              <a16:creationId xmlns:a16="http://schemas.microsoft.com/office/drawing/2014/main" id="{00000000-0008-0000-0D00-000016010000}"/>
            </a:ext>
          </a:extLst>
        </xdr:cNvPr>
        <xdr:cNvSpPr txBox="1"/>
      </xdr:nvSpPr>
      <xdr:spPr>
        <a:xfrm>
          <a:off x="6021820" y="412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280" name="ZoneTexte 279" hidden="1">
          <a:extLst>
            <a:ext uri="{FF2B5EF4-FFF2-40B4-BE49-F238E27FC236}">
              <a16:creationId xmlns:a16="http://schemas.microsoft.com/office/drawing/2014/main" id="{00000000-0008-0000-0D00-000018010000}"/>
            </a:ext>
          </a:extLst>
        </xdr:cNvPr>
        <xdr:cNvSpPr txBox="1"/>
      </xdr:nvSpPr>
      <xdr:spPr>
        <a:xfrm>
          <a:off x="6021820" y="12068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281" name="ZoneTexte 280" hidden="1">
          <a:extLst>
            <a:ext uri="{FF2B5EF4-FFF2-40B4-BE49-F238E27FC236}">
              <a16:creationId xmlns:a16="http://schemas.microsoft.com/office/drawing/2014/main" id="{00000000-0008-0000-0D00-000019010000}"/>
            </a:ext>
          </a:extLst>
        </xdr:cNvPr>
        <xdr:cNvSpPr txBox="1"/>
      </xdr:nvSpPr>
      <xdr:spPr>
        <a:xfrm>
          <a:off x="6021820" y="12068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282" name="ZoneTexte 281" hidden="1">
          <a:extLst>
            <a:ext uri="{FF2B5EF4-FFF2-40B4-BE49-F238E27FC236}">
              <a16:creationId xmlns:a16="http://schemas.microsoft.com/office/drawing/2014/main" id="{00000000-0008-0000-0D00-00001A010000}"/>
            </a:ext>
          </a:extLst>
        </xdr:cNvPr>
        <xdr:cNvSpPr txBox="1"/>
      </xdr:nvSpPr>
      <xdr:spPr>
        <a:xfrm>
          <a:off x="6021820" y="412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284" name="ZoneTexte 283" hidden="1">
          <a:extLst>
            <a:ext uri="{FF2B5EF4-FFF2-40B4-BE49-F238E27FC236}">
              <a16:creationId xmlns:a16="http://schemas.microsoft.com/office/drawing/2014/main" id="{00000000-0008-0000-0D00-00001C010000}"/>
            </a:ext>
          </a:extLst>
        </xdr:cNvPr>
        <xdr:cNvSpPr txBox="1"/>
      </xdr:nvSpPr>
      <xdr:spPr>
        <a:xfrm>
          <a:off x="6021820" y="412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49</xdr:row>
      <xdr:rowOff>2412999</xdr:rowOff>
    </xdr:from>
    <xdr:to>
      <xdr:col>2</xdr:col>
      <xdr:colOff>5327402</xdr:colOff>
      <xdr:row>49</xdr:row>
      <xdr:rowOff>2712356</xdr:rowOff>
    </xdr:to>
    <xdr:sp macro="" textlink="">
      <xdr:nvSpPr>
        <xdr:cNvPr id="286" name="ZoneTexte 285" hidden="1">
          <a:extLst>
            <a:ext uri="{FF2B5EF4-FFF2-40B4-BE49-F238E27FC236}">
              <a16:creationId xmlns:a16="http://schemas.microsoft.com/office/drawing/2014/main" id="{00000000-0008-0000-0D00-00001E010000}"/>
            </a:ext>
          </a:extLst>
        </xdr:cNvPr>
        <xdr:cNvSpPr txBox="1"/>
      </xdr:nvSpPr>
      <xdr:spPr>
        <a:xfrm>
          <a:off x="6021820" y="12068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49</xdr:row>
      <xdr:rowOff>2412999</xdr:rowOff>
    </xdr:from>
    <xdr:to>
      <xdr:col>2</xdr:col>
      <xdr:colOff>5327402</xdr:colOff>
      <xdr:row>49</xdr:row>
      <xdr:rowOff>2712356</xdr:rowOff>
    </xdr:to>
    <xdr:sp macro="" textlink="">
      <xdr:nvSpPr>
        <xdr:cNvPr id="287" name="ZoneTexte 286" hidden="1">
          <a:extLst>
            <a:ext uri="{FF2B5EF4-FFF2-40B4-BE49-F238E27FC236}">
              <a16:creationId xmlns:a16="http://schemas.microsoft.com/office/drawing/2014/main" id="{00000000-0008-0000-0D00-00001F010000}"/>
            </a:ext>
          </a:extLst>
        </xdr:cNvPr>
        <xdr:cNvSpPr txBox="1"/>
      </xdr:nvSpPr>
      <xdr:spPr>
        <a:xfrm>
          <a:off x="6021820" y="12068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62</xdr:row>
      <xdr:rowOff>2412999</xdr:rowOff>
    </xdr:from>
    <xdr:to>
      <xdr:col>2</xdr:col>
      <xdr:colOff>5327402</xdr:colOff>
      <xdr:row>62</xdr:row>
      <xdr:rowOff>2712356</xdr:rowOff>
    </xdr:to>
    <xdr:sp macro="" textlink="">
      <xdr:nvSpPr>
        <xdr:cNvPr id="288" name="ZoneTexte 287" hidden="1">
          <a:extLst>
            <a:ext uri="{FF2B5EF4-FFF2-40B4-BE49-F238E27FC236}">
              <a16:creationId xmlns:a16="http://schemas.microsoft.com/office/drawing/2014/main" id="{00000000-0008-0000-0D00-000020010000}"/>
            </a:ext>
          </a:extLst>
        </xdr:cNvPr>
        <xdr:cNvSpPr txBox="1"/>
      </xdr:nvSpPr>
      <xdr:spPr>
        <a:xfrm>
          <a:off x="6021820" y="5111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62</xdr:row>
      <xdr:rowOff>2412999</xdr:rowOff>
    </xdr:from>
    <xdr:to>
      <xdr:col>2</xdr:col>
      <xdr:colOff>5327402</xdr:colOff>
      <xdr:row>62</xdr:row>
      <xdr:rowOff>2712356</xdr:rowOff>
    </xdr:to>
    <xdr:sp macro="" textlink="">
      <xdr:nvSpPr>
        <xdr:cNvPr id="289" name="ZoneTexte 288" hidden="1">
          <a:extLst>
            <a:ext uri="{FF2B5EF4-FFF2-40B4-BE49-F238E27FC236}">
              <a16:creationId xmlns:a16="http://schemas.microsoft.com/office/drawing/2014/main" id="{00000000-0008-0000-0D00-000021010000}"/>
            </a:ext>
          </a:extLst>
        </xdr:cNvPr>
        <xdr:cNvSpPr txBox="1"/>
      </xdr:nvSpPr>
      <xdr:spPr>
        <a:xfrm>
          <a:off x="6021820" y="5111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62</xdr:row>
      <xdr:rowOff>2412999</xdr:rowOff>
    </xdr:from>
    <xdr:to>
      <xdr:col>2</xdr:col>
      <xdr:colOff>5327402</xdr:colOff>
      <xdr:row>62</xdr:row>
      <xdr:rowOff>2712356</xdr:rowOff>
    </xdr:to>
    <xdr:sp macro="" textlink="">
      <xdr:nvSpPr>
        <xdr:cNvPr id="290" name="ZoneTexte 289" hidden="1">
          <a:extLst>
            <a:ext uri="{FF2B5EF4-FFF2-40B4-BE49-F238E27FC236}">
              <a16:creationId xmlns:a16="http://schemas.microsoft.com/office/drawing/2014/main" id="{00000000-0008-0000-0D00-000022010000}"/>
            </a:ext>
          </a:extLst>
        </xdr:cNvPr>
        <xdr:cNvSpPr txBox="1"/>
      </xdr:nvSpPr>
      <xdr:spPr>
        <a:xfrm>
          <a:off x="6021820" y="5111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62</xdr:row>
      <xdr:rowOff>2412999</xdr:rowOff>
    </xdr:from>
    <xdr:to>
      <xdr:col>2</xdr:col>
      <xdr:colOff>5327402</xdr:colOff>
      <xdr:row>62</xdr:row>
      <xdr:rowOff>2712356</xdr:rowOff>
    </xdr:to>
    <xdr:sp macro="" textlink="">
      <xdr:nvSpPr>
        <xdr:cNvPr id="291" name="ZoneTexte 290" hidden="1">
          <a:extLst>
            <a:ext uri="{FF2B5EF4-FFF2-40B4-BE49-F238E27FC236}">
              <a16:creationId xmlns:a16="http://schemas.microsoft.com/office/drawing/2014/main" id="{00000000-0008-0000-0D00-000023010000}"/>
            </a:ext>
          </a:extLst>
        </xdr:cNvPr>
        <xdr:cNvSpPr txBox="1"/>
      </xdr:nvSpPr>
      <xdr:spPr>
        <a:xfrm>
          <a:off x="6021820" y="5111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62</xdr:row>
      <xdr:rowOff>2412999</xdr:rowOff>
    </xdr:from>
    <xdr:to>
      <xdr:col>2</xdr:col>
      <xdr:colOff>5327402</xdr:colOff>
      <xdr:row>62</xdr:row>
      <xdr:rowOff>2712356</xdr:rowOff>
    </xdr:to>
    <xdr:sp macro="" textlink="">
      <xdr:nvSpPr>
        <xdr:cNvPr id="292" name="ZoneTexte 291" hidden="1">
          <a:extLst>
            <a:ext uri="{FF2B5EF4-FFF2-40B4-BE49-F238E27FC236}">
              <a16:creationId xmlns:a16="http://schemas.microsoft.com/office/drawing/2014/main" id="{00000000-0008-0000-0D00-000024010000}"/>
            </a:ext>
          </a:extLst>
        </xdr:cNvPr>
        <xdr:cNvSpPr txBox="1"/>
      </xdr:nvSpPr>
      <xdr:spPr>
        <a:xfrm>
          <a:off x="6021820" y="5111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62</xdr:row>
      <xdr:rowOff>2412999</xdr:rowOff>
    </xdr:from>
    <xdr:to>
      <xdr:col>2</xdr:col>
      <xdr:colOff>5327402</xdr:colOff>
      <xdr:row>62</xdr:row>
      <xdr:rowOff>2712356</xdr:rowOff>
    </xdr:to>
    <xdr:sp macro="" textlink="">
      <xdr:nvSpPr>
        <xdr:cNvPr id="294" name="ZoneTexte 293" hidden="1">
          <a:extLst>
            <a:ext uri="{FF2B5EF4-FFF2-40B4-BE49-F238E27FC236}">
              <a16:creationId xmlns:a16="http://schemas.microsoft.com/office/drawing/2014/main" id="{00000000-0008-0000-0D00-000026010000}"/>
            </a:ext>
          </a:extLst>
        </xdr:cNvPr>
        <xdr:cNvSpPr txBox="1"/>
      </xdr:nvSpPr>
      <xdr:spPr>
        <a:xfrm>
          <a:off x="6021820" y="5111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67</xdr:row>
      <xdr:rowOff>2412999</xdr:rowOff>
    </xdr:from>
    <xdr:to>
      <xdr:col>2</xdr:col>
      <xdr:colOff>5327402</xdr:colOff>
      <xdr:row>67</xdr:row>
      <xdr:rowOff>2712356</xdr:rowOff>
    </xdr:to>
    <xdr:sp macro="" textlink="">
      <xdr:nvSpPr>
        <xdr:cNvPr id="296" name="ZoneTexte 295" hidden="1">
          <a:extLst>
            <a:ext uri="{FF2B5EF4-FFF2-40B4-BE49-F238E27FC236}">
              <a16:creationId xmlns:a16="http://schemas.microsoft.com/office/drawing/2014/main" id="{00000000-0008-0000-0D00-000028010000}"/>
            </a:ext>
          </a:extLst>
        </xdr:cNvPr>
        <xdr:cNvSpPr txBox="1"/>
      </xdr:nvSpPr>
      <xdr:spPr>
        <a:xfrm>
          <a:off x="6021820" y="59058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67</xdr:row>
      <xdr:rowOff>2412999</xdr:rowOff>
    </xdr:from>
    <xdr:to>
      <xdr:col>2</xdr:col>
      <xdr:colOff>5327402</xdr:colOff>
      <xdr:row>67</xdr:row>
      <xdr:rowOff>2712356</xdr:rowOff>
    </xdr:to>
    <xdr:sp macro="" textlink="">
      <xdr:nvSpPr>
        <xdr:cNvPr id="297" name="ZoneTexte 296" hidden="1">
          <a:extLst>
            <a:ext uri="{FF2B5EF4-FFF2-40B4-BE49-F238E27FC236}">
              <a16:creationId xmlns:a16="http://schemas.microsoft.com/office/drawing/2014/main" id="{00000000-0008-0000-0D00-000029010000}"/>
            </a:ext>
          </a:extLst>
        </xdr:cNvPr>
        <xdr:cNvSpPr txBox="1"/>
      </xdr:nvSpPr>
      <xdr:spPr>
        <a:xfrm>
          <a:off x="6021820" y="59058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79</xdr:row>
      <xdr:rowOff>2412999</xdr:rowOff>
    </xdr:from>
    <xdr:to>
      <xdr:col>2</xdr:col>
      <xdr:colOff>5327402</xdr:colOff>
      <xdr:row>79</xdr:row>
      <xdr:rowOff>2712356</xdr:rowOff>
    </xdr:to>
    <xdr:sp macro="" textlink="">
      <xdr:nvSpPr>
        <xdr:cNvPr id="298" name="ZoneTexte 297" hidden="1">
          <a:extLst>
            <a:ext uri="{FF2B5EF4-FFF2-40B4-BE49-F238E27FC236}">
              <a16:creationId xmlns:a16="http://schemas.microsoft.com/office/drawing/2014/main" id="{00000000-0008-0000-0D00-00002A010000}"/>
            </a:ext>
          </a:extLst>
        </xdr:cNvPr>
        <xdr:cNvSpPr txBox="1"/>
      </xdr:nvSpPr>
      <xdr:spPr>
        <a:xfrm>
          <a:off x="6021820" y="73599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80</xdr:row>
      <xdr:rowOff>2412999</xdr:rowOff>
    </xdr:from>
    <xdr:to>
      <xdr:col>2</xdr:col>
      <xdr:colOff>5327402</xdr:colOff>
      <xdr:row>80</xdr:row>
      <xdr:rowOff>2712356</xdr:rowOff>
    </xdr:to>
    <xdr:sp macro="" textlink="">
      <xdr:nvSpPr>
        <xdr:cNvPr id="299" name="ZoneTexte 298" hidden="1">
          <a:extLst>
            <a:ext uri="{FF2B5EF4-FFF2-40B4-BE49-F238E27FC236}">
              <a16:creationId xmlns:a16="http://schemas.microsoft.com/office/drawing/2014/main" id="{00000000-0008-0000-0D00-00002B010000}"/>
            </a:ext>
          </a:extLst>
        </xdr:cNvPr>
        <xdr:cNvSpPr txBox="1"/>
      </xdr:nvSpPr>
      <xdr:spPr>
        <a:xfrm>
          <a:off x="6021820" y="76009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94</xdr:row>
      <xdr:rowOff>2412999</xdr:rowOff>
    </xdr:from>
    <xdr:to>
      <xdr:col>2</xdr:col>
      <xdr:colOff>5327402</xdr:colOff>
      <xdr:row>94</xdr:row>
      <xdr:rowOff>2712356</xdr:rowOff>
    </xdr:to>
    <xdr:sp macro="" textlink="">
      <xdr:nvSpPr>
        <xdr:cNvPr id="300" name="ZoneTexte 299" hidden="1">
          <a:extLst>
            <a:ext uri="{FF2B5EF4-FFF2-40B4-BE49-F238E27FC236}">
              <a16:creationId xmlns:a16="http://schemas.microsoft.com/office/drawing/2014/main" id="{00000000-0008-0000-0D00-00002C010000}"/>
            </a:ext>
          </a:extLst>
        </xdr:cNvPr>
        <xdr:cNvSpPr txBox="1"/>
      </xdr:nvSpPr>
      <xdr:spPr>
        <a:xfrm>
          <a:off x="6021820" y="90550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79</xdr:row>
      <xdr:rowOff>2412999</xdr:rowOff>
    </xdr:from>
    <xdr:to>
      <xdr:col>2</xdr:col>
      <xdr:colOff>5327402</xdr:colOff>
      <xdr:row>79</xdr:row>
      <xdr:rowOff>2712356</xdr:rowOff>
    </xdr:to>
    <xdr:sp macro="" textlink="">
      <xdr:nvSpPr>
        <xdr:cNvPr id="301" name="ZoneTexte 300" hidden="1">
          <a:extLst>
            <a:ext uri="{FF2B5EF4-FFF2-40B4-BE49-F238E27FC236}">
              <a16:creationId xmlns:a16="http://schemas.microsoft.com/office/drawing/2014/main" id="{00000000-0008-0000-0D00-00002D010000}"/>
            </a:ext>
          </a:extLst>
        </xdr:cNvPr>
        <xdr:cNvSpPr txBox="1"/>
      </xdr:nvSpPr>
      <xdr:spPr>
        <a:xfrm>
          <a:off x="6021820" y="73599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80</xdr:row>
      <xdr:rowOff>2412999</xdr:rowOff>
    </xdr:from>
    <xdr:to>
      <xdr:col>2</xdr:col>
      <xdr:colOff>5327402</xdr:colOff>
      <xdr:row>80</xdr:row>
      <xdr:rowOff>2712356</xdr:rowOff>
    </xdr:to>
    <xdr:sp macro="" textlink="">
      <xdr:nvSpPr>
        <xdr:cNvPr id="302" name="ZoneTexte 301" hidden="1">
          <a:extLst>
            <a:ext uri="{FF2B5EF4-FFF2-40B4-BE49-F238E27FC236}">
              <a16:creationId xmlns:a16="http://schemas.microsoft.com/office/drawing/2014/main" id="{00000000-0008-0000-0D00-00002E010000}"/>
            </a:ext>
          </a:extLst>
        </xdr:cNvPr>
        <xdr:cNvSpPr txBox="1"/>
      </xdr:nvSpPr>
      <xdr:spPr>
        <a:xfrm>
          <a:off x="6021820" y="76009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94</xdr:row>
      <xdr:rowOff>2412999</xdr:rowOff>
    </xdr:from>
    <xdr:to>
      <xdr:col>2</xdr:col>
      <xdr:colOff>5327402</xdr:colOff>
      <xdr:row>94</xdr:row>
      <xdr:rowOff>2712356</xdr:rowOff>
    </xdr:to>
    <xdr:sp macro="" textlink="">
      <xdr:nvSpPr>
        <xdr:cNvPr id="303" name="ZoneTexte 302" hidden="1">
          <a:extLst>
            <a:ext uri="{FF2B5EF4-FFF2-40B4-BE49-F238E27FC236}">
              <a16:creationId xmlns:a16="http://schemas.microsoft.com/office/drawing/2014/main" id="{00000000-0008-0000-0D00-00002F010000}"/>
            </a:ext>
          </a:extLst>
        </xdr:cNvPr>
        <xdr:cNvSpPr txBox="1"/>
      </xdr:nvSpPr>
      <xdr:spPr>
        <a:xfrm>
          <a:off x="6021820" y="90550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94</xdr:row>
      <xdr:rowOff>2412999</xdr:rowOff>
    </xdr:from>
    <xdr:to>
      <xdr:col>2</xdr:col>
      <xdr:colOff>5327402</xdr:colOff>
      <xdr:row>94</xdr:row>
      <xdr:rowOff>2712356</xdr:rowOff>
    </xdr:to>
    <xdr:sp macro="" textlink="">
      <xdr:nvSpPr>
        <xdr:cNvPr id="304" name="ZoneTexte 303" hidden="1">
          <a:extLst>
            <a:ext uri="{FF2B5EF4-FFF2-40B4-BE49-F238E27FC236}">
              <a16:creationId xmlns:a16="http://schemas.microsoft.com/office/drawing/2014/main" id="{00000000-0008-0000-0D00-000030010000}"/>
            </a:ext>
          </a:extLst>
        </xdr:cNvPr>
        <xdr:cNvSpPr txBox="1"/>
      </xdr:nvSpPr>
      <xdr:spPr>
        <a:xfrm>
          <a:off x="6021820" y="90550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94</xdr:row>
      <xdr:rowOff>2412999</xdr:rowOff>
    </xdr:from>
    <xdr:to>
      <xdr:col>2</xdr:col>
      <xdr:colOff>5327402</xdr:colOff>
      <xdr:row>94</xdr:row>
      <xdr:rowOff>2712356</xdr:rowOff>
    </xdr:to>
    <xdr:sp macro="" textlink="">
      <xdr:nvSpPr>
        <xdr:cNvPr id="305" name="ZoneTexte 304" hidden="1">
          <a:extLst>
            <a:ext uri="{FF2B5EF4-FFF2-40B4-BE49-F238E27FC236}">
              <a16:creationId xmlns:a16="http://schemas.microsoft.com/office/drawing/2014/main" id="{00000000-0008-0000-0D00-000031010000}"/>
            </a:ext>
          </a:extLst>
        </xdr:cNvPr>
        <xdr:cNvSpPr txBox="1"/>
      </xdr:nvSpPr>
      <xdr:spPr>
        <a:xfrm>
          <a:off x="6021820" y="90550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80</xdr:row>
      <xdr:rowOff>2412999</xdr:rowOff>
    </xdr:from>
    <xdr:to>
      <xdr:col>2</xdr:col>
      <xdr:colOff>5327402</xdr:colOff>
      <xdr:row>80</xdr:row>
      <xdr:rowOff>2712356</xdr:rowOff>
    </xdr:to>
    <xdr:sp macro="" textlink="">
      <xdr:nvSpPr>
        <xdr:cNvPr id="306" name="ZoneTexte 305" hidden="1">
          <a:extLst>
            <a:ext uri="{FF2B5EF4-FFF2-40B4-BE49-F238E27FC236}">
              <a16:creationId xmlns:a16="http://schemas.microsoft.com/office/drawing/2014/main" id="{00000000-0008-0000-0D00-000032010000}"/>
            </a:ext>
          </a:extLst>
        </xdr:cNvPr>
        <xdr:cNvSpPr txBox="1"/>
      </xdr:nvSpPr>
      <xdr:spPr>
        <a:xfrm>
          <a:off x="6021820" y="76009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80</xdr:row>
      <xdr:rowOff>2412999</xdr:rowOff>
    </xdr:from>
    <xdr:to>
      <xdr:col>2</xdr:col>
      <xdr:colOff>5327402</xdr:colOff>
      <xdr:row>80</xdr:row>
      <xdr:rowOff>2712356</xdr:rowOff>
    </xdr:to>
    <xdr:sp macro="" textlink="">
      <xdr:nvSpPr>
        <xdr:cNvPr id="307" name="ZoneTexte 306" hidden="1">
          <a:extLst>
            <a:ext uri="{FF2B5EF4-FFF2-40B4-BE49-F238E27FC236}">
              <a16:creationId xmlns:a16="http://schemas.microsoft.com/office/drawing/2014/main" id="{00000000-0008-0000-0D00-000033010000}"/>
            </a:ext>
          </a:extLst>
        </xdr:cNvPr>
        <xdr:cNvSpPr txBox="1"/>
      </xdr:nvSpPr>
      <xdr:spPr>
        <a:xfrm>
          <a:off x="6021820" y="76009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80</xdr:row>
      <xdr:rowOff>2412999</xdr:rowOff>
    </xdr:from>
    <xdr:to>
      <xdr:col>2</xdr:col>
      <xdr:colOff>5327402</xdr:colOff>
      <xdr:row>80</xdr:row>
      <xdr:rowOff>2712356</xdr:rowOff>
    </xdr:to>
    <xdr:sp macro="" textlink="">
      <xdr:nvSpPr>
        <xdr:cNvPr id="308" name="ZoneTexte 307" hidden="1">
          <a:extLst>
            <a:ext uri="{FF2B5EF4-FFF2-40B4-BE49-F238E27FC236}">
              <a16:creationId xmlns:a16="http://schemas.microsoft.com/office/drawing/2014/main" id="{00000000-0008-0000-0D00-000034010000}"/>
            </a:ext>
          </a:extLst>
        </xdr:cNvPr>
        <xdr:cNvSpPr txBox="1"/>
      </xdr:nvSpPr>
      <xdr:spPr>
        <a:xfrm>
          <a:off x="6021820" y="76009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80</xdr:row>
      <xdr:rowOff>2412999</xdr:rowOff>
    </xdr:from>
    <xdr:to>
      <xdr:col>2</xdr:col>
      <xdr:colOff>5327402</xdr:colOff>
      <xdr:row>80</xdr:row>
      <xdr:rowOff>2712356</xdr:rowOff>
    </xdr:to>
    <xdr:sp macro="" textlink="">
      <xdr:nvSpPr>
        <xdr:cNvPr id="309" name="ZoneTexte 308" hidden="1">
          <a:extLst>
            <a:ext uri="{FF2B5EF4-FFF2-40B4-BE49-F238E27FC236}">
              <a16:creationId xmlns:a16="http://schemas.microsoft.com/office/drawing/2014/main" id="{00000000-0008-0000-0D00-000035010000}"/>
            </a:ext>
          </a:extLst>
        </xdr:cNvPr>
        <xdr:cNvSpPr txBox="1"/>
      </xdr:nvSpPr>
      <xdr:spPr>
        <a:xfrm>
          <a:off x="6021820" y="76009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80</xdr:row>
      <xdr:rowOff>2412999</xdr:rowOff>
    </xdr:from>
    <xdr:to>
      <xdr:col>2</xdr:col>
      <xdr:colOff>5327402</xdr:colOff>
      <xdr:row>80</xdr:row>
      <xdr:rowOff>2712356</xdr:rowOff>
    </xdr:to>
    <xdr:sp macro="" textlink="">
      <xdr:nvSpPr>
        <xdr:cNvPr id="310" name="ZoneTexte 309" hidden="1">
          <a:extLst>
            <a:ext uri="{FF2B5EF4-FFF2-40B4-BE49-F238E27FC236}">
              <a16:creationId xmlns:a16="http://schemas.microsoft.com/office/drawing/2014/main" id="{00000000-0008-0000-0D00-000036010000}"/>
            </a:ext>
          </a:extLst>
        </xdr:cNvPr>
        <xdr:cNvSpPr txBox="1"/>
      </xdr:nvSpPr>
      <xdr:spPr>
        <a:xfrm>
          <a:off x="6021820" y="76009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80</xdr:row>
      <xdr:rowOff>2412999</xdr:rowOff>
    </xdr:from>
    <xdr:to>
      <xdr:col>2</xdr:col>
      <xdr:colOff>5327402</xdr:colOff>
      <xdr:row>80</xdr:row>
      <xdr:rowOff>2712356</xdr:rowOff>
    </xdr:to>
    <xdr:sp macro="" textlink="">
      <xdr:nvSpPr>
        <xdr:cNvPr id="311" name="ZoneTexte 310" hidden="1">
          <a:extLst>
            <a:ext uri="{FF2B5EF4-FFF2-40B4-BE49-F238E27FC236}">
              <a16:creationId xmlns:a16="http://schemas.microsoft.com/office/drawing/2014/main" id="{00000000-0008-0000-0D00-000037010000}"/>
            </a:ext>
          </a:extLst>
        </xdr:cNvPr>
        <xdr:cNvSpPr txBox="1"/>
      </xdr:nvSpPr>
      <xdr:spPr>
        <a:xfrm>
          <a:off x="6021820" y="76009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80</xdr:row>
      <xdr:rowOff>2412999</xdr:rowOff>
    </xdr:from>
    <xdr:to>
      <xdr:col>2</xdr:col>
      <xdr:colOff>5327402</xdr:colOff>
      <xdr:row>80</xdr:row>
      <xdr:rowOff>2712356</xdr:rowOff>
    </xdr:to>
    <xdr:sp macro="" textlink="">
      <xdr:nvSpPr>
        <xdr:cNvPr id="312" name="ZoneTexte 311" hidden="1">
          <a:extLst>
            <a:ext uri="{FF2B5EF4-FFF2-40B4-BE49-F238E27FC236}">
              <a16:creationId xmlns:a16="http://schemas.microsoft.com/office/drawing/2014/main" id="{00000000-0008-0000-0D00-000038010000}"/>
            </a:ext>
          </a:extLst>
        </xdr:cNvPr>
        <xdr:cNvSpPr txBox="1"/>
      </xdr:nvSpPr>
      <xdr:spPr>
        <a:xfrm>
          <a:off x="6021820" y="76009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80</xdr:row>
      <xdr:rowOff>2412999</xdr:rowOff>
    </xdr:from>
    <xdr:to>
      <xdr:col>2</xdr:col>
      <xdr:colOff>5327402</xdr:colOff>
      <xdr:row>80</xdr:row>
      <xdr:rowOff>2712356</xdr:rowOff>
    </xdr:to>
    <xdr:sp macro="" textlink="">
      <xdr:nvSpPr>
        <xdr:cNvPr id="314" name="ZoneTexte 313" hidden="1">
          <a:extLst>
            <a:ext uri="{FF2B5EF4-FFF2-40B4-BE49-F238E27FC236}">
              <a16:creationId xmlns:a16="http://schemas.microsoft.com/office/drawing/2014/main" id="{00000000-0008-0000-0D00-00003A010000}"/>
            </a:ext>
          </a:extLst>
        </xdr:cNvPr>
        <xdr:cNvSpPr txBox="1"/>
      </xdr:nvSpPr>
      <xdr:spPr>
        <a:xfrm>
          <a:off x="6021820" y="76009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85</xdr:row>
      <xdr:rowOff>2412999</xdr:rowOff>
    </xdr:from>
    <xdr:to>
      <xdr:col>2</xdr:col>
      <xdr:colOff>5327402</xdr:colOff>
      <xdr:row>85</xdr:row>
      <xdr:rowOff>2712356</xdr:rowOff>
    </xdr:to>
    <xdr:sp macro="" textlink="">
      <xdr:nvSpPr>
        <xdr:cNvPr id="316" name="ZoneTexte 315" hidden="1">
          <a:extLst>
            <a:ext uri="{FF2B5EF4-FFF2-40B4-BE49-F238E27FC236}">
              <a16:creationId xmlns:a16="http://schemas.microsoft.com/office/drawing/2014/main" id="{00000000-0008-0000-0D00-00003C010000}"/>
            </a:ext>
          </a:extLst>
        </xdr:cNvPr>
        <xdr:cNvSpPr txBox="1"/>
      </xdr:nvSpPr>
      <xdr:spPr>
        <a:xfrm>
          <a:off x="6021820" y="83950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85</xdr:row>
      <xdr:rowOff>2412999</xdr:rowOff>
    </xdr:from>
    <xdr:to>
      <xdr:col>2</xdr:col>
      <xdr:colOff>5327402</xdr:colOff>
      <xdr:row>85</xdr:row>
      <xdr:rowOff>2712356</xdr:rowOff>
    </xdr:to>
    <xdr:sp macro="" textlink="">
      <xdr:nvSpPr>
        <xdr:cNvPr id="317" name="ZoneTexte 316" hidden="1">
          <a:extLst>
            <a:ext uri="{FF2B5EF4-FFF2-40B4-BE49-F238E27FC236}">
              <a16:creationId xmlns:a16="http://schemas.microsoft.com/office/drawing/2014/main" id="{00000000-0008-0000-0D00-00003D010000}"/>
            </a:ext>
          </a:extLst>
        </xdr:cNvPr>
        <xdr:cNvSpPr txBox="1"/>
      </xdr:nvSpPr>
      <xdr:spPr>
        <a:xfrm>
          <a:off x="6021820" y="83950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112</xdr:row>
      <xdr:rowOff>2412999</xdr:rowOff>
    </xdr:from>
    <xdr:to>
      <xdr:col>2</xdr:col>
      <xdr:colOff>5327402</xdr:colOff>
      <xdr:row>112</xdr:row>
      <xdr:rowOff>2712356</xdr:rowOff>
    </xdr:to>
    <xdr:sp macro="" textlink="">
      <xdr:nvSpPr>
        <xdr:cNvPr id="322" name="ZoneTexte 321" hidden="1">
          <a:extLst>
            <a:ext uri="{FF2B5EF4-FFF2-40B4-BE49-F238E27FC236}">
              <a16:creationId xmlns:a16="http://schemas.microsoft.com/office/drawing/2014/main" id="{00000000-0008-0000-0D00-000042010000}"/>
            </a:ext>
          </a:extLst>
        </xdr:cNvPr>
        <xdr:cNvSpPr txBox="1"/>
      </xdr:nvSpPr>
      <xdr:spPr>
        <a:xfrm>
          <a:off x="6021820" y="115633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112</xdr:row>
      <xdr:rowOff>2412999</xdr:rowOff>
    </xdr:from>
    <xdr:to>
      <xdr:col>2</xdr:col>
      <xdr:colOff>5327402</xdr:colOff>
      <xdr:row>112</xdr:row>
      <xdr:rowOff>2712356</xdr:rowOff>
    </xdr:to>
    <xdr:sp macro="" textlink="">
      <xdr:nvSpPr>
        <xdr:cNvPr id="323" name="ZoneTexte 322" hidden="1">
          <a:extLst>
            <a:ext uri="{FF2B5EF4-FFF2-40B4-BE49-F238E27FC236}">
              <a16:creationId xmlns:a16="http://schemas.microsoft.com/office/drawing/2014/main" id="{00000000-0008-0000-0D00-000043010000}"/>
            </a:ext>
          </a:extLst>
        </xdr:cNvPr>
        <xdr:cNvSpPr txBox="1"/>
      </xdr:nvSpPr>
      <xdr:spPr>
        <a:xfrm>
          <a:off x="6021820" y="115633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97</xdr:row>
      <xdr:rowOff>2412999</xdr:rowOff>
    </xdr:from>
    <xdr:to>
      <xdr:col>2</xdr:col>
      <xdr:colOff>5327402</xdr:colOff>
      <xdr:row>97</xdr:row>
      <xdr:rowOff>2712356</xdr:rowOff>
    </xdr:to>
    <xdr:sp macro="" textlink="">
      <xdr:nvSpPr>
        <xdr:cNvPr id="328" name="ZoneTexte 327" hidden="1">
          <a:extLst>
            <a:ext uri="{FF2B5EF4-FFF2-40B4-BE49-F238E27FC236}">
              <a16:creationId xmlns:a16="http://schemas.microsoft.com/office/drawing/2014/main" id="{00000000-0008-0000-0D00-000048010000}"/>
            </a:ext>
          </a:extLst>
        </xdr:cNvPr>
        <xdr:cNvSpPr txBox="1"/>
      </xdr:nvSpPr>
      <xdr:spPr>
        <a:xfrm>
          <a:off x="6021820" y="98682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98</xdr:row>
      <xdr:rowOff>2412999</xdr:rowOff>
    </xdr:from>
    <xdr:to>
      <xdr:col>2</xdr:col>
      <xdr:colOff>5327402</xdr:colOff>
      <xdr:row>98</xdr:row>
      <xdr:rowOff>2712356</xdr:rowOff>
    </xdr:to>
    <xdr:sp macro="" textlink="">
      <xdr:nvSpPr>
        <xdr:cNvPr id="329" name="ZoneTexte 328" hidden="1">
          <a:extLst>
            <a:ext uri="{FF2B5EF4-FFF2-40B4-BE49-F238E27FC236}">
              <a16:creationId xmlns:a16="http://schemas.microsoft.com/office/drawing/2014/main" id="{00000000-0008-0000-0D00-000049010000}"/>
            </a:ext>
          </a:extLst>
        </xdr:cNvPr>
        <xdr:cNvSpPr txBox="1"/>
      </xdr:nvSpPr>
      <xdr:spPr>
        <a:xfrm>
          <a:off x="6021820" y="101091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112</xdr:row>
      <xdr:rowOff>2412999</xdr:rowOff>
    </xdr:from>
    <xdr:to>
      <xdr:col>2</xdr:col>
      <xdr:colOff>5327402</xdr:colOff>
      <xdr:row>112</xdr:row>
      <xdr:rowOff>2712356</xdr:rowOff>
    </xdr:to>
    <xdr:sp macro="" textlink="">
      <xdr:nvSpPr>
        <xdr:cNvPr id="330" name="ZoneTexte 329" hidden="1">
          <a:extLst>
            <a:ext uri="{FF2B5EF4-FFF2-40B4-BE49-F238E27FC236}">
              <a16:creationId xmlns:a16="http://schemas.microsoft.com/office/drawing/2014/main" id="{00000000-0008-0000-0D00-00004A010000}"/>
            </a:ext>
          </a:extLst>
        </xdr:cNvPr>
        <xdr:cNvSpPr txBox="1"/>
      </xdr:nvSpPr>
      <xdr:spPr>
        <a:xfrm>
          <a:off x="6021820" y="115633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97</xdr:row>
      <xdr:rowOff>2412999</xdr:rowOff>
    </xdr:from>
    <xdr:to>
      <xdr:col>2</xdr:col>
      <xdr:colOff>5327402</xdr:colOff>
      <xdr:row>97</xdr:row>
      <xdr:rowOff>2712356</xdr:rowOff>
    </xdr:to>
    <xdr:sp macro="" textlink="">
      <xdr:nvSpPr>
        <xdr:cNvPr id="331" name="ZoneTexte 330" hidden="1">
          <a:extLst>
            <a:ext uri="{FF2B5EF4-FFF2-40B4-BE49-F238E27FC236}">
              <a16:creationId xmlns:a16="http://schemas.microsoft.com/office/drawing/2014/main" id="{00000000-0008-0000-0D00-00004B010000}"/>
            </a:ext>
          </a:extLst>
        </xdr:cNvPr>
        <xdr:cNvSpPr txBox="1"/>
      </xdr:nvSpPr>
      <xdr:spPr>
        <a:xfrm>
          <a:off x="6021820" y="98682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98</xdr:row>
      <xdr:rowOff>2412999</xdr:rowOff>
    </xdr:from>
    <xdr:to>
      <xdr:col>2</xdr:col>
      <xdr:colOff>5327402</xdr:colOff>
      <xdr:row>98</xdr:row>
      <xdr:rowOff>2712356</xdr:rowOff>
    </xdr:to>
    <xdr:sp macro="" textlink="">
      <xdr:nvSpPr>
        <xdr:cNvPr id="332" name="ZoneTexte 331" hidden="1">
          <a:extLst>
            <a:ext uri="{FF2B5EF4-FFF2-40B4-BE49-F238E27FC236}">
              <a16:creationId xmlns:a16="http://schemas.microsoft.com/office/drawing/2014/main" id="{00000000-0008-0000-0D00-00004C010000}"/>
            </a:ext>
          </a:extLst>
        </xdr:cNvPr>
        <xdr:cNvSpPr txBox="1"/>
      </xdr:nvSpPr>
      <xdr:spPr>
        <a:xfrm>
          <a:off x="6021820" y="101091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112</xdr:row>
      <xdr:rowOff>2412999</xdr:rowOff>
    </xdr:from>
    <xdr:to>
      <xdr:col>2</xdr:col>
      <xdr:colOff>5327402</xdr:colOff>
      <xdr:row>112</xdr:row>
      <xdr:rowOff>2712356</xdr:rowOff>
    </xdr:to>
    <xdr:sp macro="" textlink="">
      <xdr:nvSpPr>
        <xdr:cNvPr id="333" name="ZoneTexte 332" hidden="1">
          <a:extLst>
            <a:ext uri="{FF2B5EF4-FFF2-40B4-BE49-F238E27FC236}">
              <a16:creationId xmlns:a16="http://schemas.microsoft.com/office/drawing/2014/main" id="{00000000-0008-0000-0D00-00004D010000}"/>
            </a:ext>
          </a:extLst>
        </xdr:cNvPr>
        <xdr:cNvSpPr txBox="1"/>
      </xdr:nvSpPr>
      <xdr:spPr>
        <a:xfrm>
          <a:off x="6021820" y="115633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112</xdr:row>
      <xdr:rowOff>2412999</xdr:rowOff>
    </xdr:from>
    <xdr:to>
      <xdr:col>2</xdr:col>
      <xdr:colOff>5327402</xdr:colOff>
      <xdr:row>112</xdr:row>
      <xdr:rowOff>2712356</xdr:rowOff>
    </xdr:to>
    <xdr:sp macro="" textlink="">
      <xdr:nvSpPr>
        <xdr:cNvPr id="334" name="ZoneTexte 333" hidden="1">
          <a:extLst>
            <a:ext uri="{FF2B5EF4-FFF2-40B4-BE49-F238E27FC236}">
              <a16:creationId xmlns:a16="http://schemas.microsoft.com/office/drawing/2014/main" id="{00000000-0008-0000-0D00-00004E010000}"/>
            </a:ext>
          </a:extLst>
        </xdr:cNvPr>
        <xdr:cNvSpPr txBox="1"/>
      </xdr:nvSpPr>
      <xdr:spPr>
        <a:xfrm>
          <a:off x="6021820" y="115633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112</xdr:row>
      <xdr:rowOff>2412999</xdr:rowOff>
    </xdr:from>
    <xdr:to>
      <xdr:col>2</xdr:col>
      <xdr:colOff>5327402</xdr:colOff>
      <xdr:row>112</xdr:row>
      <xdr:rowOff>2712356</xdr:rowOff>
    </xdr:to>
    <xdr:sp macro="" textlink="">
      <xdr:nvSpPr>
        <xdr:cNvPr id="335" name="ZoneTexte 334" hidden="1">
          <a:extLst>
            <a:ext uri="{FF2B5EF4-FFF2-40B4-BE49-F238E27FC236}">
              <a16:creationId xmlns:a16="http://schemas.microsoft.com/office/drawing/2014/main" id="{00000000-0008-0000-0D00-00004F010000}"/>
            </a:ext>
          </a:extLst>
        </xdr:cNvPr>
        <xdr:cNvSpPr txBox="1"/>
      </xdr:nvSpPr>
      <xdr:spPr>
        <a:xfrm>
          <a:off x="6021820" y="115633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98</xdr:row>
      <xdr:rowOff>2412999</xdr:rowOff>
    </xdr:from>
    <xdr:to>
      <xdr:col>2</xdr:col>
      <xdr:colOff>5327402</xdr:colOff>
      <xdr:row>98</xdr:row>
      <xdr:rowOff>2712356</xdr:rowOff>
    </xdr:to>
    <xdr:sp macro="" textlink="">
      <xdr:nvSpPr>
        <xdr:cNvPr id="336" name="ZoneTexte 335" hidden="1">
          <a:extLst>
            <a:ext uri="{FF2B5EF4-FFF2-40B4-BE49-F238E27FC236}">
              <a16:creationId xmlns:a16="http://schemas.microsoft.com/office/drawing/2014/main" id="{00000000-0008-0000-0D00-000050010000}"/>
            </a:ext>
          </a:extLst>
        </xdr:cNvPr>
        <xdr:cNvSpPr txBox="1"/>
      </xdr:nvSpPr>
      <xdr:spPr>
        <a:xfrm>
          <a:off x="6021820" y="101091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98</xdr:row>
      <xdr:rowOff>2412999</xdr:rowOff>
    </xdr:from>
    <xdr:to>
      <xdr:col>2</xdr:col>
      <xdr:colOff>5327402</xdr:colOff>
      <xdr:row>98</xdr:row>
      <xdr:rowOff>2712356</xdr:rowOff>
    </xdr:to>
    <xdr:sp macro="" textlink="">
      <xdr:nvSpPr>
        <xdr:cNvPr id="337" name="ZoneTexte 336" hidden="1">
          <a:extLst>
            <a:ext uri="{FF2B5EF4-FFF2-40B4-BE49-F238E27FC236}">
              <a16:creationId xmlns:a16="http://schemas.microsoft.com/office/drawing/2014/main" id="{00000000-0008-0000-0D00-000051010000}"/>
            </a:ext>
          </a:extLst>
        </xdr:cNvPr>
        <xdr:cNvSpPr txBox="1"/>
      </xdr:nvSpPr>
      <xdr:spPr>
        <a:xfrm>
          <a:off x="6021820" y="101091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98</xdr:row>
      <xdr:rowOff>2412999</xdr:rowOff>
    </xdr:from>
    <xdr:to>
      <xdr:col>2</xdr:col>
      <xdr:colOff>5327402</xdr:colOff>
      <xdr:row>98</xdr:row>
      <xdr:rowOff>2712356</xdr:rowOff>
    </xdr:to>
    <xdr:sp macro="" textlink="">
      <xdr:nvSpPr>
        <xdr:cNvPr id="338" name="ZoneTexte 337" hidden="1">
          <a:extLst>
            <a:ext uri="{FF2B5EF4-FFF2-40B4-BE49-F238E27FC236}">
              <a16:creationId xmlns:a16="http://schemas.microsoft.com/office/drawing/2014/main" id="{00000000-0008-0000-0D00-000052010000}"/>
            </a:ext>
          </a:extLst>
        </xdr:cNvPr>
        <xdr:cNvSpPr txBox="1"/>
      </xdr:nvSpPr>
      <xdr:spPr>
        <a:xfrm>
          <a:off x="6021820" y="101091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98</xdr:row>
      <xdr:rowOff>2412999</xdr:rowOff>
    </xdr:from>
    <xdr:to>
      <xdr:col>2</xdr:col>
      <xdr:colOff>5327402</xdr:colOff>
      <xdr:row>98</xdr:row>
      <xdr:rowOff>2712356</xdr:rowOff>
    </xdr:to>
    <xdr:sp macro="" textlink="">
      <xdr:nvSpPr>
        <xdr:cNvPr id="339" name="ZoneTexte 338" hidden="1">
          <a:extLst>
            <a:ext uri="{FF2B5EF4-FFF2-40B4-BE49-F238E27FC236}">
              <a16:creationId xmlns:a16="http://schemas.microsoft.com/office/drawing/2014/main" id="{00000000-0008-0000-0D00-000053010000}"/>
            </a:ext>
          </a:extLst>
        </xdr:cNvPr>
        <xdr:cNvSpPr txBox="1"/>
      </xdr:nvSpPr>
      <xdr:spPr>
        <a:xfrm>
          <a:off x="6021820" y="101091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98</xdr:row>
      <xdr:rowOff>2412999</xdr:rowOff>
    </xdr:from>
    <xdr:to>
      <xdr:col>2</xdr:col>
      <xdr:colOff>5327402</xdr:colOff>
      <xdr:row>98</xdr:row>
      <xdr:rowOff>2712356</xdr:rowOff>
    </xdr:to>
    <xdr:sp macro="" textlink="">
      <xdr:nvSpPr>
        <xdr:cNvPr id="340" name="ZoneTexte 339" hidden="1">
          <a:extLst>
            <a:ext uri="{FF2B5EF4-FFF2-40B4-BE49-F238E27FC236}">
              <a16:creationId xmlns:a16="http://schemas.microsoft.com/office/drawing/2014/main" id="{00000000-0008-0000-0D00-000054010000}"/>
            </a:ext>
          </a:extLst>
        </xdr:cNvPr>
        <xdr:cNvSpPr txBox="1"/>
      </xdr:nvSpPr>
      <xdr:spPr>
        <a:xfrm>
          <a:off x="6021820" y="101091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98</xdr:row>
      <xdr:rowOff>2412999</xdr:rowOff>
    </xdr:from>
    <xdr:to>
      <xdr:col>2</xdr:col>
      <xdr:colOff>5327402</xdr:colOff>
      <xdr:row>98</xdr:row>
      <xdr:rowOff>2712356</xdr:rowOff>
    </xdr:to>
    <xdr:sp macro="" textlink="">
      <xdr:nvSpPr>
        <xdr:cNvPr id="341" name="ZoneTexte 340" hidden="1">
          <a:extLst>
            <a:ext uri="{FF2B5EF4-FFF2-40B4-BE49-F238E27FC236}">
              <a16:creationId xmlns:a16="http://schemas.microsoft.com/office/drawing/2014/main" id="{00000000-0008-0000-0D00-000055010000}"/>
            </a:ext>
          </a:extLst>
        </xdr:cNvPr>
        <xdr:cNvSpPr txBox="1"/>
      </xdr:nvSpPr>
      <xdr:spPr>
        <a:xfrm>
          <a:off x="6021820" y="101091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98</xdr:row>
      <xdr:rowOff>2412999</xdr:rowOff>
    </xdr:from>
    <xdr:to>
      <xdr:col>2</xdr:col>
      <xdr:colOff>5327402</xdr:colOff>
      <xdr:row>98</xdr:row>
      <xdr:rowOff>2712356</xdr:rowOff>
    </xdr:to>
    <xdr:sp macro="" textlink="">
      <xdr:nvSpPr>
        <xdr:cNvPr id="342" name="ZoneTexte 341" hidden="1">
          <a:extLst>
            <a:ext uri="{FF2B5EF4-FFF2-40B4-BE49-F238E27FC236}">
              <a16:creationId xmlns:a16="http://schemas.microsoft.com/office/drawing/2014/main" id="{00000000-0008-0000-0D00-000056010000}"/>
            </a:ext>
          </a:extLst>
        </xdr:cNvPr>
        <xdr:cNvSpPr txBox="1"/>
      </xdr:nvSpPr>
      <xdr:spPr>
        <a:xfrm>
          <a:off x="6021820" y="101091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98</xdr:row>
      <xdr:rowOff>2412999</xdr:rowOff>
    </xdr:from>
    <xdr:to>
      <xdr:col>2</xdr:col>
      <xdr:colOff>5327402</xdr:colOff>
      <xdr:row>98</xdr:row>
      <xdr:rowOff>2712356</xdr:rowOff>
    </xdr:to>
    <xdr:sp macro="" textlink="">
      <xdr:nvSpPr>
        <xdr:cNvPr id="344" name="ZoneTexte 343" hidden="1">
          <a:extLst>
            <a:ext uri="{FF2B5EF4-FFF2-40B4-BE49-F238E27FC236}">
              <a16:creationId xmlns:a16="http://schemas.microsoft.com/office/drawing/2014/main" id="{00000000-0008-0000-0D00-000058010000}"/>
            </a:ext>
          </a:extLst>
        </xdr:cNvPr>
        <xdr:cNvSpPr txBox="1"/>
      </xdr:nvSpPr>
      <xdr:spPr>
        <a:xfrm>
          <a:off x="6021820" y="101091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103</xdr:row>
      <xdr:rowOff>2412999</xdr:rowOff>
    </xdr:from>
    <xdr:to>
      <xdr:col>2</xdr:col>
      <xdr:colOff>5327402</xdr:colOff>
      <xdr:row>103</xdr:row>
      <xdr:rowOff>2712356</xdr:rowOff>
    </xdr:to>
    <xdr:sp macro="" textlink="">
      <xdr:nvSpPr>
        <xdr:cNvPr id="346" name="ZoneTexte 345" hidden="1">
          <a:extLst>
            <a:ext uri="{FF2B5EF4-FFF2-40B4-BE49-F238E27FC236}">
              <a16:creationId xmlns:a16="http://schemas.microsoft.com/office/drawing/2014/main" id="{00000000-0008-0000-0D00-00005A010000}"/>
            </a:ext>
          </a:extLst>
        </xdr:cNvPr>
        <xdr:cNvSpPr txBox="1"/>
      </xdr:nvSpPr>
      <xdr:spPr>
        <a:xfrm>
          <a:off x="6021820" y="109032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103</xdr:row>
      <xdr:rowOff>2412999</xdr:rowOff>
    </xdr:from>
    <xdr:to>
      <xdr:col>2</xdr:col>
      <xdr:colOff>5327402</xdr:colOff>
      <xdr:row>103</xdr:row>
      <xdr:rowOff>2712356</xdr:rowOff>
    </xdr:to>
    <xdr:sp macro="" textlink="">
      <xdr:nvSpPr>
        <xdr:cNvPr id="347" name="ZoneTexte 346" hidden="1">
          <a:extLst>
            <a:ext uri="{FF2B5EF4-FFF2-40B4-BE49-F238E27FC236}">
              <a16:creationId xmlns:a16="http://schemas.microsoft.com/office/drawing/2014/main" id="{00000000-0008-0000-0D00-00005B010000}"/>
            </a:ext>
          </a:extLst>
        </xdr:cNvPr>
        <xdr:cNvSpPr txBox="1"/>
      </xdr:nvSpPr>
      <xdr:spPr>
        <a:xfrm>
          <a:off x="6021820" y="109032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115</xdr:row>
      <xdr:rowOff>2412999</xdr:rowOff>
    </xdr:from>
    <xdr:to>
      <xdr:col>2</xdr:col>
      <xdr:colOff>5327402</xdr:colOff>
      <xdr:row>115</xdr:row>
      <xdr:rowOff>2712356</xdr:rowOff>
    </xdr:to>
    <xdr:sp macro="" textlink="">
      <xdr:nvSpPr>
        <xdr:cNvPr id="348" name="ZoneTexte 347" hidden="1">
          <a:extLst>
            <a:ext uri="{FF2B5EF4-FFF2-40B4-BE49-F238E27FC236}">
              <a16:creationId xmlns:a16="http://schemas.microsoft.com/office/drawing/2014/main" id="{00000000-0008-0000-0D00-00005C010000}"/>
            </a:ext>
          </a:extLst>
        </xdr:cNvPr>
        <xdr:cNvSpPr txBox="1"/>
      </xdr:nvSpPr>
      <xdr:spPr>
        <a:xfrm>
          <a:off x="6021820" y="123764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115</xdr:row>
      <xdr:rowOff>3706090</xdr:rowOff>
    </xdr:from>
    <xdr:to>
      <xdr:col>2</xdr:col>
      <xdr:colOff>5142675</xdr:colOff>
      <xdr:row>115</xdr:row>
      <xdr:rowOff>4005447</xdr:rowOff>
    </xdr:to>
    <xdr:sp macro="" textlink="">
      <xdr:nvSpPr>
        <xdr:cNvPr id="349" name="ZoneTexte 348" hidden="1">
          <a:extLst>
            <a:ext uri="{FF2B5EF4-FFF2-40B4-BE49-F238E27FC236}">
              <a16:creationId xmlns:a16="http://schemas.microsoft.com/office/drawing/2014/main" id="{00000000-0008-0000-0D00-00005D010000}"/>
            </a:ext>
          </a:extLst>
        </xdr:cNvPr>
        <xdr:cNvSpPr txBox="1"/>
      </xdr:nvSpPr>
      <xdr:spPr>
        <a:xfrm>
          <a:off x="6027593" y="123762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352" name="ZoneTexte 351" hidden="1">
          <a:extLst>
            <a:ext uri="{FF2B5EF4-FFF2-40B4-BE49-F238E27FC236}">
              <a16:creationId xmlns:a16="http://schemas.microsoft.com/office/drawing/2014/main" id="{00000000-0008-0000-0D00-000060010000}"/>
            </a:ext>
          </a:extLst>
        </xdr:cNvPr>
        <xdr:cNvSpPr txBox="1"/>
      </xdr:nvSpPr>
      <xdr:spPr>
        <a:xfrm>
          <a:off x="6021820" y="14071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115</xdr:row>
      <xdr:rowOff>2412999</xdr:rowOff>
    </xdr:from>
    <xdr:to>
      <xdr:col>2</xdr:col>
      <xdr:colOff>5327402</xdr:colOff>
      <xdr:row>115</xdr:row>
      <xdr:rowOff>2712356</xdr:rowOff>
    </xdr:to>
    <xdr:sp macro="" textlink="">
      <xdr:nvSpPr>
        <xdr:cNvPr id="355" name="ZoneTexte 354" hidden="1">
          <a:extLst>
            <a:ext uri="{FF2B5EF4-FFF2-40B4-BE49-F238E27FC236}">
              <a16:creationId xmlns:a16="http://schemas.microsoft.com/office/drawing/2014/main" id="{00000000-0008-0000-0D00-000063010000}"/>
            </a:ext>
          </a:extLst>
        </xdr:cNvPr>
        <xdr:cNvSpPr txBox="1"/>
      </xdr:nvSpPr>
      <xdr:spPr>
        <a:xfrm>
          <a:off x="6021820" y="123764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115</xdr:row>
      <xdr:rowOff>3706090</xdr:rowOff>
    </xdr:from>
    <xdr:to>
      <xdr:col>2</xdr:col>
      <xdr:colOff>5142675</xdr:colOff>
      <xdr:row>115</xdr:row>
      <xdr:rowOff>4005447</xdr:rowOff>
    </xdr:to>
    <xdr:sp macro="" textlink="">
      <xdr:nvSpPr>
        <xdr:cNvPr id="356" name="ZoneTexte 355" hidden="1">
          <a:extLst>
            <a:ext uri="{FF2B5EF4-FFF2-40B4-BE49-F238E27FC236}">
              <a16:creationId xmlns:a16="http://schemas.microsoft.com/office/drawing/2014/main" id="{00000000-0008-0000-0D00-000064010000}"/>
            </a:ext>
          </a:extLst>
        </xdr:cNvPr>
        <xdr:cNvSpPr txBox="1"/>
      </xdr:nvSpPr>
      <xdr:spPr>
        <a:xfrm>
          <a:off x="6027593" y="123762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359" name="ZoneTexte 358" hidden="1">
          <a:extLst>
            <a:ext uri="{FF2B5EF4-FFF2-40B4-BE49-F238E27FC236}">
              <a16:creationId xmlns:a16="http://schemas.microsoft.com/office/drawing/2014/main" id="{00000000-0008-0000-0D00-000067010000}"/>
            </a:ext>
          </a:extLst>
        </xdr:cNvPr>
        <xdr:cNvSpPr txBox="1"/>
      </xdr:nvSpPr>
      <xdr:spPr>
        <a:xfrm>
          <a:off x="6021820" y="14071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364" name="ZoneTexte 363" hidden="1">
          <a:extLst>
            <a:ext uri="{FF2B5EF4-FFF2-40B4-BE49-F238E27FC236}">
              <a16:creationId xmlns:a16="http://schemas.microsoft.com/office/drawing/2014/main" id="{00000000-0008-0000-0D00-00006C010000}"/>
            </a:ext>
          </a:extLst>
        </xdr:cNvPr>
        <xdr:cNvSpPr txBox="1"/>
      </xdr:nvSpPr>
      <xdr:spPr>
        <a:xfrm>
          <a:off x="6021820" y="14071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365" name="ZoneTexte 364" hidden="1">
          <a:extLst>
            <a:ext uri="{FF2B5EF4-FFF2-40B4-BE49-F238E27FC236}">
              <a16:creationId xmlns:a16="http://schemas.microsoft.com/office/drawing/2014/main" id="{00000000-0008-0000-0D00-00006D010000}"/>
            </a:ext>
          </a:extLst>
        </xdr:cNvPr>
        <xdr:cNvSpPr txBox="1"/>
      </xdr:nvSpPr>
      <xdr:spPr>
        <a:xfrm>
          <a:off x="6021820" y="14071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370" name="ZoneTexte 369" hidden="1">
          <a:extLst>
            <a:ext uri="{FF2B5EF4-FFF2-40B4-BE49-F238E27FC236}">
              <a16:creationId xmlns:a16="http://schemas.microsoft.com/office/drawing/2014/main" id="{00000000-0008-0000-0D00-000072010000}"/>
            </a:ext>
          </a:extLst>
        </xdr:cNvPr>
        <xdr:cNvSpPr txBox="1"/>
      </xdr:nvSpPr>
      <xdr:spPr>
        <a:xfrm>
          <a:off x="6021820" y="14071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371" name="ZoneTexte 370" hidden="1">
          <a:extLst>
            <a:ext uri="{FF2B5EF4-FFF2-40B4-BE49-F238E27FC236}">
              <a16:creationId xmlns:a16="http://schemas.microsoft.com/office/drawing/2014/main" id="{00000000-0008-0000-0D00-000073010000}"/>
            </a:ext>
          </a:extLst>
        </xdr:cNvPr>
        <xdr:cNvSpPr txBox="1"/>
      </xdr:nvSpPr>
      <xdr:spPr>
        <a:xfrm>
          <a:off x="6021820" y="14071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115</xdr:row>
      <xdr:rowOff>2412999</xdr:rowOff>
    </xdr:from>
    <xdr:to>
      <xdr:col>2</xdr:col>
      <xdr:colOff>5327402</xdr:colOff>
      <xdr:row>115</xdr:row>
      <xdr:rowOff>2712356</xdr:rowOff>
    </xdr:to>
    <xdr:sp macro="" textlink="">
      <xdr:nvSpPr>
        <xdr:cNvPr id="376" name="ZoneTexte 375" hidden="1">
          <a:extLst>
            <a:ext uri="{FF2B5EF4-FFF2-40B4-BE49-F238E27FC236}">
              <a16:creationId xmlns:a16="http://schemas.microsoft.com/office/drawing/2014/main" id="{00000000-0008-0000-0D00-000078010000}"/>
            </a:ext>
          </a:extLst>
        </xdr:cNvPr>
        <xdr:cNvSpPr txBox="1"/>
      </xdr:nvSpPr>
      <xdr:spPr>
        <a:xfrm>
          <a:off x="6021820" y="123764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116</xdr:row>
      <xdr:rowOff>2412999</xdr:rowOff>
    </xdr:from>
    <xdr:to>
      <xdr:col>2</xdr:col>
      <xdr:colOff>5327402</xdr:colOff>
      <xdr:row>116</xdr:row>
      <xdr:rowOff>2712356</xdr:rowOff>
    </xdr:to>
    <xdr:sp macro="" textlink="">
      <xdr:nvSpPr>
        <xdr:cNvPr id="377" name="ZoneTexte 376" hidden="1">
          <a:extLst>
            <a:ext uri="{FF2B5EF4-FFF2-40B4-BE49-F238E27FC236}">
              <a16:creationId xmlns:a16="http://schemas.microsoft.com/office/drawing/2014/main" id="{00000000-0008-0000-0D00-000079010000}"/>
            </a:ext>
          </a:extLst>
        </xdr:cNvPr>
        <xdr:cNvSpPr txBox="1"/>
      </xdr:nvSpPr>
      <xdr:spPr>
        <a:xfrm>
          <a:off x="6021820" y="1261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378" name="ZoneTexte 377" hidden="1">
          <a:extLst>
            <a:ext uri="{FF2B5EF4-FFF2-40B4-BE49-F238E27FC236}">
              <a16:creationId xmlns:a16="http://schemas.microsoft.com/office/drawing/2014/main" id="{00000000-0008-0000-0D00-00007A010000}"/>
            </a:ext>
          </a:extLst>
        </xdr:cNvPr>
        <xdr:cNvSpPr txBox="1"/>
      </xdr:nvSpPr>
      <xdr:spPr>
        <a:xfrm>
          <a:off x="6021820" y="14071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115</xdr:row>
      <xdr:rowOff>2412999</xdr:rowOff>
    </xdr:from>
    <xdr:to>
      <xdr:col>2</xdr:col>
      <xdr:colOff>5327402</xdr:colOff>
      <xdr:row>115</xdr:row>
      <xdr:rowOff>2712356</xdr:rowOff>
    </xdr:to>
    <xdr:sp macro="" textlink="">
      <xdr:nvSpPr>
        <xdr:cNvPr id="379" name="ZoneTexte 378" hidden="1">
          <a:extLst>
            <a:ext uri="{FF2B5EF4-FFF2-40B4-BE49-F238E27FC236}">
              <a16:creationId xmlns:a16="http://schemas.microsoft.com/office/drawing/2014/main" id="{00000000-0008-0000-0D00-00007B010000}"/>
            </a:ext>
          </a:extLst>
        </xdr:cNvPr>
        <xdr:cNvSpPr txBox="1"/>
      </xdr:nvSpPr>
      <xdr:spPr>
        <a:xfrm>
          <a:off x="6021820" y="123764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116</xdr:row>
      <xdr:rowOff>2412999</xdr:rowOff>
    </xdr:from>
    <xdr:to>
      <xdr:col>2</xdr:col>
      <xdr:colOff>5327402</xdr:colOff>
      <xdr:row>116</xdr:row>
      <xdr:rowOff>2712356</xdr:rowOff>
    </xdr:to>
    <xdr:sp macro="" textlink="">
      <xdr:nvSpPr>
        <xdr:cNvPr id="380" name="ZoneTexte 379" hidden="1">
          <a:extLst>
            <a:ext uri="{FF2B5EF4-FFF2-40B4-BE49-F238E27FC236}">
              <a16:creationId xmlns:a16="http://schemas.microsoft.com/office/drawing/2014/main" id="{00000000-0008-0000-0D00-00007C010000}"/>
            </a:ext>
          </a:extLst>
        </xdr:cNvPr>
        <xdr:cNvSpPr txBox="1"/>
      </xdr:nvSpPr>
      <xdr:spPr>
        <a:xfrm>
          <a:off x="6021820" y="1261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381" name="ZoneTexte 380" hidden="1">
          <a:extLst>
            <a:ext uri="{FF2B5EF4-FFF2-40B4-BE49-F238E27FC236}">
              <a16:creationId xmlns:a16="http://schemas.microsoft.com/office/drawing/2014/main" id="{00000000-0008-0000-0D00-00007D010000}"/>
            </a:ext>
          </a:extLst>
        </xdr:cNvPr>
        <xdr:cNvSpPr txBox="1"/>
      </xdr:nvSpPr>
      <xdr:spPr>
        <a:xfrm>
          <a:off x="6021820" y="14071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382" name="ZoneTexte 381" hidden="1">
          <a:extLst>
            <a:ext uri="{FF2B5EF4-FFF2-40B4-BE49-F238E27FC236}">
              <a16:creationId xmlns:a16="http://schemas.microsoft.com/office/drawing/2014/main" id="{00000000-0008-0000-0D00-00007E010000}"/>
            </a:ext>
          </a:extLst>
        </xdr:cNvPr>
        <xdr:cNvSpPr txBox="1"/>
      </xdr:nvSpPr>
      <xdr:spPr>
        <a:xfrm>
          <a:off x="6021820" y="14071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131</xdr:row>
      <xdr:rowOff>2412999</xdr:rowOff>
    </xdr:from>
    <xdr:to>
      <xdr:col>2</xdr:col>
      <xdr:colOff>5327402</xdr:colOff>
      <xdr:row>131</xdr:row>
      <xdr:rowOff>2712356</xdr:rowOff>
    </xdr:to>
    <xdr:sp macro="" textlink="">
      <xdr:nvSpPr>
        <xdr:cNvPr id="383" name="ZoneTexte 382" hidden="1">
          <a:extLst>
            <a:ext uri="{FF2B5EF4-FFF2-40B4-BE49-F238E27FC236}">
              <a16:creationId xmlns:a16="http://schemas.microsoft.com/office/drawing/2014/main" id="{00000000-0008-0000-0D00-00007F010000}"/>
            </a:ext>
          </a:extLst>
        </xdr:cNvPr>
        <xdr:cNvSpPr txBox="1"/>
      </xdr:nvSpPr>
      <xdr:spPr>
        <a:xfrm>
          <a:off x="6021820" y="14071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116</xdr:row>
      <xdr:rowOff>2412999</xdr:rowOff>
    </xdr:from>
    <xdr:to>
      <xdr:col>2</xdr:col>
      <xdr:colOff>5327402</xdr:colOff>
      <xdr:row>116</xdr:row>
      <xdr:rowOff>2712356</xdr:rowOff>
    </xdr:to>
    <xdr:sp macro="" textlink="">
      <xdr:nvSpPr>
        <xdr:cNvPr id="384" name="ZoneTexte 383" hidden="1">
          <a:extLst>
            <a:ext uri="{FF2B5EF4-FFF2-40B4-BE49-F238E27FC236}">
              <a16:creationId xmlns:a16="http://schemas.microsoft.com/office/drawing/2014/main" id="{00000000-0008-0000-0D00-000080010000}"/>
            </a:ext>
          </a:extLst>
        </xdr:cNvPr>
        <xdr:cNvSpPr txBox="1"/>
      </xdr:nvSpPr>
      <xdr:spPr>
        <a:xfrm>
          <a:off x="6021820" y="1261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116</xdr:row>
      <xdr:rowOff>2412999</xdr:rowOff>
    </xdr:from>
    <xdr:to>
      <xdr:col>2</xdr:col>
      <xdr:colOff>5327402</xdr:colOff>
      <xdr:row>116</xdr:row>
      <xdr:rowOff>2712356</xdr:rowOff>
    </xdr:to>
    <xdr:sp macro="" textlink="">
      <xdr:nvSpPr>
        <xdr:cNvPr id="385" name="ZoneTexte 384" hidden="1">
          <a:extLst>
            <a:ext uri="{FF2B5EF4-FFF2-40B4-BE49-F238E27FC236}">
              <a16:creationId xmlns:a16="http://schemas.microsoft.com/office/drawing/2014/main" id="{00000000-0008-0000-0D00-000081010000}"/>
            </a:ext>
          </a:extLst>
        </xdr:cNvPr>
        <xdr:cNvSpPr txBox="1"/>
      </xdr:nvSpPr>
      <xdr:spPr>
        <a:xfrm>
          <a:off x="6021820" y="1261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116</xdr:row>
      <xdr:rowOff>2412999</xdr:rowOff>
    </xdr:from>
    <xdr:to>
      <xdr:col>2</xdr:col>
      <xdr:colOff>5327402</xdr:colOff>
      <xdr:row>116</xdr:row>
      <xdr:rowOff>2712356</xdr:rowOff>
    </xdr:to>
    <xdr:sp macro="" textlink="">
      <xdr:nvSpPr>
        <xdr:cNvPr id="386" name="ZoneTexte 385" hidden="1">
          <a:extLst>
            <a:ext uri="{FF2B5EF4-FFF2-40B4-BE49-F238E27FC236}">
              <a16:creationId xmlns:a16="http://schemas.microsoft.com/office/drawing/2014/main" id="{00000000-0008-0000-0D00-000082010000}"/>
            </a:ext>
          </a:extLst>
        </xdr:cNvPr>
        <xdr:cNvSpPr txBox="1"/>
      </xdr:nvSpPr>
      <xdr:spPr>
        <a:xfrm>
          <a:off x="6021820" y="1261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116</xdr:row>
      <xdr:rowOff>2412999</xdr:rowOff>
    </xdr:from>
    <xdr:to>
      <xdr:col>2</xdr:col>
      <xdr:colOff>5327402</xdr:colOff>
      <xdr:row>116</xdr:row>
      <xdr:rowOff>2712356</xdr:rowOff>
    </xdr:to>
    <xdr:sp macro="" textlink="">
      <xdr:nvSpPr>
        <xdr:cNvPr id="387" name="ZoneTexte 386" hidden="1">
          <a:extLst>
            <a:ext uri="{FF2B5EF4-FFF2-40B4-BE49-F238E27FC236}">
              <a16:creationId xmlns:a16="http://schemas.microsoft.com/office/drawing/2014/main" id="{00000000-0008-0000-0D00-000083010000}"/>
            </a:ext>
          </a:extLst>
        </xdr:cNvPr>
        <xdr:cNvSpPr txBox="1"/>
      </xdr:nvSpPr>
      <xdr:spPr>
        <a:xfrm>
          <a:off x="6021820" y="1261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116</xdr:row>
      <xdr:rowOff>2412999</xdr:rowOff>
    </xdr:from>
    <xdr:to>
      <xdr:col>2</xdr:col>
      <xdr:colOff>5327402</xdr:colOff>
      <xdr:row>116</xdr:row>
      <xdr:rowOff>2712356</xdr:rowOff>
    </xdr:to>
    <xdr:sp macro="" textlink="">
      <xdr:nvSpPr>
        <xdr:cNvPr id="388" name="ZoneTexte 387" hidden="1">
          <a:extLst>
            <a:ext uri="{FF2B5EF4-FFF2-40B4-BE49-F238E27FC236}">
              <a16:creationId xmlns:a16="http://schemas.microsoft.com/office/drawing/2014/main" id="{00000000-0008-0000-0D00-000084010000}"/>
            </a:ext>
          </a:extLst>
        </xdr:cNvPr>
        <xdr:cNvSpPr txBox="1"/>
      </xdr:nvSpPr>
      <xdr:spPr>
        <a:xfrm>
          <a:off x="6021820" y="1261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116</xdr:row>
      <xdr:rowOff>2412999</xdr:rowOff>
    </xdr:from>
    <xdr:to>
      <xdr:col>2</xdr:col>
      <xdr:colOff>5327402</xdr:colOff>
      <xdr:row>116</xdr:row>
      <xdr:rowOff>2712356</xdr:rowOff>
    </xdr:to>
    <xdr:sp macro="" textlink="">
      <xdr:nvSpPr>
        <xdr:cNvPr id="389" name="ZoneTexte 388" hidden="1">
          <a:extLst>
            <a:ext uri="{FF2B5EF4-FFF2-40B4-BE49-F238E27FC236}">
              <a16:creationId xmlns:a16="http://schemas.microsoft.com/office/drawing/2014/main" id="{00000000-0008-0000-0D00-000085010000}"/>
            </a:ext>
          </a:extLst>
        </xdr:cNvPr>
        <xdr:cNvSpPr txBox="1"/>
      </xdr:nvSpPr>
      <xdr:spPr>
        <a:xfrm>
          <a:off x="6021820" y="1261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116</xdr:row>
      <xdr:rowOff>2412999</xdr:rowOff>
    </xdr:from>
    <xdr:to>
      <xdr:col>2</xdr:col>
      <xdr:colOff>5327402</xdr:colOff>
      <xdr:row>116</xdr:row>
      <xdr:rowOff>2712356</xdr:rowOff>
    </xdr:to>
    <xdr:sp macro="" textlink="">
      <xdr:nvSpPr>
        <xdr:cNvPr id="390" name="ZoneTexte 389" hidden="1">
          <a:extLst>
            <a:ext uri="{FF2B5EF4-FFF2-40B4-BE49-F238E27FC236}">
              <a16:creationId xmlns:a16="http://schemas.microsoft.com/office/drawing/2014/main" id="{00000000-0008-0000-0D00-000086010000}"/>
            </a:ext>
          </a:extLst>
        </xdr:cNvPr>
        <xdr:cNvSpPr txBox="1"/>
      </xdr:nvSpPr>
      <xdr:spPr>
        <a:xfrm>
          <a:off x="6021820" y="1261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121</xdr:row>
      <xdr:rowOff>2412999</xdr:rowOff>
    </xdr:from>
    <xdr:to>
      <xdr:col>2</xdr:col>
      <xdr:colOff>5327402</xdr:colOff>
      <xdr:row>121</xdr:row>
      <xdr:rowOff>2712356</xdr:rowOff>
    </xdr:to>
    <xdr:sp macro="" textlink="">
      <xdr:nvSpPr>
        <xdr:cNvPr id="391" name="ZoneTexte 390" hidden="1">
          <a:extLst>
            <a:ext uri="{FF2B5EF4-FFF2-40B4-BE49-F238E27FC236}">
              <a16:creationId xmlns:a16="http://schemas.microsoft.com/office/drawing/2014/main" id="{00000000-0008-0000-0D00-000087010000}"/>
            </a:ext>
          </a:extLst>
        </xdr:cNvPr>
        <xdr:cNvSpPr txBox="1"/>
      </xdr:nvSpPr>
      <xdr:spPr>
        <a:xfrm>
          <a:off x="6021820" y="129603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116</xdr:row>
      <xdr:rowOff>2412999</xdr:rowOff>
    </xdr:from>
    <xdr:to>
      <xdr:col>2</xdr:col>
      <xdr:colOff>5327402</xdr:colOff>
      <xdr:row>116</xdr:row>
      <xdr:rowOff>2712356</xdr:rowOff>
    </xdr:to>
    <xdr:sp macro="" textlink="">
      <xdr:nvSpPr>
        <xdr:cNvPr id="392" name="ZoneTexte 391" hidden="1">
          <a:extLst>
            <a:ext uri="{FF2B5EF4-FFF2-40B4-BE49-F238E27FC236}">
              <a16:creationId xmlns:a16="http://schemas.microsoft.com/office/drawing/2014/main" id="{00000000-0008-0000-0D00-000088010000}"/>
            </a:ext>
          </a:extLst>
        </xdr:cNvPr>
        <xdr:cNvSpPr txBox="1"/>
      </xdr:nvSpPr>
      <xdr:spPr>
        <a:xfrm>
          <a:off x="6021820" y="1261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121</xdr:row>
      <xdr:rowOff>2412999</xdr:rowOff>
    </xdr:from>
    <xdr:to>
      <xdr:col>2</xdr:col>
      <xdr:colOff>5327402</xdr:colOff>
      <xdr:row>121</xdr:row>
      <xdr:rowOff>2712356</xdr:rowOff>
    </xdr:to>
    <xdr:sp macro="" textlink="">
      <xdr:nvSpPr>
        <xdr:cNvPr id="393" name="ZoneTexte 392" hidden="1">
          <a:extLst>
            <a:ext uri="{FF2B5EF4-FFF2-40B4-BE49-F238E27FC236}">
              <a16:creationId xmlns:a16="http://schemas.microsoft.com/office/drawing/2014/main" id="{00000000-0008-0000-0D00-000089010000}"/>
            </a:ext>
          </a:extLst>
        </xdr:cNvPr>
        <xdr:cNvSpPr txBox="1"/>
      </xdr:nvSpPr>
      <xdr:spPr>
        <a:xfrm>
          <a:off x="6021820" y="129603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394" name="ZoneTexte 393" hidden="1">
          <a:extLst>
            <a:ext uri="{FF2B5EF4-FFF2-40B4-BE49-F238E27FC236}">
              <a16:creationId xmlns:a16="http://schemas.microsoft.com/office/drawing/2014/main" id="{00000000-0008-0000-0D00-00008A010000}"/>
            </a:ext>
          </a:extLst>
        </xdr:cNvPr>
        <xdr:cNvSpPr txBox="1"/>
      </xdr:nvSpPr>
      <xdr:spPr>
        <a:xfrm>
          <a:off x="6021820" y="1341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395" name="ZoneTexte 394" hidden="1">
          <a:extLst>
            <a:ext uri="{FF2B5EF4-FFF2-40B4-BE49-F238E27FC236}">
              <a16:creationId xmlns:a16="http://schemas.microsoft.com/office/drawing/2014/main" id="{00000000-0008-0000-0D00-00008B010000}"/>
            </a:ext>
          </a:extLst>
        </xdr:cNvPr>
        <xdr:cNvSpPr txBox="1"/>
      </xdr:nvSpPr>
      <xdr:spPr>
        <a:xfrm>
          <a:off x="6021820" y="1341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134</xdr:row>
      <xdr:rowOff>2412999</xdr:rowOff>
    </xdr:from>
    <xdr:to>
      <xdr:col>2</xdr:col>
      <xdr:colOff>5327402</xdr:colOff>
      <xdr:row>134</xdr:row>
      <xdr:rowOff>2712356</xdr:rowOff>
    </xdr:to>
    <xdr:sp macro="" textlink="">
      <xdr:nvSpPr>
        <xdr:cNvPr id="402" name="ZoneTexte 401" hidden="1">
          <a:extLst>
            <a:ext uri="{FF2B5EF4-FFF2-40B4-BE49-F238E27FC236}">
              <a16:creationId xmlns:a16="http://schemas.microsoft.com/office/drawing/2014/main" id="{00000000-0008-0000-0D00-000092010000}"/>
            </a:ext>
          </a:extLst>
        </xdr:cNvPr>
        <xdr:cNvSpPr txBox="1"/>
      </xdr:nvSpPr>
      <xdr:spPr>
        <a:xfrm>
          <a:off x="6021820" y="148847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134</xdr:row>
      <xdr:rowOff>3706090</xdr:rowOff>
    </xdr:from>
    <xdr:to>
      <xdr:col>2</xdr:col>
      <xdr:colOff>5142675</xdr:colOff>
      <xdr:row>134</xdr:row>
      <xdr:rowOff>4005447</xdr:rowOff>
    </xdr:to>
    <xdr:sp macro="" textlink="">
      <xdr:nvSpPr>
        <xdr:cNvPr id="403" name="ZoneTexte 402" hidden="1">
          <a:extLst>
            <a:ext uri="{FF2B5EF4-FFF2-40B4-BE49-F238E27FC236}">
              <a16:creationId xmlns:a16="http://schemas.microsoft.com/office/drawing/2014/main" id="{00000000-0008-0000-0D00-000093010000}"/>
            </a:ext>
          </a:extLst>
        </xdr:cNvPr>
        <xdr:cNvSpPr txBox="1"/>
      </xdr:nvSpPr>
      <xdr:spPr>
        <a:xfrm>
          <a:off x="6027593" y="148844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06" name="ZoneTexte 405" hidden="1">
          <a:extLst>
            <a:ext uri="{FF2B5EF4-FFF2-40B4-BE49-F238E27FC236}">
              <a16:creationId xmlns:a16="http://schemas.microsoft.com/office/drawing/2014/main" id="{00000000-0008-0000-0D00-000096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134</xdr:row>
      <xdr:rowOff>2412999</xdr:rowOff>
    </xdr:from>
    <xdr:to>
      <xdr:col>2</xdr:col>
      <xdr:colOff>5327402</xdr:colOff>
      <xdr:row>134</xdr:row>
      <xdr:rowOff>2712356</xdr:rowOff>
    </xdr:to>
    <xdr:sp macro="" textlink="">
      <xdr:nvSpPr>
        <xdr:cNvPr id="409" name="ZoneTexte 408" hidden="1">
          <a:extLst>
            <a:ext uri="{FF2B5EF4-FFF2-40B4-BE49-F238E27FC236}">
              <a16:creationId xmlns:a16="http://schemas.microsoft.com/office/drawing/2014/main" id="{00000000-0008-0000-0D00-000099010000}"/>
            </a:ext>
          </a:extLst>
        </xdr:cNvPr>
        <xdr:cNvSpPr txBox="1"/>
      </xdr:nvSpPr>
      <xdr:spPr>
        <a:xfrm>
          <a:off x="6021820" y="148847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134</xdr:row>
      <xdr:rowOff>3706090</xdr:rowOff>
    </xdr:from>
    <xdr:to>
      <xdr:col>2</xdr:col>
      <xdr:colOff>5142675</xdr:colOff>
      <xdr:row>134</xdr:row>
      <xdr:rowOff>4005447</xdr:rowOff>
    </xdr:to>
    <xdr:sp macro="" textlink="">
      <xdr:nvSpPr>
        <xdr:cNvPr id="410" name="ZoneTexte 409" hidden="1">
          <a:extLst>
            <a:ext uri="{FF2B5EF4-FFF2-40B4-BE49-F238E27FC236}">
              <a16:creationId xmlns:a16="http://schemas.microsoft.com/office/drawing/2014/main" id="{00000000-0008-0000-0D00-00009A010000}"/>
            </a:ext>
          </a:extLst>
        </xdr:cNvPr>
        <xdr:cNvSpPr txBox="1"/>
      </xdr:nvSpPr>
      <xdr:spPr>
        <a:xfrm>
          <a:off x="6027593" y="148844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13" name="ZoneTexte 412" hidden="1">
          <a:extLst>
            <a:ext uri="{FF2B5EF4-FFF2-40B4-BE49-F238E27FC236}">
              <a16:creationId xmlns:a16="http://schemas.microsoft.com/office/drawing/2014/main" id="{00000000-0008-0000-0D00-00009D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18" name="ZoneTexte 417" hidden="1">
          <a:extLst>
            <a:ext uri="{FF2B5EF4-FFF2-40B4-BE49-F238E27FC236}">
              <a16:creationId xmlns:a16="http://schemas.microsoft.com/office/drawing/2014/main" id="{00000000-0008-0000-0D00-0000A2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19" name="ZoneTexte 418" hidden="1">
          <a:extLst>
            <a:ext uri="{FF2B5EF4-FFF2-40B4-BE49-F238E27FC236}">
              <a16:creationId xmlns:a16="http://schemas.microsoft.com/office/drawing/2014/main" id="{00000000-0008-0000-0D00-0000A3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134</xdr:row>
      <xdr:rowOff>2412999</xdr:rowOff>
    </xdr:from>
    <xdr:to>
      <xdr:col>2</xdr:col>
      <xdr:colOff>5327402</xdr:colOff>
      <xdr:row>134</xdr:row>
      <xdr:rowOff>2712356</xdr:rowOff>
    </xdr:to>
    <xdr:sp macro="" textlink="">
      <xdr:nvSpPr>
        <xdr:cNvPr id="420" name="ZoneTexte 419" hidden="1">
          <a:extLst>
            <a:ext uri="{FF2B5EF4-FFF2-40B4-BE49-F238E27FC236}">
              <a16:creationId xmlns:a16="http://schemas.microsoft.com/office/drawing/2014/main" id="{00000000-0008-0000-0D00-0000A4010000}"/>
            </a:ext>
          </a:extLst>
        </xdr:cNvPr>
        <xdr:cNvSpPr txBox="1"/>
      </xdr:nvSpPr>
      <xdr:spPr>
        <a:xfrm>
          <a:off x="6021820" y="148847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134</xdr:row>
      <xdr:rowOff>3706090</xdr:rowOff>
    </xdr:from>
    <xdr:to>
      <xdr:col>2</xdr:col>
      <xdr:colOff>5142675</xdr:colOff>
      <xdr:row>134</xdr:row>
      <xdr:rowOff>4005447</xdr:rowOff>
    </xdr:to>
    <xdr:sp macro="" textlink="">
      <xdr:nvSpPr>
        <xdr:cNvPr id="421" name="ZoneTexte 420" hidden="1">
          <a:extLst>
            <a:ext uri="{FF2B5EF4-FFF2-40B4-BE49-F238E27FC236}">
              <a16:creationId xmlns:a16="http://schemas.microsoft.com/office/drawing/2014/main" id="{00000000-0008-0000-0D00-0000A5010000}"/>
            </a:ext>
          </a:extLst>
        </xdr:cNvPr>
        <xdr:cNvSpPr txBox="1"/>
      </xdr:nvSpPr>
      <xdr:spPr>
        <a:xfrm>
          <a:off x="6027593" y="148844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24" name="ZoneTexte 423" hidden="1">
          <a:extLst>
            <a:ext uri="{FF2B5EF4-FFF2-40B4-BE49-F238E27FC236}">
              <a16:creationId xmlns:a16="http://schemas.microsoft.com/office/drawing/2014/main" id="{00000000-0008-0000-0D00-0000A8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134</xdr:row>
      <xdr:rowOff>2412999</xdr:rowOff>
    </xdr:from>
    <xdr:to>
      <xdr:col>2</xdr:col>
      <xdr:colOff>5327402</xdr:colOff>
      <xdr:row>134</xdr:row>
      <xdr:rowOff>2712356</xdr:rowOff>
    </xdr:to>
    <xdr:sp macro="" textlink="">
      <xdr:nvSpPr>
        <xdr:cNvPr id="427" name="ZoneTexte 426" hidden="1">
          <a:extLst>
            <a:ext uri="{FF2B5EF4-FFF2-40B4-BE49-F238E27FC236}">
              <a16:creationId xmlns:a16="http://schemas.microsoft.com/office/drawing/2014/main" id="{00000000-0008-0000-0D00-0000AB010000}"/>
            </a:ext>
          </a:extLst>
        </xdr:cNvPr>
        <xdr:cNvSpPr txBox="1"/>
      </xdr:nvSpPr>
      <xdr:spPr>
        <a:xfrm>
          <a:off x="6021820" y="148847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134</xdr:row>
      <xdr:rowOff>3706090</xdr:rowOff>
    </xdr:from>
    <xdr:to>
      <xdr:col>2</xdr:col>
      <xdr:colOff>5142675</xdr:colOff>
      <xdr:row>134</xdr:row>
      <xdr:rowOff>4005447</xdr:rowOff>
    </xdr:to>
    <xdr:sp macro="" textlink="">
      <xdr:nvSpPr>
        <xdr:cNvPr id="428" name="ZoneTexte 427" hidden="1">
          <a:extLst>
            <a:ext uri="{FF2B5EF4-FFF2-40B4-BE49-F238E27FC236}">
              <a16:creationId xmlns:a16="http://schemas.microsoft.com/office/drawing/2014/main" id="{00000000-0008-0000-0D00-0000AC010000}"/>
            </a:ext>
          </a:extLst>
        </xdr:cNvPr>
        <xdr:cNvSpPr txBox="1"/>
      </xdr:nvSpPr>
      <xdr:spPr>
        <a:xfrm>
          <a:off x="6027593" y="148844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31" name="ZoneTexte 430" hidden="1">
          <a:extLst>
            <a:ext uri="{FF2B5EF4-FFF2-40B4-BE49-F238E27FC236}">
              <a16:creationId xmlns:a16="http://schemas.microsoft.com/office/drawing/2014/main" id="{00000000-0008-0000-0D00-0000AF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36" name="ZoneTexte 435" hidden="1">
          <a:extLst>
            <a:ext uri="{FF2B5EF4-FFF2-40B4-BE49-F238E27FC236}">
              <a16:creationId xmlns:a16="http://schemas.microsoft.com/office/drawing/2014/main" id="{00000000-0008-0000-0D00-0000B4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37" name="ZoneTexte 436" hidden="1">
          <a:extLst>
            <a:ext uri="{FF2B5EF4-FFF2-40B4-BE49-F238E27FC236}">
              <a16:creationId xmlns:a16="http://schemas.microsoft.com/office/drawing/2014/main" id="{00000000-0008-0000-0D00-0000B5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42" name="ZoneTexte 441" hidden="1">
          <a:extLst>
            <a:ext uri="{FF2B5EF4-FFF2-40B4-BE49-F238E27FC236}">
              <a16:creationId xmlns:a16="http://schemas.microsoft.com/office/drawing/2014/main" id="{00000000-0008-0000-0D00-0000BA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43" name="ZoneTexte 442" hidden="1">
          <a:extLst>
            <a:ext uri="{FF2B5EF4-FFF2-40B4-BE49-F238E27FC236}">
              <a16:creationId xmlns:a16="http://schemas.microsoft.com/office/drawing/2014/main" id="{00000000-0008-0000-0D00-0000BB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134</xdr:row>
      <xdr:rowOff>2412999</xdr:rowOff>
    </xdr:from>
    <xdr:to>
      <xdr:col>2</xdr:col>
      <xdr:colOff>5327402</xdr:colOff>
      <xdr:row>134</xdr:row>
      <xdr:rowOff>2712356</xdr:rowOff>
    </xdr:to>
    <xdr:sp macro="" textlink="">
      <xdr:nvSpPr>
        <xdr:cNvPr id="448" name="ZoneTexte 447" hidden="1">
          <a:extLst>
            <a:ext uri="{FF2B5EF4-FFF2-40B4-BE49-F238E27FC236}">
              <a16:creationId xmlns:a16="http://schemas.microsoft.com/office/drawing/2014/main" id="{00000000-0008-0000-0D00-0000C0010000}"/>
            </a:ext>
          </a:extLst>
        </xdr:cNvPr>
        <xdr:cNvSpPr txBox="1"/>
      </xdr:nvSpPr>
      <xdr:spPr>
        <a:xfrm>
          <a:off x="6021820" y="148847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135</xdr:row>
      <xdr:rowOff>2412999</xdr:rowOff>
    </xdr:from>
    <xdr:to>
      <xdr:col>2</xdr:col>
      <xdr:colOff>5327402</xdr:colOff>
      <xdr:row>135</xdr:row>
      <xdr:rowOff>2712356</xdr:rowOff>
    </xdr:to>
    <xdr:sp macro="" textlink="">
      <xdr:nvSpPr>
        <xdr:cNvPr id="449" name="ZoneTexte 448" hidden="1">
          <a:extLst>
            <a:ext uri="{FF2B5EF4-FFF2-40B4-BE49-F238E27FC236}">
              <a16:creationId xmlns:a16="http://schemas.microsoft.com/office/drawing/2014/main" id="{00000000-0008-0000-0D00-0000C1010000}"/>
            </a:ext>
          </a:extLst>
        </xdr:cNvPr>
        <xdr:cNvSpPr txBox="1"/>
      </xdr:nvSpPr>
      <xdr:spPr>
        <a:xfrm>
          <a:off x="6021820" y="151256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50" name="ZoneTexte 449" hidden="1">
          <a:extLst>
            <a:ext uri="{FF2B5EF4-FFF2-40B4-BE49-F238E27FC236}">
              <a16:creationId xmlns:a16="http://schemas.microsoft.com/office/drawing/2014/main" id="{00000000-0008-0000-0D00-0000C2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134</xdr:row>
      <xdr:rowOff>2412999</xdr:rowOff>
    </xdr:from>
    <xdr:to>
      <xdr:col>2</xdr:col>
      <xdr:colOff>5327402</xdr:colOff>
      <xdr:row>134</xdr:row>
      <xdr:rowOff>2712356</xdr:rowOff>
    </xdr:to>
    <xdr:sp macro="" textlink="">
      <xdr:nvSpPr>
        <xdr:cNvPr id="451" name="ZoneTexte 450" hidden="1">
          <a:extLst>
            <a:ext uri="{FF2B5EF4-FFF2-40B4-BE49-F238E27FC236}">
              <a16:creationId xmlns:a16="http://schemas.microsoft.com/office/drawing/2014/main" id="{00000000-0008-0000-0D00-0000C3010000}"/>
            </a:ext>
          </a:extLst>
        </xdr:cNvPr>
        <xdr:cNvSpPr txBox="1"/>
      </xdr:nvSpPr>
      <xdr:spPr>
        <a:xfrm>
          <a:off x="6021820" y="148847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135</xdr:row>
      <xdr:rowOff>2412999</xdr:rowOff>
    </xdr:from>
    <xdr:to>
      <xdr:col>2</xdr:col>
      <xdr:colOff>5327402</xdr:colOff>
      <xdr:row>135</xdr:row>
      <xdr:rowOff>2712356</xdr:rowOff>
    </xdr:to>
    <xdr:sp macro="" textlink="">
      <xdr:nvSpPr>
        <xdr:cNvPr id="452" name="ZoneTexte 451" hidden="1">
          <a:extLst>
            <a:ext uri="{FF2B5EF4-FFF2-40B4-BE49-F238E27FC236}">
              <a16:creationId xmlns:a16="http://schemas.microsoft.com/office/drawing/2014/main" id="{00000000-0008-0000-0D00-0000C4010000}"/>
            </a:ext>
          </a:extLst>
        </xdr:cNvPr>
        <xdr:cNvSpPr txBox="1"/>
      </xdr:nvSpPr>
      <xdr:spPr>
        <a:xfrm>
          <a:off x="6021820" y="151256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53" name="ZoneTexte 452" hidden="1">
          <a:extLst>
            <a:ext uri="{FF2B5EF4-FFF2-40B4-BE49-F238E27FC236}">
              <a16:creationId xmlns:a16="http://schemas.microsoft.com/office/drawing/2014/main" id="{00000000-0008-0000-0D00-0000C5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54" name="ZoneTexte 453" hidden="1">
          <a:extLst>
            <a:ext uri="{FF2B5EF4-FFF2-40B4-BE49-F238E27FC236}">
              <a16:creationId xmlns:a16="http://schemas.microsoft.com/office/drawing/2014/main" id="{00000000-0008-0000-0D00-0000C6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150</xdr:row>
      <xdr:rowOff>2412999</xdr:rowOff>
    </xdr:from>
    <xdr:to>
      <xdr:col>2</xdr:col>
      <xdr:colOff>5327402</xdr:colOff>
      <xdr:row>150</xdr:row>
      <xdr:rowOff>2712356</xdr:rowOff>
    </xdr:to>
    <xdr:sp macro="" textlink="">
      <xdr:nvSpPr>
        <xdr:cNvPr id="455" name="ZoneTexte 454" hidden="1">
          <a:extLst>
            <a:ext uri="{FF2B5EF4-FFF2-40B4-BE49-F238E27FC236}">
              <a16:creationId xmlns:a16="http://schemas.microsoft.com/office/drawing/2014/main" id="{00000000-0008-0000-0D00-0000C7010000}"/>
            </a:ext>
          </a:extLst>
        </xdr:cNvPr>
        <xdr:cNvSpPr txBox="1"/>
      </xdr:nvSpPr>
      <xdr:spPr>
        <a:xfrm>
          <a:off x="6021820" y="165798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135</xdr:row>
      <xdr:rowOff>2412999</xdr:rowOff>
    </xdr:from>
    <xdr:to>
      <xdr:col>2</xdr:col>
      <xdr:colOff>5327402</xdr:colOff>
      <xdr:row>135</xdr:row>
      <xdr:rowOff>2712356</xdr:rowOff>
    </xdr:to>
    <xdr:sp macro="" textlink="">
      <xdr:nvSpPr>
        <xdr:cNvPr id="456" name="ZoneTexte 455" hidden="1">
          <a:extLst>
            <a:ext uri="{FF2B5EF4-FFF2-40B4-BE49-F238E27FC236}">
              <a16:creationId xmlns:a16="http://schemas.microsoft.com/office/drawing/2014/main" id="{00000000-0008-0000-0D00-0000C8010000}"/>
            </a:ext>
          </a:extLst>
        </xdr:cNvPr>
        <xdr:cNvSpPr txBox="1"/>
      </xdr:nvSpPr>
      <xdr:spPr>
        <a:xfrm>
          <a:off x="6021820" y="151256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135</xdr:row>
      <xdr:rowOff>2412999</xdr:rowOff>
    </xdr:from>
    <xdr:to>
      <xdr:col>2</xdr:col>
      <xdr:colOff>5327402</xdr:colOff>
      <xdr:row>135</xdr:row>
      <xdr:rowOff>2712356</xdr:rowOff>
    </xdr:to>
    <xdr:sp macro="" textlink="">
      <xdr:nvSpPr>
        <xdr:cNvPr id="457" name="ZoneTexte 456" hidden="1">
          <a:extLst>
            <a:ext uri="{FF2B5EF4-FFF2-40B4-BE49-F238E27FC236}">
              <a16:creationId xmlns:a16="http://schemas.microsoft.com/office/drawing/2014/main" id="{00000000-0008-0000-0D00-0000C9010000}"/>
            </a:ext>
          </a:extLst>
        </xdr:cNvPr>
        <xdr:cNvSpPr txBox="1"/>
      </xdr:nvSpPr>
      <xdr:spPr>
        <a:xfrm>
          <a:off x="6021820" y="151256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135</xdr:row>
      <xdr:rowOff>2412999</xdr:rowOff>
    </xdr:from>
    <xdr:to>
      <xdr:col>2</xdr:col>
      <xdr:colOff>5327402</xdr:colOff>
      <xdr:row>135</xdr:row>
      <xdr:rowOff>2712356</xdr:rowOff>
    </xdr:to>
    <xdr:sp macro="" textlink="">
      <xdr:nvSpPr>
        <xdr:cNvPr id="458" name="ZoneTexte 457" hidden="1">
          <a:extLst>
            <a:ext uri="{FF2B5EF4-FFF2-40B4-BE49-F238E27FC236}">
              <a16:creationId xmlns:a16="http://schemas.microsoft.com/office/drawing/2014/main" id="{00000000-0008-0000-0D00-0000CA010000}"/>
            </a:ext>
          </a:extLst>
        </xdr:cNvPr>
        <xdr:cNvSpPr txBox="1"/>
      </xdr:nvSpPr>
      <xdr:spPr>
        <a:xfrm>
          <a:off x="6021820" y="151256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135</xdr:row>
      <xdr:rowOff>2412999</xdr:rowOff>
    </xdr:from>
    <xdr:to>
      <xdr:col>2</xdr:col>
      <xdr:colOff>5327402</xdr:colOff>
      <xdr:row>135</xdr:row>
      <xdr:rowOff>2712356</xdr:rowOff>
    </xdr:to>
    <xdr:sp macro="" textlink="">
      <xdr:nvSpPr>
        <xdr:cNvPr id="459" name="ZoneTexte 458" hidden="1">
          <a:extLst>
            <a:ext uri="{FF2B5EF4-FFF2-40B4-BE49-F238E27FC236}">
              <a16:creationId xmlns:a16="http://schemas.microsoft.com/office/drawing/2014/main" id="{00000000-0008-0000-0D00-0000CB010000}"/>
            </a:ext>
          </a:extLst>
        </xdr:cNvPr>
        <xdr:cNvSpPr txBox="1"/>
      </xdr:nvSpPr>
      <xdr:spPr>
        <a:xfrm>
          <a:off x="6021820" y="151256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135</xdr:row>
      <xdr:rowOff>2412999</xdr:rowOff>
    </xdr:from>
    <xdr:to>
      <xdr:col>2</xdr:col>
      <xdr:colOff>5327402</xdr:colOff>
      <xdr:row>135</xdr:row>
      <xdr:rowOff>2712356</xdr:rowOff>
    </xdr:to>
    <xdr:sp macro="" textlink="">
      <xdr:nvSpPr>
        <xdr:cNvPr id="460" name="ZoneTexte 459" hidden="1">
          <a:extLst>
            <a:ext uri="{FF2B5EF4-FFF2-40B4-BE49-F238E27FC236}">
              <a16:creationId xmlns:a16="http://schemas.microsoft.com/office/drawing/2014/main" id="{00000000-0008-0000-0D00-0000CC010000}"/>
            </a:ext>
          </a:extLst>
        </xdr:cNvPr>
        <xdr:cNvSpPr txBox="1"/>
      </xdr:nvSpPr>
      <xdr:spPr>
        <a:xfrm>
          <a:off x="6021820" y="151256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135</xdr:row>
      <xdr:rowOff>2412999</xdr:rowOff>
    </xdr:from>
    <xdr:to>
      <xdr:col>2</xdr:col>
      <xdr:colOff>5327402</xdr:colOff>
      <xdr:row>135</xdr:row>
      <xdr:rowOff>2712356</xdr:rowOff>
    </xdr:to>
    <xdr:sp macro="" textlink="">
      <xdr:nvSpPr>
        <xdr:cNvPr id="461" name="ZoneTexte 460" hidden="1">
          <a:extLst>
            <a:ext uri="{FF2B5EF4-FFF2-40B4-BE49-F238E27FC236}">
              <a16:creationId xmlns:a16="http://schemas.microsoft.com/office/drawing/2014/main" id="{00000000-0008-0000-0D00-0000CD010000}"/>
            </a:ext>
          </a:extLst>
        </xdr:cNvPr>
        <xdr:cNvSpPr txBox="1"/>
      </xdr:nvSpPr>
      <xdr:spPr>
        <a:xfrm>
          <a:off x="6021820" y="151256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135</xdr:row>
      <xdr:rowOff>2412999</xdr:rowOff>
    </xdr:from>
    <xdr:to>
      <xdr:col>2</xdr:col>
      <xdr:colOff>5327402</xdr:colOff>
      <xdr:row>135</xdr:row>
      <xdr:rowOff>2712356</xdr:rowOff>
    </xdr:to>
    <xdr:sp macro="" textlink="">
      <xdr:nvSpPr>
        <xdr:cNvPr id="462" name="ZoneTexte 461" hidden="1">
          <a:extLst>
            <a:ext uri="{FF2B5EF4-FFF2-40B4-BE49-F238E27FC236}">
              <a16:creationId xmlns:a16="http://schemas.microsoft.com/office/drawing/2014/main" id="{00000000-0008-0000-0D00-0000CE010000}"/>
            </a:ext>
          </a:extLst>
        </xdr:cNvPr>
        <xdr:cNvSpPr txBox="1"/>
      </xdr:nvSpPr>
      <xdr:spPr>
        <a:xfrm>
          <a:off x="6021820" y="151256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140</xdr:row>
      <xdr:rowOff>2412999</xdr:rowOff>
    </xdr:from>
    <xdr:to>
      <xdr:col>2</xdr:col>
      <xdr:colOff>5327402</xdr:colOff>
      <xdr:row>140</xdr:row>
      <xdr:rowOff>2712356</xdr:rowOff>
    </xdr:to>
    <xdr:sp macro="" textlink="">
      <xdr:nvSpPr>
        <xdr:cNvPr id="463" name="ZoneTexte 462" hidden="1">
          <a:extLst>
            <a:ext uri="{FF2B5EF4-FFF2-40B4-BE49-F238E27FC236}">
              <a16:creationId xmlns:a16="http://schemas.microsoft.com/office/drawing/2014/main" id="{00000000-0008-0000-0D00-0000CF010000}"/>
            </a:ext>
          </a:extLst>
        </xdr:cNvPr>
        <xdr:cNvSpPr txBox="1"/>
      </xdr:nvSpPr>
      <xdr:spPr>
        <a:xfrm>
          <a:off x="6021820" y="15468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135</xdr:row>
      <xdr:rowOff>2412999</xdr:rowOff>
    </xdr:from>
    <xdr:to>
      <xdr:col>2</xdr:col>
      <xdr:colOff>5327402</xdr:colOff>
      <xdr:row>135</xdr:row>
      <xdr:rowOff>2712356</xdr:rowOff>
    </xdr:to>
    <xdr:sp macro="" textlink="">
      <xdr:nvSpPr>
        <xdr:cNvPr id="464" name="ZoneTexte 463" hidden="1">
          <a:extLst>
            <a:ext uri="{FF2B5EF4-FFF2-40B4-BE49-F238E27FC236}">
              <a16:creationId xmlns:a16="http://schemas.microsoft.com/office/drawing/2014/main" id="{00000000-0008-0000-0D00-0000D0010000}"/>
            </a:ext>
          </a:extLst>
        </xdr:cNvPr>
        <xdr:cNvSpPr txBox="1"/>
      </xdr:nvSpPr>
      <xdr:spPr>
        <a:xfrm>
          <a:off x="6021820" y="151256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140</xdr:row>
      <xdr:rowOff>2412999</xdr:rowOff>
    </xdr:from>
    <xdr:to>
      <xdr:col>2</xdr:col>
      <xdr:colOff>5327402</xdr:colOff>
      <xdr:row>140</xdr:row>
      <xdr:rowOff>2712356</xdr:rowOff>
    </xdr:to>
    <xdr:sp macro="" textlink="">
      <xdr:nvSpPr>
        <xdr:cNvPr id="465" name="ZoneTexte 464" hidden="1">
          <a:extLst>
            <a:ext uri="{FF2B5EF4-FFF2-40B4-BE49-F238E27FC236}">
              <a16:creationId xmlns:a16="http://schemas.microsoft.com/office/drawing/2014/main" id="{00000000-0008-0000-0D00-0000D1010000}"/>
            </a:ext>
          </a:extLst>
        </xdr:cNvPr>
        <xdr:cNvSpPr txBox="1"/>
      </xdr:nvSpPr>
      <xdr:spPr>
        <a:xfrm>
          <a:off x="6021820" y="15468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466" name="ZoneTexte 465" hidden="1">
          <a:extLst>
            <a:ext uri="{FF2B5EF4-FFF2-40B4-BE49-F238E27FC236}">
              <a16:creationId xmlns:a16="http://schemas.microsoft.com/office/drawing/2014/main" id="{00000000-0008-0000-0D00-0000D2010000}"/>
            </a:ext>
          </a:extLst>
        </xdr:cNvPr>
        <xdr:cNvSpPr txBox="1"/>
      </xdr:nvSpPr>
      <xdr:spPr>
        <a:xfrm>
          <a:off x="6021820" y="159197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467" name="ZoneTexte 466" hidden="1">
          <a:extLst>
            <a:ext uri="{FF2B5EF4-FFF2-40B4-BE49-F238E27FC236}">
              <a16:creationId xmlns:a16="http://schemas.microsoft.com/office/drawing/2014/main" id="{00000000-0008-0000-0D00-0000D3010000}"/>
            </a:ext>
          </a:extLst>
        </xdr:cNvPr>
        <xdr:cNvSpPr txBox="1"/>
      </xdr:nvSpPr>
      <xdr:spPr>
        <a:xfrm>
          <a:off x="6021820" y="159197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153</xdr:row>
      <xdr:rowOff>2412999</xdr:rowOff>
    </xdr:from>
    <xdr:to>
      <xdr:col>2</xdr:col>
      <xdr:colOff>5327402</xdr:colOff>
      <xdr:row>153</xdr:row>
      <xdr:rowOff>2712356</xdr:rowOff>
    </xdr:to>
    <xdr:sp macro="" textlink="">
      <xdr:nvSpPr>
        <xdr:cNvPr id="472" name="ZoneTexte 471" hidden="1">
          <a:extLst>
            <a:ext uri="{FF2B5EF4-FFF2-40B4-BE49-F238E27FC236}">
              <a16:creationId xmlns:a16="http://schemas.microsoft.com/office/drawing/2014/main" id="{00000000-0008-0000-0D00-0000D8010000}"/>
            </a:ext>
          </a:extLst>
        </xdr:cNvPr>
        <xdr:cNvSpPr txBox="1"/>
      </xdr:nvSpPr>
      <xdr:spPr>
        <a:xfrm>
          <a:off x="6021820" y="17373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153</xdr:row>
      <xdr:rowOff>3706090</xdr:rowOff>
    </xdr:from>
    <xdr:to>
      <xdr:col>2</xdr:col>
      <xdr:colOff>5142675</xdr:colOff>
      <xdr:row>153</xdr:row>
      <xdr:rowOff>4005447</xdr:rowOff>
    </xdr:to>
    <xdr:sp macro="" textlink="">
      <xdr:nvSpPr>
        <xdr:cNvPr id="473" name="ZoneTexte 472" hidden="1">
          <a:extLst>
            <a:ext uri="{FF2B5EF4-FFF2-40B4-BE49-F238E27FC236}">
              <a16:creationId xmlns:a16="http://schemas.microsoft.com/office/drawing/2014/main" id="{00000000-0008-0000-0D00-0000D9010000}"/>
            </a:ext>
          </a:extLst>
        </xdr:cNvPr>
        <xdr:cNvSpPr txBox="1"/>
      </xdr:nvSpPr>
      <xdr:spPr>
        <a:xfrm>
          <a:off x="6027593" y="173736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476" name="ZoneTexte 475" hidden="1">
          <a:extLst>
            <a:ext uri="{FF2B5EF4-FFF2-40B4-BE49-F238E27FC236}">
              <a16:creationId xmlns:a16="http://schemas.microsoft.com/office/drawing/2014/main" id="{00000000-0008-0000-0D00-0000DC01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153</xdr:row>
      <xdr:rowOff>2412999</xdr:rowOff>
    </xdr:from>
    <xdr:to>
      <xdr:col>2</xdr:col>
      <xdr:colOff>5327402</xdr:colOff>
      <xdr:row>153</xdr:row>
      <xdr:rowOff>2712356</xdr:rowOff>
    </xdr:to>
    <xdr:sp macro="" textlink="">
      <xdr:nvSpPr>
        <xdr:cNvPr id="479" name="ZoneTexte 478" hidden="1">
          <a:extLst>
            <a:ext uri="{FF2B5EF4-FFF2-40B4-BE49-F238E27FC236}">
              <a16:creationId xmlns:a16="http://schemas.microsoft.com/office/drawing/2014/main" id="{00000000-0008-0000-0D00-0000DF010000}"/>
            </a:ext>
          </a:extLst>
        </xdr:cNvPr>
        <xdr:cNvSpPr txBox="1"/>
      </xdr:nvSpPr>
      <xdr:spPr>
        <a:xfrm>
          <a:off x="6021820" y="17373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153</xdr:row>
      <xdr:rowOff>3706090</xdr:rowOff>
    </xdr:from>
    <xdr:to>
      <xdr:col>2</xdr:col>
      <xdr:colOff>5142675</xdr:colOff>
      <xdr:row>153</xdr:row>
      <xdr:rowOff>4005447</xdr:rowOff>
    </xdr:to>
    <xdr:sp macro="" textlink="">
      <xdr:nvSpPr>
        <xdr:cNvPr id="480" name="ZoneTexte 479" hidden="1">
          <a:extLst>
            <a:ext uri="{FF2B5EF4-FFF2-40B4-BE49-F238E27FC236}">
              <a16:creationId xmlns:a16="http://schemas.microsoft.com/office/drawing/2014/main" id="{00000000-0008-0000-0D00-0000E0010000}"/>
            </a:ext>
          </a:extLst>
        </xdr:cNvPr>
        <xdr:cNvSpPr txBox="1"/>
      </xdr:nvSpPr>
      <xdr:spPr>
        <a:xfrm>
          <a:off x="6027593" y="173736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483" name="ZoneTexte 482" hidden="1">
          <a:extLst>
            <a:ext uri="{FF2B5EF4-FFF2-40B4-BE49-F238E27FC236}">
              <a16:creationId xmlns:a16="http://schemas.microsoft.com/office/drawing/2014/main" id="{00000000-0008-0000-0D00-0000E301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488" name="ZoneTexte 487" hidden="1">
          <a:extLst>
            <a:ext uri="{FF2B5EF4-FFF2-40B4-BE49-F238E27FC236}">
              <a16:creationId xmlns:a16="http://schemas.microsoft.com/office/drawing/2014/main" id="{00000000-0008-0000-0D00-0000E801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489" name="ZoneTexte 488" hidden="1">
          <a:extLst>
            <a:ext uri="{FF2B5EF4-FFF2-40B4-BE49-F238E27FC236}">
              <a16:creationId xmlns:a16="http://schemas.microsoft.com/office/drawing/2014/main" id="{00000000-0008-0000-0D00-0000E901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153</xdr:row>
      <xdr:rowOff>2412999</xdr:rowOff>
    </xdr:from>
    <xdr:to>
      <xdr:col>2</xdr:col>
      <xdr:colOff>5327402</xdr:colOff>
      <xdr:row>153</xdr:row>
      <xdr:rowOff>2712356</xdr:rowOff>
    </xdr:to>
    <xdr:sp macro="" textlink="">
      <xdr:nvSpPr>
        <xdr:cNvPr id="496" name="ZoneTexte 495" hidden="1">
          <a:extLst>
            <a:ext uri="{FF2B5EF4-FFF2-40B4-BE49-F238E27FC236}">
              <a16:creationId xmlns:a16="http://schemas.microsoft.com/office/drawing/2014/main" id="{00000000-0008-0000-0D00-0000F0010000}"/>
            </a:ext>
          </a:extLst>
        </xdr:cNvPr>
        <xdr:cNvSpPr txBox="1"/>
      </xdr:nvSpPr>
      <xdr:spPr>
        <a:xfrm>
          <a:off x="6021820" y="17373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153</xdr:row>
      <xdr:rowOff>3706090</xdr:rowOff>
    </xdr:from>
    <xdr:to>
      <xdr:col>2</xdr:col>
      <xdr:colOff>5142675</xdr:colOff>
      <xdr:row>153</xdr:row>
      <xdr:rowOff>4005447</xdr:rowOff>
    </xdr:to>
    <xdr:sp macro="" textlink="">
      <xdr:nvSpPr>
        <xdr:cNvPr id="497" name="ZoneTexte 496" hidden="1">
          <a:extLst>
            <a:ext uri="{FF2B5EF4-FFF2-40B4-BE49-F238E27FC236}">
              <a16:creationId xmlns:a16="http://schemas.microsoft.com/office/drawing/2014/main" id="{00000000-0008-0000-0D00-0000F1010000}"/>
            </a:ext>
          </a:extLst>
        </xdr:cNvPr>
        <xdr:cNvSpPr txBox="1"/>
      </xdr:nvSpPr>
      <xdr:spPr>
        <a:xfrm>
          <a:off x="6027593" y="173736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00" name="ZoneTexte 499" hidden="1">
          <a:extLst>
            <a:ext uri="{FF2B5EF4-FFF2-40B4-BE49-F238E27FC236}">
              <a16:creationId xmlns:a16="http://schemas.microsoft.com/office/drawing/2014/main" id="{00000000-0008-0000-0D00-0000F401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153</xdr:row>
      <xdr:rowOff>2412999</xdr:rowOff>
    </xdr:from>
    <xdr:to>
      <xdr:col>2</xdr:col>
      <xdr:colOff>5327402</xdr:colOff>
      <xdr:row>153</xdr:row>
      <xdr:rowOff>2712356</xdr:rowOff>
    </xdr:to>
    <xdr:sp macro="" textlink="">
      <xdr:nvSpPr>
        <xdr:cNvPr id="503" name="ZoneTexte 502" hidden="1">
          <a:extLst>
            <a:ext uri="{FF2B5EF4-FFF2-40B4-BE49-F238E27FC236}">
              <a16:creationId xmlns:a16="http://schemas.microsoft.com/office/drawing/2014/main" id="{00000000-0008-0000-0D00-0000F7010000}"/>
            </a:ext>
          </a:extLst>
        </xdr:cNvPr>
        <xdr:cNvSpPr txBox="1"/>
      </xdr:nvSpPr>
      <xdr:spPr>
        <a:xfrm>
          <a:off x="6021820" y="17373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153</xdr:row>
      <xdr:rowOff>3706090</xdr:rowOff>
    </xdr:from>
    <xdr:to>
      <xdr:col>2</xdr:col>
      <xdr:colOff>5142675</xdr:colOff>
      <xdr:row>153</xdr:row>
      <xdr:rowOff>4005447</xdr:rowOff>
    </xdr:to>
    <xdr:sp macro="" textlink="">
      <xdr:nvSpPr>
        <xdr:cNvPr id="504" name="ZoneTexte 503" hidden="1">
          <a:extLst>
            <a:ext uri="{FF2B5EF4-FFF2-40B4-BE49-F238E27FC236}">
              <a16:creationId xmlns:a16="http://schemas.microsoft.com/office/drawing/2014/main" id="{00000000-0008-0000-0D00-0000F8010000}"/>
            </a:ext>
          </a:extLst>
        </xdr:cNvPr>
        <xdr:cNvSpPr txBox="1"/>
      </xdr:nvSpPr>
      <xdr:spPr>
        <a:xfrm>
          <a:off x="6027593" y="173736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07" name="ZoneTexte 506" hidden="1">
          <a:extLst>
            <a:ext uri="{FF2B5EF4-FFF2-40B4-BE49-F238E27FC236}">
              <a16:creationId xmlns:a16="http://schemas.microsoft.com/office/drawing/2014/main" id="{00000000-0008-0000-0D00-0000FB01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12" name="ZoneTexte 511" hidden="1">
          <a:extLst>
            <a:ext uri="{FF2B5EF4-FFF2-40B4-BE49-F238E27FC236}">
              <a16:creationId xmlns:a16="http://schemas.microsoft.com/office/drawing/2014/main" id="{00000000-0008-0000-0D00-00000002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13" name="ZoneTexte 512" hidden="1">
          <a:extLst>
            <a:ext uri="{FF2B5EF4-FFF2-40B4-BE49-F238E27FC236}">
              <a16:creationId xmlns:a16="http://schemas.microsoft.com/office/drawing/2014/main" id="{00000000-0008-0000-0D00-00000102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153</xdr:row>
      <xdr:rowOff>2412999</xdr:rowOff>
    </xdr:from>
    <xdr:to>
      <xdr:col>2</xdr:col>
      <xdr:colOff>5327402</xdr:colOff>
      <xdr:row>153</xdr:row>
      <xdr:rowOff>2712356</xdr:rowOff>
    </xdr:to>
    <xdr:sp macro="" textlink="">
      <xdr:nvSpPr>
        <xdr:cNvPr id="514" name="ZoneTexte 513" hidden="1">
          <a:extLst>
            <a:ext uri="{FF2B5EF4-FFF2-40B4-BE49-F238E27FC236}">
              <a16:creationId xmlns:a16="http://schemas.microsoft.com/office/drawing/2014/main" id="{00000000-0008-0000-0D00-000002020000}"/>
            </a:ext>
          </a:extLst>
        </xdr:cNvPr>
        <xdr:cNvSpPr txBox="1"/>
      </xdr:nvSpPr>
      <xdr:spPr>
        <a:xfrm>
          <a:off x="6021820" y="17373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153</xdr:row>
      <xdr:rowOff>3706090</xdr:rowOff>
    </xdr:from>
    <xdr:to>
      <xdr:col>2</xdr:col>
      <xdr:colOff>5142675</xdr:colOff>
      <xdr:row>153</xdr:row>
      <xdr:rowOff>4005447</xdr:rowOff>
    </xdr:to>
    <xdr:sp macro="" textlink="">
      <xdr:nvSpPr>
        <xdr:cNvPr id="515" name="ZoneTexte 514" hidden="1">
          <a:extLst>
            <a:ext uri="{FF2B5EF4-FFF2-40B4-BE49-F238E27FC236}">
              <a16:creationId xmlns:a16="http://schemas.microsoft.com/office/drawing/2014/main" id="{00000000-0008-0000-0D00-000003020000}"/>
            </a:ext>
          </a:extLst>
        </xdr:cNvPr>
        <xdr:cNvSpPr txBox="1"/>
      </xdr:nvSpPr>
      <xdr:spPr>
        <a:xfrm>
          <a:off x="6027593" y="173736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18" name="ZoneTexte 517" hidden="1">
          <a:extLst>
            <a:ext uri="{FF2B5EF4-FFF2-40B4-BE49-F238E27FC236}">
              <a16:creationId xmlns:a16="http://schemas.microsoft.com/office/drawing/2014/main" id="{00000000-0008-0000-0D00-00000602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153</xdr:row>
      <xdr:rowOff>2412999</xdr:rowOff>
    </xdr:from>
    <xdr:to>
      <xdr:col>2</xdr:col>
      <xdr:colOff>5327402</xdr:colOff>
      <xdr:row>153</xdr:row>
      <xdr:rowOff>2712356</xdr:rowOff>
    </xdr:to>
    <xdr:sp macro="" textlink="">
      <xdr:nvSpPr>
        <xdr:cNvPr id="521" name="ZoneTexte 520" hidden="1">
          <a:extLst>
            <a:ext uri="{FF2B5EF4-FFF2-40B4-BE49-F238E27FC236}">
              <a16:creationId xmlns:a16="http://schemas.microsoft.com/office/drawing/2014/main" id="{00000000-0008-0000-0D00-000009020000}"/>
            </a:ext>
          </a:extLst>
        </xdr:cNvPr>
        <xdr:cNvSpPr txBox="1"/>
      </xdr:nvSpPr>
      <xdr:spPr>
        <a:xfrm>
          <a:off x="6021820" y="17373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153</xdr:row>
      <xdr:rowOff>3706090</xdr:rowOff>
    </xdr:from>
    <xdr:to>
      <xdr:col>2</xdr:col>
      <xdr:colOff>5142675</xdr:colOff>
      <xdr:row>153</xdr:row>
      <xdr:rowOff>4005447</xdr:rowOff>
    </xdr:to>
    <xdr:sp macro="" textlink="">
      <xdr:nvSpPr>
        <xdr:cNvPr id="522" name="ZoneTexte 521" hidden="1">
          <a:extLst>
            <a:ext uri="{FF2B5EF4-FFF2-40B4-BE49-F238E27FC236}">
              <a16:creationId xmlns:a16="http://schemas.microsoft.com/office/drawing/2014/main" id="{00000000-0008-0000-0D00-00000A020000}"/>
            </a:ext>
          </a:extLst>
        </xdr:cNvPr>
        <xdr:cNvSpPr txBox="1"/>
      </xdr:nvSpPr>
      <xdr:spPr>
        <a:xfrm>
          <a:off x="6027593" y="173736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25" name="ZoneTexte 524" hidden="1">
          <a:extLst>
            <a:ext uri="{FF2B5EF4-FFF2-40B4-BE49-F238E27FC236}">
              <a16:creationId xmlns:a16="http://schemas.microsoft.com/office/drawing/2014/main" id="{00000000-0008-0000-0D00-00000D02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30" name="ZoneTexte 529" hidden="1">
          <a:extLst>
            <a:ext uri="{FF2B5EF4-FFF2-40B4-BE49-F238E27FC236}">
              <a16:creationId xmlns:a16="http://schemas.microsoft.com/office/drawing/2014/main" id="{00000000-0008-0000-0D00-00001202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31" name="ZoneTexte 530" hidden="1">
          <a:extLst>
            <a:ext uri="{FF2B5EF4-FFF2-40B4-BE49-F238E27FC236}">
              <a16:creationId xmlns:a16="http://schemas.microsoft.com/office/drawing/2014/main" id="{00000000-0008-0000-0D00-00001302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36" name="ZoneTexte 535" hidden="1">
          <a:extLst>
            <a:ext uri="{FF2B5EF4-FFF2-40B4-BE49-F238E27FC236}">
              <a16:creationId xmlns:a16="http://schemas.microsoft.com/office/drawing/2014/main" id="{00000000-0008-0000-0D00-00001802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37" name="ZoneTexte 536" hidden="1">
          <a:extLst>
            <a:ext uri="{FF2B5EF4-FFF2-40B4-BE49-F238E27FC236}">
              <a16:creationId xmlns:a16="http://schemas.microsoft.com/office/drawing/2014/main" id="{00000000-0008-0000-0D00-00001902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153</xdr:row>
      <xdr:rowOff>2412999</xdr:rowOff>
    </xdr:from>
    <xdr:to>
      <xdr:col>2</xdr:col>
      <xdr:colOff>5327402</xdr:colOff>
      <xdr:row>153</xdr:row>
      <xdr:rowOff>2712356</xdr:rowOff>
    </xdr:to>
    <xdr:sp macro="" textlink="">
      <xdr:nvSpPr>
        <xdr:cNvPr id="542" name="ZoneTexte 541" hidden="1">
          <a:extLst>
            <a:ext uri="{FF2B5EF4-FFF2-40B4-BE49-F238E27FC236}">
              <a16:creationId xmlns:a16="http://schemas.microsoft.com/office/drawing/2014/main" id="{00000000-0008-0000-0D00-00001E020000}"/>
            </a:ext>
          </a:extLst>
        </xdr:cNvPr>
        <xdr:cNvSpPr txBox="1"/>
      </xdr:nvSpPr>
      <xdr:spPr>
        <a:xfrm>
          <a:off x="6021820" y="17373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154</xdr:row>
      <xdr:rowOff>2412999</xdr:rowOff>
    </xdr:from>
    <xdr:to>
      <xdr:col>2</xdr:col>
      <xdr:colOff>5327402</xdr:colOff>
      <xdr:row>154</xdr:row>
      <xdr:rowOff>2712356</xdr:rowOff>
    </xdr:to>
    <xdr:sp macro="" textlink="">
      <xdr:nvSpPr>
        <xdr:cNvPr id="543" name="ZoneTexte 542" hidden="1">
          <a:extLst>
            <a:ext uri="{FF2B5EF4-FFF2-40B4-BE49-F238E27FC236}">
              <a16:creationId xmlns:a16="http://schemas.microsoft.com/office/drawing/2014/main" id="{00000000-0008-0000-0D00-00001F020000}"/>
            </a:ext>
          </a:extLst>
        </xdr:cNvPr>
        <xdr:cNvSpPr txBox="1"/>
      </xdr:nvSpPr>
      <xdr:spPr>
        <a:xfrm>
          <a:off x="6021820" y="176148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44" name="ZoneTexte 543" hidden="1">
          <a:extLst>
            <a:ext uri="{FF2B5EF4-FFF2-40B4-BE49-F238E27FC236}">
              <a16:creationId xmlns:a16="http://schemas.microsoft.com/office/drawing/2014/main" id="{00000000-0008-0000-0D00-00002002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153</xdr:row>
      <xdr:rowOff>2412999</xdr:rowOff>
    </xdr:from>
    <xdr:to>
      <xdr:col>2</xdr:col>
      <xdr:colOff>5327402</xdr:colOff>
      <xdr:row>153</xdr:row>
      <xdr:rowOff>2712356</xdr:rowOff>
    </xdr:to>
    <xdr:sp macro="" textlink="">
      <xdr:nvSpPr>
        <xdr:cNvPr id="545" name="ZoneTexte 544" hidden="1">
          <a:extLst>
            <a:ext uri="{FF2B5EF4-FFF2-40B4-BE49-F238E27FC236}">
              <a16:creationId xmlns:a16="http://schemas.microsoft.com/office/drawing/2014/main" id="{00000000-0008-0000-0D00-000021020000}"/>
            </a:ext>
          </a:extLst>
        </xdr:cNvPr>
        <xdr:cNvSpPr txBox="1"/>
      </xdr:nvSpPr>
      <xdr:spPr>
        <a:xfrm>
          <a:off x="6021820" y="17373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154</xdr:row>
      <xdr:rowOff>2412999</xdr:rowOff>
    </xdr:from>
    <xdr:to>
      <xdr:col>2</xdr:col>
      <xdr:colOff>5327402</xdr:colOff>
      <xdr:row>154</xdr:row>
      <xdr:rowOff>2712356</xdr:rowOff>
    </xdr:to>
    <xdr:sp macro="" textlink="">
      <xdr:nvSpPr>
        <xdr:cNvPr id="546" name="ZoneTexte 545" hidden="1">
          <a:extLst>
            <a:ext uri="{FF2B5EF4-FFF2-40B4-BE49-F238E27FC236}">
              <a16:creationId xmlns:a16="http://schemas.microsoft.com/office/drawing/2014/main" id="{00000000-0008-0000-0D00-000022020000}"/>
            </a:ext>
          </a:extLst>
        </xdr:cNvPr>
        <xdr:cNvSpPr txBox="1"/>
      </xdr:nvSpPr>
      <xdr:spPr>
        <a:xfrm>
          <a:off x="6021820" y="176148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47" name="ZoneTexte 546" hidden="1">
          <a:extLst>
            <a:ext uri="{FF2B5EF4-FFF2-40B4-BE49-F238E27FC236}">
              <a16:creationId xmlns:a16="http://schemas.microsoft.com/office/drawing/2014/main" id="{00000000-0008-0000-0D00-00002302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48" name="ZoneTexte 547" hidden="1">
          <a:extLst>
            <a:ext uri="{FF2B5EF4-FFF2-40B4-BE49-F238E27FC236}">
              <a16:creationId xmlns:a16="http://schemas.microsoft.com/office/drawing/2014/main" id="{00000000-0008-0000-0D00-00002402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168</xdr:row>
      <xdr:rowOff>2412999</xdr:rowOff>
    </xdr:from>
    <xdr:to>
      <xdr:col>2</xdr:col>
      <xdr:colOff>5327402</xdr:colOff>
      <xdr:row>168</xdr:row>
      <xdr:rowOff>2712356</xdr:rowOff>
    </xdr:to>
    <xdr:sp macro="" textlink="">
      <xdr:nvSpPr>
        <xdr:cNvPr id="549" name="ZoneTexte 548" hidden="1">
          <a:extLst>
            <a:ext uri="{FF2B5EF4-FFF2-40B4-BE49-F238E27FC236}">
              <a16:creationId xmlns:a16="http://schemas.microsoft.com/office/drawing/2014/main" id="{00000000-0008-0000-0D00-000025020000}"/>
            </a:ext>
          </a:extLst>
        </xdr:cNvPr>
        <xdr:cNvSpPr txBox="1"/>
      </xdr:nvSpPr>
      <xdr:spPr>
        <a:xfrm>
          <a:off x="6021820" y="190690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154</xdr:row>
      <xdr:rowOff>2412999</xdr:rowOff>
    </xdr:from>
    <xdr:to>
      <xdr:col>2</xdr:col>
      <xdr:colOff>5327402</xdr:colOff>
      <xdr:row>154</xdr:row>
      <xdr:rowOff>2712356</xdr:rowOff>
    </xdr:to>
    <xdr:sp macro="" textlink="">
      <xdr:nvSpPr>
        <xdr:cNvPr id="550" name="ZoneTexte 549" hidden="1">
          <a:extLst>
            <a:ext uri="{FF2B5EF4-FFF2-40B4-BE49-F238E27FC236}">
              <a16:creationId xmlns:a16="http://schemas.microsoft.com/office/drawing/2014/main" id="{00000000-0008-0000-0D00-000026020000}"/>
            </a:ext>
          </a:extLst>
        </xdr:cNvPr>
        <xdr:cNvSpPr txBox="1"/>
      </xdr:nvSpPr>
      <xdr:spPr>
        <a:xfrm>
          <a:off x="6021820" y="176148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154</xdr:row>
      <xdr:rowOff>2412999</xdr:rowOff>
    </xdr:from>
    <xdr:to>
      <xdr:col>2</xdr:col>
      <xdr:colOff>5327402</xdr:colOff>
      <xdr:row>154</xdr:row>
      <xdr:rowOff>2712356</xdr:rowOff>
    </xdr:to>
    <xdr:sp macro="" textlink="">
      <xdr:nvSpPr>
        <xdr:cNvPr id="551" name="ZoneTexte 550" hidden="1">
          <a:extLst>
            <a:ext uri="{FF2B5EF4-FFF2-40B4-BE49-F238E27FC236}">
              <a16:creationId xmlns:a16="http://schemas.microsoft.com/office/drawing/2014/main" id="{00000000-0008-0000-0D00-000027020000}"/>
            </a:ext>
          </a:extLst>
        </xdr:cNvPr>
        <xdr:cNvSpPr txBox="1"/>
      </xdr:nvSpPr>
      <xdr:spPr>
        <a:xfrm>
          <a:off x="6021820" y="176148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154</xdr:row>
      <xdr:rowOff>2412999</xdr:rowOff>
    </xdr:from>
    <xdr:to>
      <xdr:col>2</xdr:col>
      <xdr:colOff>5327402</xdr:colOff>
      <xdr:row>154</xdr:row>
      <xdr:rowOff>2712356</xdr:rowOff>
    </xdr:to>
    <xdr:sp macro="" textlink="">
      <xdr:nvSpPr>
        <xdr:cNvPr id="552" name="ZoneTexte 551" hidden="1">
          <a:extLst>
            <a:ext uri="{FF2B5EF4-FFF2-40B4-BE49-F238E27FC236}">
              <a16:creationId xmlns:a16="http://schemas.microsoft.com/office/drawing/2014/main" id="{00000000-0008-0000-0D00-000028020000}"/>
            </a:ext>
          </a:extLst>
        </xdr:cNvPr>
        <xdr:cNvSpPr txBox="1"/>
      </xdr:nvSpPr>
      <xdr:spPr>
        <a:xfrm>
          <a:off x="6021820" y="176148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154</xdr:row>
      <xdr:rowOff>2412999</xdr:rowOff>
    </xdr:from>
    <xdr:to>
      <xdr:col>2</xdr:col>
      <xdr:colOff>5327402</xdr:colOff>
      <xdr:row>154</xdr:row>
      <xdr:rowOff>2712356</xdr:rowOff>
    </xdr:to>
    <xdr:sp macro="" textlink="">
      <xdr:nvSpPr>
        <xdr:cNvPr id="553" name="ZoneTexte 552" hidden="1">
          <a:extLst>
            <a:ext uri="{FF2B5EF4-FFF2-40B4-BE49-F238E27FC236}">
              <a16:creationId xmlns:a16="http://schemas.microsoft.com/office/drawing/2014/main" id="{00000000-0008-0000-0D00-000029020000}"/>
            </a:ext>
          </a:extLst>
        </xdr:cNvPr>
        <xdr:cNvSpPr txBox="1"/>
      </xdr:nvSpPr>
      <xdr:spPr>
        <a:xfrm>
          <a:off x="6021820" y="176148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154</xdr:row>
      <xdr:rowOff>2412999</xdr:rowOff>
    </xdr:from>
    <xdr:to>
      <xdr:col>2</xdr:col>
      <xdr:colOff>5327402</xdr:colOff>
      <xdr:row>154</xdr:row>
      <xdr:rowOff>2712356</xdr:rowOff>
    </xdr:to>
    <xdr:sp macro="" textlink="">
      <xdr:nvSpPr>
        <xdr:cNvPr id="554" name="ZoneTexte 553" hidden="1">
          <a:extLst>
            <a:ext uri="{FF2B5EF4-FFF2-40B4-BE49-F238E27FC236}">
              <a16:creationId xmlns:a16="http://schemas.microsoft.com/office/drawing/2014/main" id="{00000000-0008-0000-0D00-00002A020000}"/>
            </a:ext>
          </a:extLst>
        </xdr:cNvPr>
        <xdr:cNvSpPr txBox="1"/>
      </xdr:nvSpPr>
      <xdr:spPr>
        <a:xfrm>
          <a:off x="6021820" y="176148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154</xdr:row>
      <xdr:rowOff>2412999</xdr:rowOff>
    </xdr:from>
    <xdr:to>
      <xdr:col>2</xdr:col>
      <xdr:colOff>5327402</xdr:colOff>
      <xdr:row>154</xdr:row>
      <xdr:rowOff>2712356</xdr:rowOff>
    </xdr:to>
    <xdr:sp macro="" textlink="">
      <xdr:nvSpPr>
        <xdr:cNvPr id="555" name="ZoneTexte 554" hidden="1">
          <a:extLst>
            <a:ext uri="{FF2B5EF4-FFF2-40B4-BE49-F238E27FC236}">
              <a16:creationId xmlns:a16="http://schemas.microsoft.com/office/drawing/2014/main" id="{00000000-0008-0000-0D00-00002B020000}"/>
            </a:ext>
          </a:extLst>
        </xdr:cNvPr>
        <xdr:cNvSpPr txBox="1"/>
      </xdr:nvSpPr>
      <xdr:spPr>
        <a:xfrm>
          <a:off x="6021820" y="176148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154</xdr:row>
      <xdr:rowOff>2412999</xdr:rowOff>
    </xdr:from>
    <xdr:to>
      <xdr:col>2</xdr:col>
      <xdr:colOff>5327402</xdr:colOff>
      <xdr:row>154</xdr:row>
      <xdr:rowOff>2712356</xdr:rowOff>
    </xdr:to>
    <xdr:sp macro="" textlink="">
      <xdr:nvSpPr>
        <xdr:cNvPr id="556" name="ZoneTexte 555" hidden="1">
          <a:extLst>
            <a:ext uri="{FF2B5EF4-FFF2-40B4-BE49-F238E27FC236}">
              <a16:creationId xmlns:a16="http://schemas.microsoft.com/office/drawing/2014/main" id="{00000000-0008-0000-0D00-00002C020000}"/>
            </a:ext>
          </a:extLst>
        </xdr:cNvPr>
        <xdr:cNvSpPr txBox="1"/>
      </xdr:nvSpPr>
      <xdr:spPr>
        <a:xfrm>
          <a:off x="6021820" y="176148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154</xdr:row>
      <xdr:rowOff>2412999</xdr:rowOff>
    </xdr:from>
    <xdr:to>
      <xdr:col>2</xdr:col>
      <xdr:colOff>5327402</xdr:colOff>
      <xdr:row>154</xdr:row>
      <xdr:rowOff>2712356</xdr:rowOff>
    </xdr:to>
    <xdr:sp macro="" textlink="">
      <xdr:nvSpPr>
        <xdr:cNvPr id="558" name="ZoneTexte 557" hidden="1">
          <a:extLst>
            <a:ext uri="{FF2B5EF4-FFF2-40B4-BE49-F238E27FC236}">
              <a16:creationId xmlns:a16="http://schemas.microsoft.com/office/drawing/2014/main" id="{00000000-0008-0000-0D00-00002E020000}"/>
            </a:ext>
          </a:extLst>
        </xdr:cNvPr>
        <xdr:cNvSpPr txBox="1"/>
      </xdr:nvSpPr>
      <xdr:spPr>
        <a:xfrm>
          <a:off x="6021820" y="176148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560" name="ZoneTexte 559" hidden="1">
          <a:extLst>
            <a:ext uri="{FF2B5EF4-FFF2-40B4-BE49-F238E27FC236}">
              <a16:creationId xmlns:a16="http://schemas.microsoft.com/office/drawing/2014/main" id="{00000000-0008-0000-0D00-000030020000}"/>
            </a:ext>
          </a:extLst>
        </xdr:cNvPr>
        <xdr:cNvSpPr txBox="1"/>
      </xdr:nvSpPr>
      <xdr:spPr>
        <a:xfrm>
          <a:off x="6021820" y="184089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561" name="ZoneTexte 560" hidden="1">
          <a:extLst>
            <a:ext uri="{FF2B5EF4-FFF2-40B4-BE49-F238E27FC236}">
              <a16:creationId xmlns:a16="http://schemas.microsoft.com/office/drawing/2014/main" id="{00000000-0008-0000-0D00-000031020000}"/>
            </a:ext>
          </a:extLst>
        </xdr:cNvPr>
        <xdr:cNvSpPr txBox="1"/>
      </xdr:nvSpPr>
      <xdr:spPr>
        <a:xfrm>
          <a:off x="6021820" y="184089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171</xdr:row>
      <xdr:rowOff>2412999</xdr:rowOff>
    </xdr:from>
    <xdr:to>
      <xdr:col>2</xdr:col>
      <xdr:colOff>5327402</xdr:colOff>
      <xdr:row>171</xdr:row>
      <xdr:rowOff>2712356</xdr:rowOff>
    </xdr:to>
    <xdr:sp macro="" textlink="">
      <xdr:nvSpPr>
        <xdr:cNvPr id="566" name="ZoneTexte 565" hidden="1">
          <a:extLst>
            <a:ext uri="{FF2B5EF4-FFF2-40B4-BE49-F238E27FC236}">
              <a16:creationId xmlns:a16="http://schemas.microsoft.com/office/drawing/2014/main" id="{00000000-0008-0000-0D00-000036020000}"/>
            </a:ext>
          </a:extLst>
        </xdr:cNvPr>
        <xdr:cNvSpPr txBox="1"/>
      </xdr:nvSpPr>
      <xdr:spPr>
        <a:xfrm>
          <a:off x="6021820" y="198821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171</xdr:row>
      <xdr:rowOff>3706090</xdr:rowOff>
    </xdr:from>
    <xdr:to>
      <xdr:col>2</xdr:col>
      <xdr:colOff>5142675</xdr:colOff>
      <xdr:row>171</xdr:row>
      <xdr:rowOff>4005447</xdr:rowOff>
    </xdr:to>
    <xdr:sp macro="" textlink="">
      <xdr:nvSpPr>
        <xdr:cNvPr id="567" name="ZoneTexte 566" hidden="1">
          <a:extLst>
            <a:ext uri="{FF2B5EF4-FFF2-40B4-BE49-F238E27FC236}">
              <a16:creationId xmlns:a16="http://schemas.microsoft.com/office/drawing/2014/main" id="{00000000-0008-0000-0D00-000037020000}"/>
            </a:ext>
          </a:extLst>
        </xdr:cNvPr>
        <xdr:cNvSpPr txBox="1"/>
      </xdr:nvSpPr>
      <xdr:spPr>
        <a:xfrm>
          <a:off x="6027593" y="198819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570" name="ZoneTexte 569" hidden="1">
          <a:extLst>
            <a:ext uri="{FF2B5EF4-FFF2-40B4-BE49-F238E27FC236}">
              <a16:creationId xmlns:a16="http://schemas.microsoft.com/office/drawing/2014/main" id="{00000000-0008-0000-0D00-00003A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171</xdr:row>
      <xdr:rowOff>2412999</xdr:rowOff>
    </xdr:from>
    <xdr:to>
      <xdr:col>2</xdr:col>
      <xdr:colOff>5327402</xdr:colOff>
      <xdr:row>171</xdr:row>
      <xdr:rowOff>2712356</xdr:rowOff>
    </xdr:to>
    <xdr:sp macro="" textlink="">
      <xdr:nvSpPr>
        <xdr:cNvPr id="573" name="ZoneTexte 572" hidden="1">
          <a:extLst>
            <a:ext uri="{FF2B5EF4-FFF2-40B4-BE49-F238E27FC236}">
              <a16:creationId xmlns:a16="http://schemas.microsoft.com/office/drawing/2014/main" id="{00000000-0008-0000-0D00-00003D020000}"/>
            </a:ext>
          </a:extLst>
        </xdr:cNvPr>
        <xdr:cNvSpPr txBox="1"/>
      </xdr:nvSpPr>
      <xdr:spPr>
        <a:xfrm>
          <a:off x="6021820" y="198821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171</xdr:row>
      <xdr:rowOff>3706090</xdr:rowOff>
    </xdr:from>
    <xdr:to>
      <xdr:col>2</xdr:col>
      <xdr:colOff>5142675</xdr:colOff>
      <xdr:row>171</xdr:row>
      <xdr:rowOff>4005447</xdr:rowOff>
    </xdr:to>
    <xdr:sp macro="" textlink="">
      <xdr:nvSpPr>
        <xdr:cNvPr id="574" name="ZoneTexte 573" hidden="1">
          <a:extLst>
            <a:ext uri="{FF2B5EF4-FFF2-40B4-BE49-F238E27FC236}">
              <a16:creationId xmlns:a16="http://schemas.microsoft.com/office/drawing/2014/main" id="{00000000-0008-0000-0D00-00003E020000}"/>
            </a:ext>
          </a:extLst>
        </xdr:cNvPr>
        <xdr:cNvSpPr txBox="1"/>
      </xdr:nvSpPr>
      <xdr:spPr>
        <a:xfrm>
          <a:off x="6027593" y="198819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577" name="ZoneTexte 576" hidden="1">
          <a:extLst>
            <a:ext uri="{FF2B5EF4-FFF2-40B4-BE49-F238E27FC236}">
              <a16:creationId xmlns:a16="http://schemas.microsoft.com/office/drawing/2014/main" id="{00000000-0008-0000-0D00-000041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582" name="ZoneTexte 581" hidden="1">
          <a:extLst>
            <a:ext uri="{FF2B5EF4-FFF2-40B4-BE49-F238E27FC236}">
              <a16:creationId xmlns:a16="http://schemas.microsoft.com/office/drawing/2014/main" id="{00000000-0008-0000-0D00-000046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583" name="ZoneTexte 582" hidden="1">
          <a:extLst>
            <a:ext uri="{FF2B5EF4-FFF2-40B4-BE49-F238E27FC236}">
              <a16:creationId xmlns:a16="http://schemas.microsoft.com/office/drawing/2014/main" id="{00000000-0008-0000-0D00-000047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171</xdr:row>
      <xdr:rowOff>2412999</xdr:rowOff>
    </xdr:from>
    <xdr:to>
      <xdr:col>2</xdr:col>
      <xdr:colOff>5327402</xdr:colOff>
      <xdr:row>171</xdr:row>
      <xdr:rowOff>2712356</xdr:rowOff>
    </xdr:to>
    <xdr:sp macro="" textlink="">
      <xdr:nvSpPr>
        <xdr:cNvPr id="588" name="ZoneTexte 587" hidden="1">
          <a:extLst>
            <a:ext uri="{FF2B5EF4-FFF2-40B4-BE49-F238E27FC236}">
              <a16:creationId xmlns:a16="http://schemas.microsoft.com/office/drawing/2014/main" id="{00000000-0008-0000-0D00-00004C020000}"/>
            </a:ext>
          </a:extLst>
        </xdr:cNvPr>
        <xdr:cNvSpPr txBox="1"/>
      </xdr:nvSpPr>
      <xdr:spPr>
        <a:xfrm>
          <a:off x="6021820" y="198821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171</xdr:row>
      <xdr:rowOff>3706090</xdr:rowOff>
    </xdr:from>
    <xdr:to>
      <xdr:col>2</xdr:col>
      <xdr:colOff>5142675</xdr:colOff>
      <xdr:row>171</xdr:row>
      <xdr:rowOff>4005447</xdr:rowOff>
    </xdr:to>
    <xdr:sp macro="" textlink="">
      <xdr:nvSpPr>
        <xdr:cNvPr id="589" name="ZoneTexte 588" hidden="1">
          <a:extLst>
            <a:ext uri="{FF2B5EF4-FFF2-40B4-BE49-F238E27FC236}">
              <a16:creationId xmlns:a16="http://schemas.microsoft.com/office/drawing/2014/main" id="{00000000-0008-0000-0D00-00004D020000}"/>
            </a:ext>
          </a:extLst>
        </xdr:cNvPr>
        <xdr:cNvSpPr txBox="1"/>
      </xdr:nvSpPr>
      <xdr:spPr>
        <a:xfrm>
          <a:off x="6027593" y="198819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592" name="ZoneTexte 591" hidden="1">
          <a:extLst>
            <a:ext uri="{FF2B5EF4-FFF2-40B4-BE49-F238E27FC236}">
              <a16:creationId xmlns:a16="http://schemas.microsoft.com/office/drawing/2014/main" id="{00000000-0008-0000-0D00-000050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171</xdr:row>
      <xdr:rowOff>2412999</xdr:rowOff>
    </xdr:from>
    <xdr:to>
      <xdr:col>2</xdr:col>
      <xdr:colOff>5327402</xdr:colOff>
      <xdr:row>171</xdr:row>
      <xdr:rowOff>2712356</xdr:rowOff>
    </xdr:to>
    <xdr:sp macro="" textlink="">
      <xdr:nvSpPr>
        <xdr:cNvPr id="595" name="ZoneTexte 594" hidden="1">
          <a:extLst>
            <a:ext uri="{FF2B5EF4-FFF2-40B4-BE49-F238E27FC236}">
              <a16:creationId xmlns:a16="http://schemas.microsoft.com/office/drawing/2014/main" id="{00000000-0008-0000-0D00-000053020000}"/>
            </a:ext>
          </a:extLst>
        </xdr:cNvPr>
        <xdr:cNvSpPr txBox="1"/>
      </xdr:nvSpPr>
      <xdr:spPr>
        <a:xfrm>
          <a:off x="6021820" y="198821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171</xdr:row>
      <xdr:rowOff>3706090</xdr:rowOff>
    </xdr:from>
    <xdr:to>
      <xdr:col>2</xdr:col>
      <xdr:colOff>5142675</xdr:colOff>
      <xdr:row>171</xdr:row>
      <xdr:rowOff>4005447</xdr:rowOff>
    </xdr:to>
    <xdr:sp macro="" textlink="">
      <xdr:nvSpPr>
        <xdr:cNvPr id="596" name="ZoneTexte 595" hidden="1">
          <a:extLst>
            <a:ext uri="{FF2B5EF4-FFF2-40B4-BE49-F238E27FC236}">
              <a16:creationId xmlns:a16="http://schemas.microsoft.com/office/drawing/2014/main" id="{00000000-0008-0000-0D00-000054020000}"/>
            </a:ext>
          </a:extLst>
        </xdr:cNvPr>
        <xdr:cNvSpPr txBox="1"/>
      </xdr:nvSpPr>
      <xdr:spPr>
        <a:xfrm>
          <a:off x="6027593" y="198819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599" name="ZoneTexte 598" hidden="1">
          <a:extLst>
            <a:ext uri="{FF2B5EF4-FFF2-40B4-BE49-F238E27FC236}">
              <a16:creationId xmlns:a16="http://schemas.microsoft.com/office/drawing/2014/main" id="{00000000-0008-0000-0D00-000057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04" name="ZoneTexte 603" hidden="1">
          <a:extLst>
            <a:ext uri="{FF2B5EF4-FFF2-40B4-BE49-F238E27FC236}">
              <a16:creationId xmlns:a16="http://schemas.microsoft.com/office/drawing/2014/main" id="{00000000-0008-0000-0D00-00005C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05" name="ZoneTexte 604" hidden="1">
          <a:extLst>
            <a:ext uri="{FF2B5EF4-FFF2-40B4-BE49-F238E27FC236}">
              <a16:creationId xmlns:a16="http://schemas.microsoft.com/office/drawing/2014/main" id="{00000000-0008-0000-0D00-00005D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171</xdr:row>
      <xdr:rowOff>2412999</xdr:rowOff>
    </xdr:from>
    <xdr:to>
      <xdr:col>2</xdr:col>
      <xdr:colOff>5327402</xdr:colOff>
      <xdr:row>171</xdr:row>
      <xdr:rowOff>2712356</xdr:rowOff>
    </xdr:to>
    <xdr:sp macro="" textlink="">
      <xdr:nvSpPr>
        <xdr:cNvPr id="612" name="ZoneTexte 611" hidden="1">
          <a:extLst>
            <a:ext uri="{FF2B5EF4-FFF2-40B4-BE49-F238E27FC236}">
              <a16:creationId xmlns:a16="http://schemas.microsoft.com/office/drawing/2014/main" id="{00000000-0008-0000-0D00-000064020000}"/>
            </a:ext>
          </a:extLst>
        </xdr:cNvPr>
        <xdr:cNvSpPr txBox="1"/>
      </xdr:nvSpPr>
      <xdr:spPr>
        <a:xfrm>
          <a:off x="6021820" y="198821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171</xdr:row>
      <xdr:rowOff>3706090</xdr:rowOff>
    </xdr:from>
    <xdr:to>
      <xdr:col>2</xdr:col>
      <xdr:colOff>5142675</xdr:colOff>
      <xdr:row>171</xdr:row>
      <xdr:rowOff>4005447</xdr:rowOff>
    </xdr:to>
    <xdr:sp macro="" textlink="">
      <xdr:nvSpPr>
        <xdr:cNvPr id="613" name="ZoneTexte 612" hidden="1">
          <a:extLst>
            <a:ext uri="{FF2B5EF4-FFF2-40B4-BE49-F238E27FC236}">
              <a16:creationId xmlns:a16="http://schemas.microsoft.com/office/drawing/2014/main" id="{00000000-0008-0000-0D00-000065020000}"/>
            </a:ext>
          </a:extLst>
        </xdr:cNvPr>
        <xdr:cNvSpPr txBox="1"/>
      </xdr:nvSpPr>
      <xdr:spPr>
        <a:xfrm>
          <a:off x="6027593" y="198819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16" name="ZoneTexte 615" hidden="1">
          <a:extLst>
            <a:ext uri="{FF2B5EF4-FFF2-40B4-BE49-F238E27FC236}">
              <a16:creationId xmlns:a16="http://schemas.microsoft.com/office/drawing/2014/main" id="{00000000-0008-0000-0D00-000068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171</xdr:row>
      <xdr:rowOff>2412999</xdr:rowOff>
    </xdr:from>
    <xdr:to>
      <xdr:col>2</xdr:col>
      <xdr:colOff>5327402</xdr:colOff>
      <xdr:row>171</xdr:row>
      <xdr:rowOff>2712356</xdr:rowOff>
    </xdr:to>
    <xdr:sp macro="" textlink="">
      <xdr:nvSpPr>
        <xdr:cNvPr id="619" name="ZoneTexte 618" hidden="1">
          <a:extLst>
            <a:ext uri="{FF2B5EF4-FFF2-40B4-BE49-F238E27FC236}">
              <a16:creationId xmlns:a16="http://schemas.microsoft.com/office/drawing/2014/main" id="{00000000-0008-0000-0D00-00006B020000}"/>
            </a:ext>
          </a:extLst>
        </xdr:cNvPr>
        <xdr:cNvSpPr txBox="1"/>
      </xdr:nvSpPr>
      <xdr:spPr>
        <a:xfrm>
          <a:off x="6021820" y="198821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171</xdr:row>
      <xdr:rowOff>3706090</xdr:rowOff>
    </xdr:from>
    <xdr:to>
      <xdr:col>2</xdr:col>
      <xdr:colOff>5142675</xdr:colOff>
      <xdr:row>171</xdr:row>
      <xdr:rowOff>4005447</xdr:rowOff>
    </xdr:to>
    <xdr:sp macro="" textlink="">
      <xdr:nvSpPr>
        <xdr:cNvPr id="620" name="ZoneTexte 619" hidden="1">
          <a:extLst>
            <a:ext uri="{FF2B5EF4-FFF2-40B4-BE49-F238E27FC236}">
              <a16:creationId xmlns:a16="http://schemas.microsoft.com/office/drawing/2014/main" id="{00000000-0008-0000-0D00-00006C020000}"/>
            </a:ext>
          </a:extLst>
        </xdr:cNvPr>
        <xdr:cNvSpPr txBox="1"/>
      </xdr:nvSpPr>
      <xdr:spPr>
        <a:xfrm>
          <a:off x="6027593" y="198819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23" name="ZoneTexte 622" hidden="1">
          <a:extLst>
            <a:ext uri="{FF2B5EF4-FFF2-40B4-BE49-F238E27FC236}">
              <a16:creationId xmlns:a16="http://schemas.microsoft.com/office/drawing/2014/main" id="{00000000-0008-0000-0D00-00006F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28" name="ZoneTexte 627" hidden="1">
          <a:extLst>
            <a:ext uri="{FF2B5EF4-FFF2-40B4-BE49-F238E27FC236}">
              <a16:creationId xmlns:a16="http://schemas.microsoft.com/office/drawing/2014/main" id="{00000000-0008-0000-0D00-000074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29" name="ZoneTexte 628" hidden="1">
          <a:extLst>
            <a:ext uri="{FF2B5EF4-FFF2-40B4-BE49-F238E27FC236}">
              <a16:creationId xmlns:a16="http://schemas.microsoft.com/office/drawing/2014/main" id="{00000000-0008-0000-0D00-000075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171</xdr:row>
      <xdr:rowOff>2412999</xdr:rowOff>
    </xdr:from>
    <xdr:to>
      <xdr:col>2</xdr:col>
      <xdr:colOff>5327402</xdr:colOff>
      <xdr:row>171</xdr:row>
      <xdr:rowOff>2712356</xdr:rowOff>
    </xdr:to>
    <xdr:sp macro="" textlink="">
      <xdr:nvSpPr>
        <xdr:cNvPr id="630" name="ZoneTexte 629" hidden="1">
          <a:extLst>
            <a:ext uri="{FF2B5EF4-FFF2-40B4-BE49-F238E27FC236}">
              <a16:creationId xmlns:a16="http://schemas.microsoft.com/office/drawing/2014/main" id="{00000000-0008-0000-0D00-000076020000}"/>
            </a:ext>
          </a:extLst>
        </xdr:cNvPr>
        <xdr:cNvSpPr txBox="1"/>
      </xdr:nvSpPr>
      <xdr:spPr>
        <a:xfrm>
          <a:off x="6021820" y="198821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171</xdr:row>
      <xdr:rowOff>3706090</xdr:rowOff>
    </xdr:from>
    <xdr:to>
      <xdr:col>2</xdr:col>
      <xdr:colOff>5142675</xdr:colOff>
      <xdr:row>171</xdr:row>
      <xdr:rowOff>4005447</xdr:rowOff>
    </xdr:to>
    <xdr:sp macro="" textlink="">
      <xdr:nvSpPr>
        <xdr:cNvPr id="631" name="ZoneTexte 630" hidden="1">
          <a:extLst>
            <a:ext uri="{FF2B5EF4-FFF2-40B4-BE49-F238E27FC236}">
              <a16:creationId xmlns:a16="http://schemas.microsoft.com/office/drawing/2014/main" id="{00000000-0008-0000-0D00-000077020000}"/>
            </a:ext>
          </a:extLst>
        </xdr:cNvPr>
        <xdr:cNvSpPr txBox="1"/>
      </xdr:nvSpPr>
      <xdr:spPr>
        <a:xfrm>
          <a:off x="6027593" y="198819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34" name="ZoneTexte 633" hidden="1">
          <a:extLst>
            <a:ext uri="{FF2B5EF4-FFF2-40B4-BE49-F238E27FC236}">
              <a16:creationId xmlns:a16="http://schemas.microsoft.com/office/drawing/2014/main" id="{00000000-0008-0000-0D00-00007A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171</xdr:row>
      <xdr:rowOff>2412999</xdr:rowOff>
    </xdr:from>
    <xdr:to>
      <xdr:col>2</xdr:col>
      <xdr:colOff>5327402</xdr:colOff>
      <xdr:row>171</xdr:row>
      <xdr:rowOff>2712356</xdr:rowOff>
    </xdr:to>
    <xdr:sp macro="" textlink="">
      <xdr:nvSpPr>
        <xdr:cNvPr id="637" name="ZoneTexte 636" hidden="1">
          <a:extLst>
            <a:ext uri="{FF2B5EF4-FFF2-40B4-BE49-F238E27FC236}">
              <a16:creationId xmlns:a16="http://schemas.microsoft.com/office/drawing/2014/main" id="{00000000-0008-0000-0D00-00007D020000}"/>
            </a:ext>
          </a:extLst>
        </xdr:cNvPr>
        <xdr:cNvSpPr txBox="1"/>
      </xdr:nvSpPr>
      <xdr:spPr>
        <a:xfrm>
          <a:off x="6021820" y="198821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171</xdr:row>
      <xdr:rowOff>3706090</xdr:rowOff>
    </xdr:from>
    <xdr:to>
      <xdr:col>2</xdr:col>
      <xdr:colOff>5142675</xdr:colOff>
      <xdr:row>171</xdr:row>
      <xdr:rowOff>4005447</xdr:rowOff>
    </xdr:to>
    <xdr:sp macro="" textlink="">
      <xdr:nvSpPr>
        <xdr:cNvPr id="638" name="ZoneTexte 637" hidden="1">
          <a:extLst>
            <a:ext uri="{FF2B5EF4-FFF2-40B4-BE49-F238E27FC236}">
              <a16:creationId xmlns:a16="http://schemas.microsoft.com/office/drawing/2014/main" id="{00000000-0008-0000-0D00-00007E020000}"/>
            </a:ext>
          </a:extLst>
        </xdr:cNvPr>
        <xdr:cNvSpPr txBox="1"/>
      </xdr:nvSpPr>
      <xdr:spPr>
        <a:xfrm>
          <a:off x="6027593" y="198819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41" name="ZoneTexte 640" hidden="1">
          <a:extLst>
            <a:ext uri="{FF2B5EF4-FFF2-40B4-BE49-F238E27FC236}">
              <a16:creationId xmlns:a16="http://schemas.microsoft.com/office/drawing/2014/main" id="{00000000-0008-0000-0D00-000081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46" name="ZoneTexte 645" hidden="1">
          <a:extLst>
            <a:ext uri="{FF2B5EF4-FFF2-40B4-BE49-F238E27FC236}">
              <a16:creationId xmlns:a16="http://schemas.microsoft.com/office/drawing/2014/main" id="{00000000-0008-0000-0D00-000086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47" name="ZoneTexte 646" hidden="1">
          <a:extLst>
            <a:ext uri="{FF2B5EF4-FFF2-40B4-BE49-F238E27FC236}">
              <a16:creationId xmlns:a16="http://schemas.microsoft.com/office/drawing/2014/main" id="{00000000-0008-0000-0D00-000087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52" name="ZoneTexte 651" hidden="1">
          <a:extLst>
            <a:ext uri="{FF2B5EF4-FFF2-40B4-BE49-F238E27FC236}">
              <a16:creationId xmlns:a16="http://schemas.microsoft.com/office/drawing/2014/main" id="{00000000-0008-0000-0D00-00008C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53" name="ZoneTexte 652" hidden="1">
          <a:extLst>
            <a:ext uri="{FF2B5EF4-FFF2-40B4-BE49-F238E27FC236}">
              <a16:creationId xmlns:a16="http://schemas.microsoft.com/office/drawing/2014/main" id="{00000000-0008-0000-0D00-00008D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171</xdr:row>
      <xdr:rowOff>2412999</xdr:rowOff>
    </xdr:from>
    <xdr:to>
      <xdr:col>2</xdr:col>
      <xdr:colOff>5327402</xdr:colOff>
      <xdr:row>171</xdr:row>
      <xdr:rowOff>2712356</xdr:rowOff>
    </xdr:to>
    <xdr:sp macro="" textlink="">
      <xdr:nvSpPr>
        <xdr:cNvPr id="658" name="ZoneTexte 657" hidden="1">
          <a:extLst>
            <a:ext uri="{FF2B5EF4-FFF2-40B4-BE49-F238E27FC236}">
              <a16:creationId xmlns:a16="http://schemas.microsoft.com/office/drawing/2014/main" id="{00000000-0008-0000-0D00-000092020000}"/>
            </a:ext>
          </a:extLst>
        </xdr:cNvPr>
        <xdr:cNvSpPr txBox="1"/>
      </xdr:nvSpPr>
      <xdr:spPr>
        <a:xfrm>
          <a:off x="6021820" y="198821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659" name="ZoneTexte 658" hidden="1">
          <a:extLst>
            <a:ext uri="{FF2B5EF4-FFF2-40B4-BE49-F238E27FC236}">
              <a16:creationId xmlns:a16="http://schemas.microsoft.com/office/drawing/2014/main" id="{00000000-0008-0000-0D00-000093020000}"/>
            </a:ext>
          </a:extLst>
        </xdr:cNvPr>
        <xdr:cNvSpPr txBox="1"/>
      </xdr:nvSpPr>
      <xdr:spPr>
        <a:xfrm>
          <a:off x="6021820" y="201231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60" name="ZoneTexte 659" hidden="1">
          <a:extLst>
            <a:ext uri="{FF2B5EF4-FFF2-40B4-BE49-F238E27FC236}">
              <a16:creationId xmlns:a16="http://schemas.microsoft.com/office/drawing/2014/main" id="{00000000-0008-0000-0D00-000094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171</xdr:row>
      <xdr:rowOff>2412999</xdr:rowOff>
    </xdr:from>
    <xdr:to>
      <xdr:col>2</xdr:col>
      <xdr:colOff>5327402</xdr:colOff>
      <xdr:row>171</xdr:row>
      <xdr:rowOff>2712356</xdr:rowOff>
    </xdr:to>
    <xdr:sp macro="" textlink="">
      <xdr:nvSpPr>
        <xdr:cNvPr id="661" name="ZoneTexte 660" hidden="1">
          <a:extLst>
            <a:ext uri="{FF2B5EF4-FFF2-40B4-BE49-F238E27FC236}">
              <a16:creationId xmlns:a16="http://schemas.microsoft.com/office/drawing/2014/main" id="{00000000-0008-0000-0D00-000095020000}"/>
            </a:ext>
          </a:extLst>
        </xdr:cNvPr>
        <xdr:cNvSpPr txBox="1"/>
      </xdr:nvSpPr>
      <xdr:spPr>
        <a:xfrm>
          <a:off x="6021820" y="198821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662" name="ZoneTexte 661" hidden="1">
          <a:extLst>
            <a:ext uri="{FF2B5EF4-FFF2-40B4-BE49-F238E27FC236}">
              <a16:creationId xmlns:a16="http://schemas.microsoft.com/office/drawing/2014/main" id="{00000000-0008-0000-0D00-000096020000}"/>
            </a:ext>
          </a:extLst>
        </xdr:cNvPr>
        <xdr:cNvSpPr txBox="1"/>
      </xdr:nvSpPr>
      <xdr:spPr>
        <a:xfrm>
          <a:off x="6021820" y="201231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63" name="ZoneTexte 662" hidden="1">
          <a:extLst>
            <a:ext uri="{FF2B5EF4-FFF2-40B4-BE49-F238E27FC236}">
              <a16:creationId xmlns:a16="http://schemas.microsoft.com/office/drawing/2014/main" id="{00000000-0008-0000-0D00-000097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64" name="ZoneTexte 663" hidden="1">
          <a:extLst>
            <a:ext uri="{FF2B5EF4-FFF2-40B4-BE49-F238E27FC236}">
              <a16:creationId xmlns:a16="http://schemas.microsoft.com/office/drawing/2014/main" id="{00000000-0008-0000-0D00-000098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186</xdr:row>
      <xdr:rowOff>2412999</xdr:rowOff>
    </xdr:from>
    <xdr:to>
      <xdr:col>2</xdr:col>
      <xdr:colOff>5327402</xdr:colOff>
      <xdr:row>186</xdr:row>
      <xdr:rowOff>2712356</xdr:rowOff>
    </xdr:to>
    <xdr:sp macro="" textlink="">
      <xdr:nvSpPr>
        <xdr:cNvPr id="665" name="ZoneTexte 664" hidden="1">
          <a:extLst>
            <a:ext uri="{FF2B5EF4-FFF2-40B4-BE49-F238E27FC236}">
              <a16:creationId xmlns:a16="http://schemas.microsoft.com/office/drawing/2014/main" id="{00000000-0008-0000-0D00-000099020000}"/>
            </a:ext>
          </a:extLst>
        </xdr:cNvPr>
        <xdr:cNvSpPr txBox="1"/>
      </xdr:nvSpPr>
      <xdr:spPr>
        <a:xfrm>
          <a:off x="6021820" y="21577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666" name="ZoneTexte 665" hidden="1">
          <a:extLst>
            <a:ext uri="{FF2B5EF4-FFF2-40B4-BE49-F238E27FC236}">
              <a16:creationId xmlns:a16="http://schemas.microsoft.com/office/drawing/2014/main" id="{00000000-0008-0000-0D00-00009A020000}"/>
            </a:ext>
          </a:extLst>
        </xdr:cNvPr>
        <xdr:cNvSpPr txBox="1"/>
      </xdr:nvSpPr>
      <xdr:spPr>
        <a:xfrm>
          <a:off x="6021820" y="201231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667" name="ZoneTexte 666" hidden="1">
          <a:extLst>
            <a:ext uri="{FF2B5EF4-FFF2-40B4-BE49-F238E27FC236}">
              <a16:creationId xmlns:a16="http://schemas.microsoft.com/office/drawing/2014/main" id="{00000000-0008-0000-0D00-00009B020000}"/>
            </a:ext>
          </a:extLst>
        </xdr:cNvPr>
        <xdr:cNvSpPr txBox="1"/>
      </xdr:nvSpPr>
      <xdr:spPr>
        <a:xfrm>
          <a:off x="6021820" y="201231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668" name="ZoneTexte 667" hidden="1">
          <a:extLst>
            <a:ext uri="{FF2B5EF4-FFF2-40B4-BE49-F238E27FC236}">
              <a16:creationId xmlns:a16="http://schemas.microsoft.com/office/drawing/2014/main" id="{00000000-0008-0000-0D00-00009C020000}"/>
            </a:ext>
          </a:extLst>
        </xdr:cNvPr>
        <xdr:cNvSpPr txBox="1"/>
      </xdr:nvSpPr>
      <xdr:spPr>
        <a:xfrm>
          <a:off x="6021820" y="201231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669" name="ZoneTexte 668" hidden="1">
          <a:extLst>
            <a:ext uri="{FF2B5EF4-FFF2-40B4-BE49-F238E27FC236}">
              <a16:creationId xmlns:a16="http://schemas.microsoft.com/office/drawing/2014/main" id="{00000000-0008-0000-0D00-00009D020000}"/>
            </a:ext>
          </a:extLst>
        </xdr:cNvPr>
        <xdr:cNvSpPr txBox="1"/>
      </xdr:nvSpPr>
      <xdr:spPr>
        <a:xfrm>
          <a:off x="6021820" y="201231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670" name="ZoneTexte 669" hidden="1">
          <a:extLst>
            <a:ext uri="{FF2B5EF4-FFF2-40B4-BE49-F238E27FC236}">
              <a16:creationId xmlns:a16="http://schemas.microsoft.com/office/drawing/2014/main" id="{00000000-0008-0000-0D00-00009E020000}"/>
            </a:ext>
          </a:extLst>
        </xdr:cNvPr>
        <xdr:cNvSpPr txBox="1"/>
      </xdr:nvSpPr>
      <xdr:spPr>
        <a:xfrm>
          <a:off x="6021820" y="201231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671" name="ZoneTexte 670" hidden="1">
          <a:extLst>
            <a:ext uri="{FF2B5EF4-FFF2-40B4-BE49-F238E27FC236}">
              <a16:creationId xmlns:a16="http://schemas.microsoft.com/office/drawing/2014/main" id="{00000000-0008-0000-0D00-00009F020000}"/>
            </a:ext>
          </a:extLst>
        </xdr:cNvPr>
        <xdr:cNvSpPr txBox="1"/>
      </xdr:nvSpPr>
      <xdr:spPr>
        <a:xfrm>
          <a:off x="6021820" y="201231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672" name="ZoneTexte 671" hidden="1">
          <a:extLst>
            <a:ext uri="{FF2B5EF4-FFF2-40B4-BE49-F238E27FC236}">
              <a16:creationId xmlns:a16="http://schemas.microsoft.com/office/drawing/2014/main" id="{00000000-0008-0000-0D00-0000A0020000}"/>
            </a:ext>
          </a:extLst>
        </xdr:cNvPr>
        <xdr:cNvSpPr txBox="1"/>
      </xdr:nvSpPr>
      <xdr:spPr>
        <a:xfrm>
          <a:off x="6021820" y="201231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172</xdr:row>
      <xdr:rowOff>2412999</xdr:rowOff>
    </xdr:from>
    <xdr:to>
      <xdr:col>2</xdr:col>
      <xdr:colOff>5327402</xdr:colOff>
      <xdr:row>172</xdr:row>
      <xdr:rowOff>2712356</xdr:rowOff>
    </xdr:to>
    <xdr:sp macro="" textlink="">
      <xdr:nvSpPr>
        <xdr:cNvPr id="674" name="ZoneTexte 673" hidden="1">
          <a:extLst>
            <a:ext uri="{FF2B5EF4-FFF2-40B4-BE49-F238E27FC236}">
              <a16:creationId xmlns:a16="http://schemas.microsoft.com/office/drawing/2014/main" id="{00000000-0008-0000-0D00-0000A2020000}"/>
            </a:ext>
          </a:extLst>
        </xdr:cNvPr>
        <xdr:cNvSpPr txBox="1"/>
      </xdr:nvSpPr>
      <xdr:spPr>
        <a:xfrm>
          <a:off x="6021820" y="201231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676" name="ZoneTexte 675" hidden="1">
          <a:extLst>
            <a:ext uri="{FF2B5EF4-FFF2-40B4-BE49-F238E27FC236}">
              <a16:creationId xmlns:a16="http://schemas.microsoft.com/office/drawing/2014/main" id="{00000000-0008-0000-0D00-0000A4020000}"/>
            </a:ext>
          </a:extLst>
        </xdr:cNvPr>
        <xdr:cNvSpPr txBox="1"/>
      </xdr:nvSpPr>
      <xdr:spPr>
        <a:xfrm>
          <a:off x="6021820" y="209172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677" name="ZoneTexte 676" hidden="1">
          <a:extLst>
            <a:ext uri="{FF2B5EF4-FFF2-40B4-BE49-F238E27FC236}">
              <a16:creationId xmlns:a16="http://schemas.microsoft.com/office/drawing/2014/main" id="{00000000-0008-0000-0D00-0000A5020000}"/>
            </a:ext>
          </a:extLst>
        </xdr:cNvPr>
        <xdr:cNvSpPr txBox="1"/>
      </xdr:nvSpPr>
      <xdr:spPr>
        <a:xfrm>
          <a:off x="6021820" y="209172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682" name="ZoneTexte 681" hidden="1">
          <a:extLst>
            <a:ext uri="{FF2B5EF4-FFF2-40B4-BE49-F238E27FC236}">
              <a16:creationId xmlns:a16="http://schemas.microsoft.com/office/drawing/2014/main" id="{00000000-0008-0000-0D00-0000AA020000}"/>
            </a:ext>
          </a:extLst>
        </xdr:cNvPr>
        <xdr:cNvSpPr txBox="1"/>
      </xdr:nvSpPr>
      <xdr:spPr>
        <a:xfrm>
          <a:off x="6021820" y="22390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189</xdr:row>
      <xdr:rowOff>3706090</xdr:rowOff>
    </xdr:from>
    <xdr:to>
      <xdr:col>2</xdr:col>
      <xdr:colOff>5142675</xdr:colOff>
      <xdr:row>189</xdr:row>
      <xdr:rowOff>4005447</xdr:rowOff>
    </xdr:to>
    <xdr:sp macro="" textlink="">
      <xdr:nvSpPr>
        <xdr:cNvPr id="683" name="ZoneTexte 682" hidden="1">
          <a:extLst>
            <a:ext uri="{FF2B5EF4-FFF2-40B4-BE49-F238E27FC236}">
              <a16:creationId xmlns:a16="http://schemas.microsoft.com/office/drawing/2014/main" id="{00000000-0008-0000-0D00-0000AB020000}"/>
            </a:ext>
          </a:extLst>
        </xdr:cNvPr>
        <xdr:cNvSpPr txBox="1"/>
      </xdr:nvSpPr>
      <xdr:spPr>
        <a:xfrm>
          <a:off x="6027593" y="223901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686" name="ZoneTexte 685" hidden="1">
          <a:extLst>
            <a:ext uri="{FF2B5EF4-FFF2-40B4-BE49-F238E27FC236}">
              <a16:creationId xmlns:a16="http://schemas.microsoft.com/office/drawing/2014/main" id="{00000000-0008-0000-0D00-0000AE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689" name="ZoneTexte 688" hidden="1">
          <a:extLst>
            <a:ext uri="{FF2B5EF4-FFF2-40B4-BE49-F238E27FC236}">
              <a16:creationId xmlns:a16="http://schemas.microsoft.com/office/drawing/2014/main" id="{00000000-0008-0000-0D00-0000B1020000}"/>
            </a:ext>
          </a:extLst>
        </xdr:cNvPr>
        <xdr:cNvSpPr txBox="1"/>
      </xdr:nvSpPr>
      <xdr:spPr>
        <a:xfrm>
          <a:off x="6021820" y="22390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189</xdr:row>
      <xdr:rowOff>3706090</xdr:rowOff>
    </xdr:from>
    <xdr:to>
      <xdr:col>2</xdr:col>
      <xdr:colOff>5142675</xdr:colOff>
      <xdr:row>189</xdr:row>
      <xdr:rowOff>4005447</xdr:rowOff>
    </xdr:to>
    <xdr:sp macro="" textlink="">
      <xdr:nvSpPr>
        <xdr:cNvPr id="690" name="ZoneTexte 689" hidden="1">
          <a:extLst>
            <a:ext uri="{FF2B5EF4-FFF2-40B4-BE49-F238E27FC236}">
              <a16:creationId xmlns:a16="http://schemas.microsoft.com/office/drawing/2014/main" id="{00000000-0008-0000-0D00-0000B2020000}"/>
            </a:ext>
          </a:extLst>
        </xdr:cNvPr>
        <xdr:cNvSpPr txBox="1"/>
      </xdr:nvSpPr>
      <xdr:spPr>
        <a:xfrm>
          <a:off x="6027593" y="223901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693" name="ZoneTexte 692" hidden="1">
          <a:extLst>
            <a:ext uri="{FF2B5EF4-FFF2-40B4-BE49-F238E27FC236}">
              <a16:creationId xmlns:a16="http://schemas.microsoft.com/office/drawing/2014/main" id="{00000000-0008-0000-0D00-0000B5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698" name="ZoneTexte 697" hidden="1">
          <a:extLst>
            <a:ext uri="{FF2B5EF4-FFF2-40B4-BE49-F238E27FC236}">
              <a16:creationId xmlns:a16="http://schemas.microsoft.com/office/drawing/2014/main" id="{00000000-0008-0000-0D00-0000BA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699" name="ZoneTexte 698" hidden="1">
          <a:extLst>
            <a:ext uri="{FF2B5EF4-FFF2-40B4-BE49-F238E27FC236}">
              <a16:creationId xmlns:a16="http://schemas.microsoft.com/office/drawing/2014/main" id="{00000000-0008-0000-0D00-0000BB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704" name="ZoneTexte 703" hidden="1">
          <a:extLst>
            <a:ext uri="{FF2B5EF4-FFF2-40B4-BE49-F238E27FC236}">
              <a16:creationId xmlns:a16="http://schemas.microsoft.com/office/drawing/2014/main" id="{00000000-0008-0000-0D00-0000C0020000}"/>
            </a:ext>
          </a:extLst>
        </xdr:cNvPr>
        <xdr:cNvSpPr txBox="1"/>
      </xdr:nvSpPr>
      <xdr:spPr>
        <a:xfrm>
          <a:off x="6021820" y="22390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189</xdr:row>
      <xdr:rowOff>3706090</xdr:rowOff>
    </xdr:from>
    <xdr:to>
      <xdr:col>2</xdr:col>
      <xdr:colOff>5142675</xdr:colOff>
      <xdr:row>189</xdr:row>
      <xdr:rowOff>4005447</xdr:rowOff>
    </xdr:to>
    <xdr:sp macro="" textlink="">
      <xdr:nvSpPr>
        <xdr:cNvPr id="705" name="ZoneTexte 704" hidden="1">
          <a:extLst>
            <a:ext uri="{FF2B5EF4-FFF2-40B4-BE49-F238E27FC236}">
              <a16:creationId xmlns:a16="http://schemas.microsoft.com/office/drawing/2014/main" id="{00000000-0008-0000-0D00-0000C1020000}"/>
            </a:ext>
          </a:extLst>
        </xdr:cNvPr>
        <xdr:cNvSpPr txBox="1"/>
      </xdr:nvSpPr>
      <xdr:spPr>
        <a:xfrm>
          <a:off x="6027593" y="223901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08" name="ZoneTexte 707" hidden="1">
          <a:extLst>
            <a:ext uri="{FF2B5EF4-FFF2-40B4-BE49-F238E27FC236}">
              <a16:creationId xmlns:a16="http://schemas.microsoft.com/office/drawing/2014/main" id="{00000000-0008-0000-0D00-0000C4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711" name="ZoneTexte 710" hidden="1">
          <a:extLst>
            <a:ext uri="{FF2B5EF4-FFF2-40B4-BE49-F238E27FC236}">
              <a16:creationId xmlns:a16="http://schemas.microsoft.com/office/drawing/2014/main" id="{00000000-0008-0000-0D00-0000C7020000}"/>
            </a:ext>
          </a:extLst>
        </xdr:cNvPr>
        <xdr:cNvSpPr txBox="1"/>
      </xdr:nvSpPr>
      <xdr:spPr>
        <a:xfrm>
          <a:off x="6021820" y="22390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189</xdr:row>
      <xdr:rowOff>3706090</xdr:rowOff>
    </xdr:from>
    <xdr:to>
      <xdr:col>2</xdr:col>
      <xdr:colOff>5142675</xdr:colOff>
      <xdr:row>189</xdr:row>
      <xdr:rowOff>4005447</xdr:rowOff>
    </xdr:to>
    <xdr:sp macro="" textlink="">
      <xdr:nvSpPr>
        <xdr:cNvPr id="712" name="ZoneTexte 711" hidden="1">
          <a:extLst>
            <a:ext uri="{FF2B5EF4-FFF2-40B4-BE49-F238E27FC236}">
              <a16:creationId xmlns:a16="http://schemas.microsoft.com/office/drawing/2014/main" id="{00000000-0008-0000-0D00-0000C8020000}"/>
            </a:ext>
          </a:extLst>
        </xdr:cNvPr>
        <xdr:cNvSpPr txBox="1"/>
      </xdr:nvSpPr>
      <xdr:spPr>
        <a:xfrm>
          <a:off x="6027593" y="223901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15" name="ZoneTexte 714" hidden="1">
          <a:extLst>
            <a:ext uri="{FF2B5EF4-FFF2-40B4-BE49-F238E27FC236}">
              <a16:creationId xmlns:a16="http://schemas.microsoft.com/office/drawing/2014/main" id="{00000000-0008-0000-0D00-0000CB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20" name="ZoneTexte 719" hidden="1">
          <a:extLst>
            <a:ext uri="{FF2B5EF4-FFF2-40B4-BE49-F238E27FC236}">
              <a16:creationId xmlns:a16="http://schemas.microsoft.com/office/drawing/2014/main" id="{00000000-0008-0000-0D00-0000D0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21" name="ZoneTexte 720" hidden="1">
          <a:extLst>
            <a:ext uri="{FF2B5EF4-FFF2-40B4-BE49-F238E27FC236}">
              <a16:creationId xmlns:a16="http://schemas.microsoft.com/office/drawing/2014/main" id="{00000000-0008-0000-0D00-0000D1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726" name="ZoneTexte 725" hidden="1">
          <a:extLst>
            <a:ext uri="{FF2B5EF4-FFF2-40B4-BE49-F238E27FC236}">
              <a16:creationId xmlns:a16="http://schemas.microsoft.com/office/drawing/2014/main" id="{00000000-0008-0000-0D00-0000D6020000}"/>
            </a:ext>
          </a:extLst>
        </xdr:cNvPr>
        <xdr:cNvSpPr txBox="1"/>
      </xdr:nvSpPr>
      <xdr:spPr>
        <a:xfrm>
          <a:off x="6021820" y="22390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189</xdr:row>
      <xdr:rowOff>3706090</xdr:rowOff>
    </xdr:from>
    <xdr:to>
      <xdr:col>2</xdr:col>
      <xdr:colOff>5142675</xdr:colOff>
      <xdr:row>189</xdr:row>
      <xdr:rowOff>4005447</xdr:rowOff>
    </xdr:to>
    <xdr:sp macro="" textlink="">
      <xdr:nvSpPr>
        <xdr:cNvPr id="727" name="ZoneTexte 726" hidden="1">
          <a:extLst>
            <a:ext uri="{FF2B5EF4-FFF2-40B4-BE49-F238E27FC236}">
              <a16:creationId xmlns:a16="http://schemas.microsoft.com/office/drawing/2014/main" id="{00000000-0008-0000-0D00-0000D7020000}"/>
            </a:ext>
          </a:extLst>
        </xdr:cNvPr>
        <xdr:cNvSpPr txBox="1"/>
      </xdr:nvSpPr>
      <xdr:spPr>
        <a:xfrm>
          <a:off x="6027593" y="223901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30" name="ZoneTexte 729" hidden="1">
          <a:extLst>
            <a:ext uri="{FF2B5EF4-FFF2-40B4-BE49-F238E27FC236}">
              <a16:creationId xmlns:a16="http://schemas.microsoft.com/office/drawing/2014/main" id="{00000000-0008-0000-0D00-0000DA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733" name="ZoneTexte 732" hidden="1">
          <a:extLst>
            <a:ext uri="{FF2B5EF4-FFF2-40B4-BE49-F238E27FC236}">
              <a16:creationId xmlns:a16="http://schemas.microsoft.com/office/drawing/2014/main" id="{00000000-0008-0000-0D00-0000DD020000}"/>
            </a:ext>
          </a:extLst>
        </xdr:cNvPr>
        <xdr:cNvSpPr txBox="1"/>
      </xdr:nvSpPr>
      <xdr:spPr>
        <a:xfrm>
          <a:off x="6021820" y="22390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189</xdr:row>
      <xdr:rowOff>3706090</xdr:rowOff>
    </xdr:from>
    <xdr:to>
      <xdr:col>2</xdr:col>
      <xdr:colOff>5142675</xdr:colOff>
      <xdr:row>189</xdr:row>
      <xdr:rowOff>4005447</xdr:rowOff>
    </xdr:to>
    <xdr:sp macro="" textlink="">
      <xdr:nvSpPr>
        <xdr:cNvPr id="734" name="ZoneTexte 733" hidden="1">
          <a:extLst>
            <a:ext uri="{FF2B5EF4-FFF2-40B4-BE49-F238E27FC236}">
              <a16:creationId xmlns:a16="http://schemas.microsoft.com/office/drawing/2014/main" id="{00000000-0008-0000-0D00-0000DE020000}"/>
            </a:ext>
          </a:extLst>
        </xdr:cNvPr>
        <xdr:cNvSpPr txBox="1"/>
      </xdr:nvSpPr>
      <xdr:spPr>
        <a:xfrm>
          <a:off x="6027593" y="223901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37" name="ZoneTexte 736" hidden="1">
          <a:extLst>
            <a:ext uri="{FF2B5EF4-FFF2-40B4-BE49-F238E27FC236}">
              <a16:creationId xmlns:a16="http://schemas.microsoft.com/office/drawing/2014/main" id="{00000000-0008-0000-0D00-0000E1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42" name="ZoneTexte 741" hidden="1">
          <a:extLst>
            <a:ext uri="{FF2B5EF4-FFF2-40B4-BE49-F238E27FC236}">
              <a16:creationId xmlns:a16="http://schemas.microsoft.com/office/drawing/2014/main" id="{00000000-0008-0000-0D00-0000E6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43" name="ZoneTexte 742" hidden="1">
          <a:extLst>
            <a:ext uri="{FF2B5EF4-FFF2-40B4-BE49-F238E27FC236}">
              <a16:creationId xmlns:a16="http://schemas.microsoft.com/office/drawing/2014/main" id="{00000000-0008-0000-0D00-0000E7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750" name="ZoneTexte 749" hidden="1">
          <a:extLst>
            <a:ext uri="{FF2B5EF4-FFF2-40B4-BE49-F238E27FC236}">
              <a16:creationId xmlns:a16="http://schemas.microsoft.com/office/drawing/2014/main" id="{00000000-0008-0000-0D00-0000EE020000}"/>
            </a:ext>
          </a:extLst>
        </xdr:cNvPr>
        <xdr:cNvSpPr txBox="1"/>
      </xdr:nvSpPr>
      <xdr:spPr>
        <a:xfrm>
          <a:off x="6021820" y="22390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189</xdr:row>
      <xdr:rowOff>3706090</xdr:rowOff>
    </xdr:from>
    <xdr:to>
      <xdr:col>2</xdr:col>
      <xdr:colOff>5142675</xdr:colOff>
      <xdr:row>189</xdr:row>
      <xdr:rowOff>4005447</xdr:rowOff>
    </xdr:to>
    <xdr:sp macro="" textlink="">
      <xdr:nvSpPr>
        <xdr:cNvPr id="751" name="ZoneTexte 750" hidden="1">
          <a:extLst>
            <a:ext uri="{FF2B5EF4-FFF2-40B4-BE49-F238E27FC236}">
              <a16:creationId xmlns:a16="http://schemas.microsoft.com/office/drawing/2014/main" id="{00000000-0008-0000-0D00-0000EF020000}"/>
            </a:ext>
          </a:extLst>
        </xdr:cNvPr>
        <xdr:cNvSpPr txBox="1"/>
      </xdr:nvSpPr>
      <xdr:spPr>
        <a:xfrm>
          <a:off x="6027593" y="223901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54" name="ZoneTexte 753" hidden="1">
          <a:extLst>
            <a:ext uri="{FF2B5EF4-FFF2-40B4-BE49-F238E27FC236}">
              <a16:creationId xmlns:a16="http://schemas.microsoft.com/office/drawing/2014/main" id="{00000000-0008-0000-0D00-0000F2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757" name="ZoneTexte 756" hidden="1">
          <a:extLst>
            <a:ext uri="{FF2B5EF4-FFF2-40B4-BE49-F238E27FC236}">
              <a16:creationId xmlns:a16="http://schemas.microsoft.com/office/drawing/2014/main" id="{00000000-0008-0000-0D00-0000F5020000}"/>
            </a:ext>
          </a:extLst>
        </xdr:cNvPr>
        <xdr:cNvSpPr txBox="1"/>
      </xdr:nvSpPr>
      <xdr:spPr>
        <a:xfrm>
          <a:off x="6021820" y="22390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189</xdr:row>
      <xdr:rowOff>3706090</xdr:rowOff>
    </xdr:from>
    <xdr:to>
      <xdr:col>2</xdr:col>
      <xdr:colOff>5142675</xdr:colOff>
      <xdr:row>189</xdr:row>
      <xdr:rowOff>4005447</xdr:rowOff>
    </xdr:to>
    <xdr:sp macro="" textlink="">
      <xdr:nvSpPr>
        <xdr:cNvPr id="758" name="ZoneTexte 757" hidden="1">
          <a:extLst>
            <a:ext uri="{FF2B5EF4-FFF2-40B4-BE49-F238E27FC236}">
              <a16:creationId xmlns:a16="http://schemas.microsoft.com/office/drawing/2014/main" id="{00000000-0008-0000-0D00-0000F6020000}"/>
            </a:ext>
          </a:extLst>
        </xdr:cNvPr>
        <xdr:cNvSpPr txBox="1"/>
      </xdr:nvSpPr>
      <xdr:spPr>
        <a:xfrm>
          <a:off x="6027593" y="223901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61" name="ZoneTexte 760" hidden="1">
          <a:extLst>
            <a:ext uri="{FF2B5EF4-FFF2-40B4-BE49-F238E27FC236}">
              <a16:creationId xmlns:a16="http://schemas.microsoft.com/office/drawing/2014/main" id="{00000000-0008-0000-0D00-0000F9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66" name="ZoneTexte 765" hidden="1">
          <a:extLst>
            <a:ext uri="{FF2B5EF4-FFF2-40B4-BE49-F238E27FC236}">
              <a16:creationId xmlns:a16="http://schemas.microsoft.com/office/drawing/2014/main" id="{00000000-0008-0000-0D00-0000FE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67" name="ZoneTexte 766" hidden="1">
          <a:extLst>
            <a:ext uri="{FF2B5EF4-FFF2-40B4-BE49-F238E27FC236}">
              <a16:creationId xmlns:a16="http://schemas.microsoft.com/office/drawing/2014/main" id="{00000000-0008-0000-0D00-0000FF02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768" name="ZoneTexte 767" hidden="1">
          <a:extLst>
            <a:ext uri="{FF2B5EF4-FFF2-40B4-BE49-F238E27FC236}">
              <a16:creationId xmlns:a16="http://schemas.microsoft.com/office/drawing/2014/main" id="{00000000-0008-0000-0D00-000000030000}"/>
            </a:ext>
          </a:extLst>
        </xdr:cNvPr>
        <xdr:cNvSpPr txBox="1"/>
      </xdr:nvSpPr>
      <xdr:spPr>
        <a:xfrm>
          <a:off x="6021820" y="22390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189</xdr:row>
      <xdr:rowOff>3706090</xdr:rowOff>
    </xdr:from>
    <xdr:to>
      <xdr:col>2</xdr:col>
      <xdr:colOff>5142675</xdr:colOff>
      <xdr:row>189</xdr:row>
      <xdr:rowOff>4005447</xdr:rowOff>
    </xdr:to>
    <xdr:sp macro="" textlink="">
      <xdr:nvSpPr>
        <xdr:cNvPr id="769" name="ZoneTexte 768" hidden="1">
          <a:extLst>
            <a:ext uri="{FF2B5EF4-FFF2-40B4-BE49-F238E27FC236}">
              <a16:creationId xmlns:a16="http://schemas.microsoft.com/office/drawing/2014/main" id="{00000000-0008-0000-0D00-000001030000}"/>
            </a:ext>
          </a:extLst>
        </xdr:cNvPr>
        <xdr:cNvSpPr txBox="1"/>
      </xdr:nvSpPr>
      <xdr:spPr>
        <a:xfrm>
          <a:off x="6027593" y="223901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72" name="ZoneTexte 771" hidden="1">
          <a:extLst>
            <a:ext uri="{FF2B5EF4-FFF2-40B4-BE49-F238E27FC236}">
              <a16:creationId xmlns:a16="http://schemas.microsoft.com/office/drawing/2014/main" id="{00000000-0008-0000-0D00-00000403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775" name="ZoneTexte 774" hidden="1">
          <a:extLst>
            <a:ext uri="{FF2B5EF4-FFF2-40B4-BE49-F238E27FC236}">
              <a16:creationId xmlns:a16="http://schemas.microsoft.com/office/drawing/2014/main" id="{00000000-0008-0000-0D00-000007030000}"/>
            </a:ext>
          </a:extLst>
        </xdr:cNvPr>
        <xdr:cNvSpPr txBox="1"/>
      </xdr:nvSpPr>
      <xdr:spPr>
        <a:xfrm>
          <a:off x="6021820" y="22390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189</xdr:row>
      <xdr:rowOff>3706090</xdr:rowOff>
    </xdr:from>
    <xdr:to>
      <xdr:col>2</xdr:col>
      <xdr:colOff>5142675</xdr:colOff>
      <xdr:row>189</xdr:row>
      <xdr:rowOff>4005447</xdr:rowOff>
    </xdr:to>
    <xdr:sp macro="" textlink="">
      <xdr:nvSpPr>
        <xdr:cNvPr id="776" name="ZoneTexte 775" hidden="1">
          <a:extLst>
            <a:ext uri="{FF2B5EF4-FFF2-40B4-BE49-F238E27FC236}">
              <a16:creationId xmlns:a16="http://schemas.microsoft.com/office/drawing/2014/main" id="{00000000-0008-0000-0D00-000008030000}"/>
            </a:ext>
          </a:extLst>
        </xdr:cNvPr>
        <xdr:cNvSpPr txBox="1"/>
      </xdr:nvSpPr>
      <xdr:spPr>
        <a:xfrm>
          <a:off x="6027593" y="223901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79" name="ZoneTexte 778" hidden="1">
          <a:extLst>
            <a:ext uri="{FF2B5EF4-FFF2-40B4-BE49-F238E27FC236}">
              <a16:creationId xmlns:a16="http://schemas.microsoft.com/office/drawing/2014/main" id="{00000000-0008-0000-0D00-00000B03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84" name="ZoneTexte 783" hidden="1">
          <a:extLst>
            <a:ext uri="{FF2B5EF4-FFF2-40B4-BE49-F238E27FC236}">
              <a16:creationId xmlns:a16="http://schemas.microsoft.com/office/drawing/2014/main" id="{00000000-0008-0000-0D00-00001003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85" name="ZoneTexte 784" hidden="1">
          <a:extLst>
            <a:ext uri="{FF2B5EF4-FFF2-40B4-BE49-F238E27FC236}">
              <a16:creationId xmlns:a16="http://schemas.microsoft.com/office/drawing/2014/main" id="{00000000-0008-0000-0D00-00001103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90" name="ZoneTexte 789" hidden="1">
          <a:extLst>
            <a:ext uri="{FF2B5EF4-FFF2-40B4-BE49-F238E27FC236}">
              <a16:creationId xmlns:a16="http://schemas.microsoft.com/office/drawing/2014/main" id="{00000000-0008-0000-0D00-00001603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91" name="ZoneTexte 790" hidden="1">
          <a:extLst>
            <a:ext uri="{FF2B5EF4-FFF2-40B4-BE49-F238E27FC236}">
              <a16:creationId xmlns:a16="http://schemas.microsoft.com/office/drawing/2014/main" id="{00000000-0008-0000-0D00-00001703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796" name="ZoneTexte 795" hidden="1">
          <a:extLst>
            <a:ext uri="{FF2B5EF4-FFF2-40B4-BE49-F238E27FC236}">
              <a16:creationId xmlns:a16="http://schemas.microsoft.com/office/drawing/2014/main" id="{00000000-0008-0000-0D00-00001C030000}"/>
            </a:ext>
          </a:extLst>
        </xdr:cNvPr>
        <xdr:cNvSpPr txBox="1"/>
      </xdr:nvSpPr>
      <xdr:spPr>
        <a:xfrm>
          <a:off x="6021820" y="22390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190</xdr:row>
      <xdr:rowOff>2412999</xdr:rowOff>
    </xdr:from>
    <xdr:to>
      <xdr:col>2</xdr:col>
      <xdr:colOff>5327402</xdr:colOff>
      <xdr:row>190</xdr:row>
      <xdr:rowOff>2712356</xdr:rowOff>
    </xdr:to>
    <xdr:sp macro="" textlink="">
      <xdr:nvSpPr>
        <xdr:cNvPr id="797" name="ZoneTexte 796" hidden="1">
          <a:extLst>
            <a:ext uri="{FF2B5EF4-FFF2-40B4-BE49-F238E27FC236}">
              <a16:creationId xmlns:a16="http://schemas.microsoft.com/office/drawing/2014/main" id="{00000000-0008-0000-0D00-00001D030000}"/>
            </a:ext>
          </a:extLst>
        </xdr:cNvPr>
        <xdr:cNvSpPr txBox="1"/>
      </xdr:nvSpPr>
      <xdr:spPr>
        <a:xfrm>
          <a:off x="6021820" y="226313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798" name="ZoneTexte 797" hidden="1">
          <a:extLst>
            <a:ext uri="{FF2B5EF4-FFF2-40B4-BE49-F238E27FC236}">
              <a16:creationId xmlns:a16="http://schemas.microsoft.com/office/drawing/2014/main" id="{00000000-0008-0000-0D00-00001E03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189</xdr:row>
      <xdr:rowOff>2412999</xdr:rowOff>
    </xdr:from>
    <xdr:to>
      <xdr:col>2</xdr:col>
      <xdr:colOff>5327402</xdr:colOff>
      <xdr:row>189</xdr:row>
      <xdr:rowOff>2712356</xdr:rowOff>
    </xdr:to>
    <xdr:sp macro="" textlink="">
      <xdr:nvSpPr>
        <xdr:cNvPr id="799" name="ZoneTexte 798" hidden="1">
          <a:extLst>
            <a:ext uri="{FF2B5EF4-FFF2-40B4-BE49-F238E27FC236}">
              <a16:creationId xmlns:a16="http://schemas.microsoft.com/office/drawing/2014/main" id="{00000000-0008-0000-0D00-00001F030000}"/>
            </a:ext>
          </a:extLst>
        </xdr:cNvPr>
        <xdr:cNvSpPr txBox="1"/>
      </xdr:nvSpPr>
      <xdr:spPr>
        <a:xfrm>
          <a:off x="6021820" y="22390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190</xdr:row>
      <xdr:rowOff>2412999</xdr:rowOff>
    </xdr:from>
    <xdr:to>
      <xdr:col>2</xdr:col>
      <xdr:colOff>5327402</xdr:colOff>
      <xdr:row>190</xdr:row>
      <xdr:rowOff>2712356</xdr:rowOff>
    </xdr:to>
    <xdr:sp macro="" textlink="">
      <xdr:nvSpPr>
        <xdr:cNvPr id="800" name="ZoneTexte 799" hidden="1">
          <a:extLst>
            <a:ext uri="{FF2B5EF4-FFF2-40B4-BE49-F238E27FC236}">
              <a16:creationId xmlns:a16="http://schemas.microsoft.com/office/drawing/2014/main" id="{00000000-0008-0000-0D00-000020030000}"/>
            </a:ext>
          </a:extLst>
        </xdr:cNvPr>
        <xdr:cNvSpPr txBox="1"/>
      </xdr:nvSpPr>
      <xdr:spPr>
        <a:xfrm>
          <a:off x="6021820" y="226313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801" name="ZoneTexte 800" hidden="1">
          <a:extLst>
            <a:ext uri="{FF2B5EF4-FFF2-40B4-BE49-F238E27FC236}">
              <a16:creationId xmlns:a16="http://schemas.microsoft.com/office/drawing/2014/main" id="{00000000-0008-0000-0D00-00002103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802" name="ZoneTexte 801" hidden="1">
          <a:extLst>
            <a:ext uri="{FF2B5EF4-FFF2-40B4-BE49-F238E27FC236}">
              <a16:creationId xmlns:a16="http://schemas.microsoft.com/office/drawing/2014/main" id="{00000000-0008-0000-0D00-00002203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204</xdr:row>
      <xdr:rowOff>2412999</xdr:rowOff>
    </xdr:from>
    <xdr:to>
      <xdr:col>2</xdr:col>
      <xdr:colOff>5327402</xdr:colOff>
      <xdr:row>204</xdr:row>
      <xdr:rowOff>2712356</xdr:rowOff>
    </xdr:to>
    <xdr:sp macro="" textlink="">
      <xdr:nvSpPr>
        <xdr:cNvPr id="803" name="ZoneTexte 802" hidden="1">
          <a:extLst>
            <a:ext uri="{FF2B5EF4-FFF2-40B4-BE49-F238E27FC236}">
              <a16:creationId xmlns:a16="http://schemas.microsoft.com/office/drawing/2014/main" id="{00000000-0008-0000-0D00-000023030000}"/>
            </a:ext>
          </a:extLst>
        </xdr:cNvPr>
        <xdr:cNvSpPr txBox="1"/>
      </xdr:nvSpPr>
      <xdr:spPr>
        <a:xfrm>
          <a:off x="6021820" y="240855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190</xdr:row>
      <xdr:rowOff>2412999</xdr:rowOff>
    </xdr:from>
    <xdr:to>
      <xdr:col>2</xdr:col>
      <xdr:colOff>5327402</xdr:colOff>
      <xdr:row>190</xdr:row>
      <xdr:rowOff>2712356</xdr:rowOff>
    </xdr:to>
    <xdr:sp macro="" textlink="">
      <xdr:nvSpPr>
        <xdr:cNvPr id="804" name="ZoneTexte 803" hidden="1">
          <a:extLst>
            <a:ext uri="{FF2B5EF4-FFF2-40B4-BE49-F238E27FC236}">
              <a16:creationId xmlns:a16="http://schemas.microsoft.com/office/drawing/2014/main" id="{00000000-0008-0000-0D00-000024030000}"/>
            </a:ext>
          </a:extLst>
        </xdr:cNvPr>
        <xdr:cNvSpPr txBox="1"/>
      </xdr:nvSpPr>
      <xdr:spPr>
        <a:xfrm>
          <a:off x="6021820" y="226313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190</xdr:row>
      <xdr:rowOff>2412999</xdr:rowOff>
    </xdr:from>
    <xdr:to>
      <xdr:col>2</xdr:col>
      <xdr:colOff>5327402</xdr:colOff>
      <xdr:row>190</xdr:row>
      <xdr:rowOff>2712356</xdr:rowOff>
    </xdr:to>
    <xdr:sp macro="" textlink="">
      <xdr:nvSpPr>
        <xdr:cNvPr id="805" name="ZoneTexte 804" hidden="1">
          <a:extLst>
            <a:ext uri="{FF2B5EF4-FFF2-40B4-BE49-F238E27FC236}">
              <a16:creationId xmlns:a16="http://schemas.microsoft.com/office/drawing/2014/main" id="{00000000-0008-0000-0D00-000025030000}"/>
            </a:ext>
          </a:extLst>
        </xdr:cNvPr>
        <xdr:cNvSpPr txBox="1"/>
      </xdr:nvSpPr>
      <xdr:spPr>
        <a:xfrm>
          <a:off x="6021820" y="226313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190</xdr:row>
      <xdr:rowOff>2412999</xdr:rowOff>
    </xdr:from>
    <xdr:to>
      <xdr:col>2</xdr:col>
      <xdr:colOff>5327402</xdr:colOff>
      <xdr:row>190</xdr:row>
      <xdr:rowOff>2712356</xdr:rowOff>
    </xdr:to>
    <xdr:sp macro="" textlink="">
      <xdr:nvSpPr>
        <xdr:cNvPr id="806" name="ZoneTexte 805" hidden="1">
          <a:extLst>
            <a:ext uri="{FF2B5EF4-FFF2-40B4-BE49-F238E27FC236}">
              <a16:creationId xmlns:a16="http://schemas.microsoft.com/office/drawing/2014/main" id="{00000000-0008-0000-0D00-000026030000}"/>
            </a:ext>
          </a:extLst>
        </xdr:cNvPr>
        <xdr:cNvSpPr txBox="1"/>
      </xdr:nvSpPr>
      <xdr:spPr>
        <a:xfrm>
          <a:off x="6021820" y="226313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190</xdr:row>
      <xdr:rowOff>2412999</xdr:rowOff>
    </xdr:from>
    <xdr:to>
      <xdr:col>2</xdr:col>
      <xdr:colOff>5327402</xdr:colOff>
      <xdr:row>190</xdr:row>
      <xdr:rowOff>2712356</xdr:rowOff>
    </xdr:to>
    <xdr:sp macro="" textlink="">
      <xdr:nvSpPr>
        <xdr:cNvPr id="807" name="ZoneTexte 806" hidden="1">
          <a:extLst>
            <a:ext uri="{FF2B5EF4-FFF2-40B4-BE49-F238E27FC236}">
              <a16:creationId xmlns:a16="http://schemas.microsoft.com/office/drawing/2014/main" id="{00000000-0008-0000-0D00-000027030000}"/>
            </a:ext>
          </a:extLst>
        </xdr:cNvPr>
        <xdr:cNvSpPr txBox="1"/>
      </xdr:nvSpPr>
      <xdr:spPr>
        <a:xfrm>
          <a:off x="6021820" y="226313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190</xdr:row>
      <xdr:rowOff>2412999</xdr:rowOff>
    </xdr:from>
    <xdr:to>
      <xdr:col>2</xdr:col>
      <xdr:colOff>5327402</xdr:colOff>
      <xdr:row>190</xdr:row>
      <xdr:rowOff>2712356</xdr:rowOff>
    </xdr:to>
    <xdr:sp macro="" textlink="">
      <xdr:nvSpPr>
        <xdr:cNvPr id="808" name="ZoneTexte 807" hidden="1">
          <a:extLst>
            <a:ext uri="{FF2B5EF4-FFF2-40B4-BE49-F238E27FC236}">
              <a16:creationId xmlns:a16="http://schemas.microsoft.com/office/drawing/2014/main" id="{00000000-0008-0000-0D00-000028030000}"/>
            </a:ext>
          </a:extLst>
        </xdr:cNvPr>
        <xdr:cNvSpPr txBox="1"/>
      </xdr:nvSpPr>
      <xdr:spPr>
        <a:xfrm>
          <a:off x="6021820" y="226313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190</xdr:row>
      <xdr:rowOff>2412999</xdr:rowOff>
    </xdr:from>
    <xdr:to>
      <xdr:col>2</xdr:col>
      <xdr:colOff>5327402</xdr:colOff>
      <xdr:row>190</xdr:row>
      <xdr:rowOff>2712356</xdr:rowOff>
    </xdr:to>
    <xdr:sp macro="" textlink="">
      <xdr:nvSpPr>
        <xdr:cNvPr id="809" name="ZoneTexte 808" hidden="1">
          <a:extLst>
            <a:ext uri="{FF2B5EF4-FFF2-40B4-BE49-F238E27FC236}">
              <a16:creationId xmlns:a16="http://schemas.microsoft.com/office/drawing/2014/main" id="{00000000-0008-0000-0D00-000029030000}"/>
            </a:ext>
          </a:extLst>
        </xdr:cNvPr>
        <xdr:cNvSpPr txBox="1"/>
      </xdr:nvSpPr>
      <xdr:spPr>
        <a:xfrm>
          <a:off x="6021820" y="226313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190</xdr:row>
      <xdr:rowOff>2412999</xdr:rowOff>
    </xdr:from>
    <xdr:to>
      <xdr:col>2</xdr:col>
      <xdr:colOff>5327402</xdr:colOff>
      <xdr:row>190</xdr:row>
      <xdr:rowOff>2712356</xdr:rowOff>
    </xdr:to>
    <xdr:sp macro="" textlink="">
      <xdr:nvSpPr>
        <xdr:cNvPr id="810" name="ZoneTexte 809" hidden="1">
          <a:extLst>
            <a:ext uri="{FF2B5EF4-FFF2-40B4-BE49-F238E27FC236}">
              <a16:creationId xmlns:a16="http://schemas.microsoft.com/office/drawing/2014/main" id="{00000000-0008-0000-0D00-00002A030000}"/>
            </a:ext>
          </a:extLst>
        </xdr:cNvPr>
        <xdr:cNvSpPr txBox="1"/>
      </xdr:nvSpPr>
      <xdr:spPr>
        <a:xfrm>
          <a:off x="6021820" y="226313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0</xdr:rowOff>
    </xdr:from>
    <xdr:to>
      <xdr:col>2</xdr:col>
      <xdr:colOff>5327402</xdr:colOff>
      <xdr:row>195</xdr:row>
      <xdr:rowOff>0</xdr:rowOff>
    </xdr:to>
    <xdr:sp macro="" textlink="">
      <xdr:nvSpPr>
        <xdr:cNvPr id="811" name="ZoneTexte 810" hidden="1">
          <a:extLst>
            <a:ext uri="{FF2B5EF4-FFF2-40B4-BE49-F238E27FC236}">
              <a16:creationId xmlns:a16="http://schemas.microsoft.com/office/drawing/2014/main" id="{00000000-0008-0000-0D00-00002B030000}"/>
            </a:ext>
          </a:extLst>
        </xdr:cNvPr>
        <xdr:cNvSpPr txBox="1"/>
      </xdr:nvSpPr>
      <xdr:spPr>
        <a:xfrm>
          <a:off x="6021820" y="22974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190</xdr:row>
      <xdr:rowOff>2412999</xdr:rowOff>
    </xdr:from>
    <xdr:to>
      <xdr:col>2</xdr:col>
      <xdr:colOff>5327402</xdr:colOff>
      <xdr:row>190</xdr:row>
      <xdr:rowOff>2712356</xdr:rowOff>
    </xdr:to>
    <xdr:sp macro="" textlink="">
      <xdr:nvSpPr>
        <xdr:cNvPr id="812" name="ZoneTexte 811" hidden="1">
          <a:extLst>
            <a:ext uri="{FF2B5EF4-FFF2-40B4-BE49-F238E27FC236}">
              <a16:creationId xmlns:a16="http://schemas.microsoft.com/office/drawing/2014/main" id="{00000000-0008-0000-0D00-00002C030000}"/>
            </a:ext>
          </a:extLst>
        </xdr:cNvPr>
        <xdr:cNvSpPr txBox="1"/>
      </xdr:nvSpPr>
      <xdr:spPr>
        <a:xfrm>
          <a:off x="6021820" y="226313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0</xdr:rowOff>
    </xdr:from>
    <xdr:to>
      <xdr:col>2</xdr:col>
      <xdr:colOff>5327402</xdr:colOff>
      <xdr:row>195</xdr:row>
      <xdr:rowOff>0</xdr:rowOff>
    </xdr:to>
    <xdr:sp macro="" textlink="">
      <xdr:nvSpPr>
        <xdr:cNvPr id="813" name="ZoneTexte 812" hidden="1">
          <a:extLst>
            <a:ext uri="{FF2B5EF4-FFF2-40B4-BE49-F238E27FC236}">
              <a16:creationId xmlns:a16="http://schemas.microsoft.com/office/drawing/2014/main" id="{00000000-0008-0000-0D00-00002D030000}"/>
            </a:ext>
          </a:extLst>
        </xdr:cNvPr>
        <xdr:cNvSpPr txBox="1"/>
      </xdr:nvSpPr>
      <xdr:spPr>
        <a:xfrm>
          <a:off x="6021820" y="22974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814" name="ZoneTexte 813" hidden="1">
          <a:extLst>
            <a:ext uri="{FF2B5EF4-FFF2-40B4-BE49-F238E27FC236}">
              <a16:creationId xmlns:a16="http://schemas.microsoft.com/office/drawing/2014/main" id="{00000000-0008-0000-0D00-00002E030000}"/>
            </a:ext>
          </a:extLst>
        </xdr:cNvPr>
        <xdr:cNvSpPr txBox="1"/>
      </xdr:nvSpPr>
      <xdr:spPr>
        <a:xfrm>
          <a:off x="6021820" y="234254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815" name="ZoneTexte 814" hidden="1">
          <a:extLst>
            <a:ext uri="{FF2B5EF4-FFF2-40B4-BE49-F238E27FC236}">
              <a16:creationId xmlns:a16="http://schemas.microsoft.com/office/drawing/2014/main" id="{00000000-0008-0000-0D00-00002F030000}"/>
            </a:ext>
          </a:extLst>
        </xdr:cNvPr>
        <xdr:cNvSpPr txBox="1"/>
      </xdr:nvSpPr>
      <xdr:spPr>
        <a:xfrm>
          <a:off x="6021820" y="234254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820" name="ZoneTexte 819" hidden="1">
          <a:extLst>
            <a:ext uri="{FF2B5EF4-FFF2-40B4-BE49-F238E27FC236}">
              <a16:creationId xmlns:a16="http://schemas.microsoft.com/office/drawing/2014/main" id="{00000000-0008-0000-0D00-000034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821" name="ZoneTexte 820" hidden="1">
          <a:extLst>
            <a:ext uri="{FF2B5EF4-FFF2-40B4-BE49-F238E27FC236}">
              <a16:creationId xmlns:a16="http://schemas.microsoft.com/office/drawing/2014/main" id="{00000000-0008-0000-0D00-000035030000}"/>
            </a:ext>
          </a:extLst>
        </xdr:cNvPr>
        <xdr:cNvSpPr txBox="1"/>
      </xdr:nvSpPr>
      <xdr:spPr>
        <a:xfrm>
          <a:off x="6027593" y="24879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24" name="ZoneTexte 823" hidden="1">
          <a:extLst>
            <a:ext uri="{FF2B5EF4-FFF2-40B4-BE49-F238E27FC236}">
              <a16:creationId xmlns:a16="http://schemas.microsoft.com/office/drawing/2014/main" id="{00000000-0008-0000-0D00-000038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827" name="ZoneTexte 826" hidden="1">
          <a:extLst>
            <a:ext uri="{FF2B5EF4-FFF2-40B4-BE49-F238E27FC236}">
              <a16:creationId xmlns:a16="http://schemas.microsoft.com/office/drawing/2014/main" id="{00000000-0008-0000-0D00-00003B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828" name="ZoneTexte 827" hidden="1">
          <a:extLst>
            <a:ext uri="{FF2B5EF4-FFF2-40B4-BE49-F238E27FC236}">
              <a16:creationId xmlns:a16="http://schemas.microsoft.com/office/drawing/2014/main" id="{00000000-0008-0000-0D00-00003C030000}"/>
            </a:ext>
          </a:extLst>
        </xdr:cNvPr>
        <xdr:cNvSpPr txBox="1"/>
      </xdr:nvSpPr>
      <xdr:spPr>
        <a:xfrm>
          <a:off x="6027593" y="24879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31" name="ZoneTexte 830" hidden="1">
          <a:extLst>
            <a:ext uri="{FF2B5EF4-FFF2-40B4-BE49-F238E27FC236}">
              <a16:creationId xmlns:a16="http://schemas.microsoft.com/office/drawing/2014/main" id="{00000000-0008-0000-0D00-00003F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36" name="ZoneTexte 835" hidden="1">
          <a:extLst>
            <a:ext uri="{FF2B5EF4-FFF2-40B4-BE49-F238E27FC236}">
              <a16:creationId xmlns:a16="http://schemas.microsoft.com/office/drawing/2014/main" id="{00000000-0008-0000-0D00-000044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37" name="ZoneTexte 836" hidden="1">
          <a:extLst>
            <a:ext uri="{FF2B5EF4-FFF2-40B4-BE49-F238E27FC236}">
              <a16:creationId xmlns:a16="http://schemas.microsoft.com/office/drawing/2014/main" id="{00000000-0008-0000-0D00-000045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842" name="ZoneTexte 841" hidden="1">
          <a:extLst>
            <a:ext uri="{FF2B5EF4-FFF2-40B4-BE49-F238E27FC236}">
              <a16:creationId xmlns:a16="http://schemas.microsoft.com/office/drawing/2014/main" id="{00000000-0008-0000-0D00-00004A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843" name="ZoneTexte 842" hidden="1">
          <a:extLst>
            <a:ext uri="{FF2B5EF4-FFF2-40B4-BE49-F238E27FC236}">
              <a16:creationId xmlns:a16="http://schemas.microsoft.com/office/drawing/2014/main" id="{00000000-0008-0000-0D00-00004B030000}"/>
            </a:ext>
          </a:extLst>
        </xdr:cNvPr>
        <xdr:cNvSpPr txBox="1"/>
      </xdr:nvSpPr>
      <xdr:spPr>
        <a:xfrm>
          <a:off x="6027593" y="24879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46" name="ZoneTexte 845" hidden="1">
          <a:extLst>
            <a:ext uri="{FF2B5EF4-FFF2-40B4-BE49-F238E27FC236}">
              <a16:creationId xmlns:a16="http://schemas.microsoft.com/office/drawing/2014/main" id="{00000000-0008-0000-0D00-00004E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849" name="ZoneTexte 848" hidden="1">
          <a:extLst>
            <a:ext uri="{FF2B5EF4-FFF2-40B4-BE49-F238E27FC236}">
              <a16:creationId xmlns:a16="http://schemas.microsoft.com/office/drawing/2014/main" id="{00000000-0008-0000-0D00-000051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850" name="ZoneTexte 849" hidden="1">
          <a:extLst>
            <a:ext uri="{FF2B5EF4-FFF2-40B4-BE49-F238E27FC236}">
              <a16:creationId xmlns:a16="http://schemas.microsoft.com/office/drawing/2014/main" id="{00000000-0008-0000-0D00-000052030000}"/>
            </a:ext>
          </a:extLst>
        </xdr:cNvPr>
        <xdr:cNvSpPr txBox="1"/>
      </xdr:nvSpPr>
      <xdr:spPr>
        <a:xfrm>
          <a:off x="6027593" y="24879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53" name="ZoneTexte 852" hidden="1">
          <a:extLst>
            <a:ext uri="{FF2B5EF4-FFF2-40B4-BE49-F238E27FC236}">
              <a16:creationId xmlns:a16="http://schemas.microsoft.com/office/drawing/2014/main" id="{00000000-0008-0000-0D00-000055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58" name="ZoneTexte 857" hidden="1">
          <a:extLst>
            <a:ext uri="{FF2B5EF4-FFF2-40B4-BE49-F238E27FC236}">
              <a16:creationId xmlns:a16="http://schemas.microsoft.com/office/drawing/2014/main" id="{00000000-0008-0000-0D00-00005A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59" name="ZoneTexte 858" hidden="1">
          <a:extLst>
            <a:ext uri="{FF2B5EF4-FFF2-40B4-BE49-F238E27FC236}">
              <a16:creationId xmlns:a16="http://schemas.microsoft.com/office/drawing/2014/main" id="{00000000-0008-0000-0D00-00005B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864" name="ZoneTexte 863" hidden="1">
          <a:extLst>
            <a:ext uri="{FF2B5EF4-FFF2-40B4-BE49-F238E27FC236}">
              <a16:creationId xmlns:a16="http://schemas.microsoft.com/office/drawing/2014/main" id="{00000000-0008-0000-0D00-000060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865" name="ZoneTexte 864" hidden="1">
          <a:extLst>
            <a:ext uri="{FF2B5EF4-FFF2-40B4-BE49-F238E27FC236}">
              <a16:creationId xmlns:a16="http://schemas.microsoft.com/office/drawing/2014/main" id="{00000000-0008-0000-0D00-000061030000}"/>
            </a:ext>
          </a:extLst>
        </xdr:cNvPr>
        <xdr:cNvSpPr txBox="1"/>
      </xdr:nvSpPr>
      <xdr:spPr>
        <a:xfrm>
          <a:off x="6027593" y="24879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68" name="ZoneTexte 867" hidden="1">
          <a:extLst>
            <a:ext uri="{FF2B5EF4-FFF2-40B4-BE49-F238E27FC236}">
              <a16:creationId xmlns:a16="http://schemas.microsoft.com/office/drawing/2014/main" id="{00000000-0008-0000-0D00-000064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871" name="ZoneTexte 870" hidden="1">
          <a:extLst>
            <a:ext uri="{FF2B5EF4-FFF2-40B4-BE49-F238E27FC236}">
              <a16:creationId xmlns:a16="http://schemas.microsoft.com/office/drawing/2014/main" id="{00000000-0008-0000-0D00-000067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872" name="ZoneTexte 871" hidden="1">
          <a:extLst>
            <a:ext uri="{FF2B5EF4-FFF2-40B4-BE49-F238E27FC236}">
              <a16:creationId xmlns:a16="http://schemas.microsoft.com/office/drawing/2014/main" id="{00000000-0008-0000-0D00-000068030000}"/>
            </a:ext>
          </a:extLst>
        </xdr:cNvPr>
        <xdr:cNvSpPr txBox="1"/>
      </xdr:nvSpPr>
      <xdr:spPr>
        <a:xfrm>
          <a:off x="6027593" y="24879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75" name="ZoneTexte 874" hidden="1">
          <a:extLst>
            <a:ext uri="{FF2B5EF4-FFF2-40B4-BE49-F238E27FC236}">
              <a16:creationId xmlns:a16="http://schemas.microsoft.com/office/drawing/2014/main" id="{00000000-0008-0000-0D00-00006B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80" name="ZoneTexte 879" hidden="1">
          <a:extLst>
            <a:ext uri="{FF2B5EF4-FFF2-40B4-BE49-F238E27FC236}">
              <a16:creationId xmlns:a16="http://schemas.microsoft.com/office/drawing/2014/main" id="{00000000-0008-0000-0D00-000070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81" name="ZoneTexte 880" hidden="1">
          <a:extLst>
            <a:ext uri="{FF2B5EF4-FFF2-40B4-BE49-F238E27FC236}">
              <a16:creationId xmlns:a16="http://schemas.microsoft.com/office/drawing/2014/main" id="{00000000-0008-0000-0D00-000071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886" name="ZoneTexte 885" hidden="1">
          <a:extLst>
            <a:ext uri="{FF2B5EF4-FFF2-40B4-BE49-F238E27FC236}">
              <a16:creationId xmlns:a16="http://schemas.microsoft.com/office/drawing/2014/main" id="{00000000-0008-0000-0D00-000076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887" name="ZoneTexte 886" hidden="1">
          <a:extLst>
            <a:ext uri="{FF2B5EF4-FFF2-40B4-BE49-F238E27FC236}">
              <a16:creationId xmlns:a16="http://schemas.microsoft.com/office/drawing/2014/main" id="{00000000-0008-0000-0D00-000077030000}"/>
            </a:ext>
          </a:extLst>
        </xdr:cNvPr>
        <xdr:cNvSpPr txBox="1"/>
      </xdr:nvSpPr>
      <xdr:spPr>
        <a:xfrm>
          <a:off x="6027593" y="24879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90" name="ZoneTexte 889" hidden="1">
          <a:extLst>
            <a:ext uri="{FF2B5EF4-FFF2-40B4-BE49-F238E27FC236}">
              <a16:creationId xmlns:a16="http://schemas.microsoft.com/office/drawing/2014/main" id="{00000000-0008-0000-0D00-00007A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893" name="ZoneTexte 892" hidden="1">
          <a:extLst>
            <a:ext uri="{FF2B5EF4-FFF2-40B4-BE49-F238E27FC236}">
              <a16:creationId xmlns:a16="http://schemas.microsoft.com/office/drawing/2014/main" id="{00000000-0008-0000-0D00-00007D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894" name="ZoneTexte 893" hidden="1">
          <a:extLst>
            <a:ext uri="{FF2B5EF4-FFF2-40B4-BE49-F238E27FC236}">
              <a16:creationId xmlns:a16="http://schemas.microsoft.com/office/drawing/2014/main" id="{00000000-0008-0000-0D00-00007E030000}"/>
            </a:ext>
          </a:extLst>
        </xdr:cNvPr>
        <xdr:cNvSpPr txBox="1"/>
      </xdr:nvSpPr>
      <xdr:spPr>
        <a:xfrm>
          <a:off x="6027593" y="24879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897" name="ZoneTexte 896" hidden="1">
          <a:extLst>
            <a:ext uri="{FF2B5EF4-FFF2-40B4-BE49-F238E27FC236}">
              <a16:creationId xmlns:a16="http://schemas.microsoft.com/office/drawing/2014/main" id="{00000000-0008-0000-0D00-000081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02" name="ZoneTexte 901" hidden="1">
          <a:extLst>
            <a:ext uri="{FF2B5EF4-FFF2-40B4-BE49-F238E27FC236}">
              <a16:creationId xmlns:a16="http://schemas.microsoft.com/office/drawing/2014/main" id="{00000000-0008-0000-0D00-000086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03" name="ZoneTexte 902" hidden="1">
          <a:extLst>
            <a:ext uri="{FF2B5EF4-FFF2-40B4-BE49-F238E27FC236}">
              <a16:creationId xmlns:a16="http://schemas.microsoft.com/office/drawing/2014/main" id="{00000000-0008-0000-0D00-000087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910" name="ZoneTexte 909" hidden="1">
          <a:extLst>
            <a:ext uri="{FF2B5EF4-FFF2-40B4-BE49-F238E27FC236}">
              <a16:creationId xmlns:a16="http://schemas.microsoft.com/office/drawing/2014/main" id="{00000000-0008-0000-0D00-00008E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911" name="ZoneTexte 910" hidden="1">
          <a:extLst>
            <a:ext uri="{FF2B5EF4-FFF2-40B4-BE49-F238E27FC236}">
              <a16:creationId xmlns:a16="http://schemas.microsoft.com/office/drawing/2014/main" id="{00000000-0008-0000-0D00-00008F030000}"/>
            </a:ext>
          </a:extLst>
        </xdr:cNvPr>
        <xdr:cNvSpPr txBox="1"/>
      </xdr:nvSpPr>
      <xdr:spPr>
        <a:xfrm>
          <a:off x="6027593" y="24879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14" name="ZoneTexte 913" hidden="1">
          <a:extLst>
            <a:ext uri="{FF2B5EF4-FFF2-40B4-BE49-F238E27FC236}">
              <a16:creationId xmlns:a16="http://schemas.microsoft.com/office/drawing/2014/main" id="{00000000-0008-0000-0D00-000092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917" name="ZoneTexte 916" hidden="1">
          <a:extLst>
            <a:ext uri="{FF2B5EF4-FFF2-40B4-BE49-F238E27FC236}">
              <a16:creationId xmlns:a16="http://schemas.microsoft.com/office/drawing/2014/main" id="{00000000-0008-0000-0D00-000095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918" name="ZoneTexte 917" hidden="1">
          <a:extLst>
            <a:ext uri="{FF2B5EF4-FFF2-40B4-BE49-F238E27FC236}">
              <a16:creationId xmlns:a16="http://schemas.microsoft.com/office/drawing/2014/main" id="{00000000-0008-0000-0D00-000096030000}"/>
            </a:ext>
          </a:extLst>
        </xdr:cNvPr>
        <xdr:cNvSpPr txBox="1"/>
      </xdr:nvSpPr>
      <xdr:spPr>
        <a:xfrm>
          <a:off x="6027593" y="24879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21" name="ZoneTexte 920" hidden="1">
          <a:extLst>
            <a:ext uri="{FF2B5EF4-FFF2-40B4-BE49-F238E27FC236}">
              <a16:creationId xmlns:a16="http://schemas.microsoft.com/office/drawing/2014/main" id="{00000000-0008-0000-0D00-000099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26" name="ZoneTexte 925" hidden="1">
          <a:extLst>
            <a:ext uri="{FF2B5EF4-FFF2-40B4-BE49-F238E27FC236}">
              <a16:creationId xmlns:a16="http://schemas.microsoft.com/office/drawing/2014/main" id="{00000000-0008-0000-0D00-00009E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27" name="ZoneTexte 926" hidden="1">
          <a:extLst>
            <a:ext uri="{FF2B5EF4-FFF2-40B4-BE49-F238E27FC236}">
              <a16:creationId xmlns:a16="http://schemas.microsoft.com/office/drawing/2014/main" id="{00000000-0008-0000-0D00-00009F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928" name="ZoneTexte 927" hidden="1">
          <a:extLst>
            <a:ext uri="{FF2B5EF4-FFF2-40B4-BE49-F238E27FC236}">
              <a16:creationId xmlns:a16="http://schemas.microsoft.com/office/drawing/2014/main" id="{00000000-0008-0000-0D00-0000A0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929" name="ZoneTexte 928" hidden="1">
          <a:extLst>
            <a:ext uri="{FF2B5EF4-FFF2-40B4-BE49-F238E27FC236}">
              <a16:creationId xmlns:a16="http://schemas.microsoft.com/office/drawing/2014/main" id="{00000000-0008-0000-0D00-0000A1030000}"/>
            </a:ext>
          </a:extLst>
        </xdr:cNvPr>
        <xdr:cNvSpPr txBox="1"/>
      </xdr:nvSpPr>
      <xdr:spPr>
        <a:xfrm>
          <a:off x="6027593" y="24879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32" name="ZoneTexte 931" hidden="1">
          <a:extLst>
            <a:ext uri="{FF2B5EF4-FFF2-40B4-BE49-F238E27FC236}">
              <a16:creationId xmlns:a16="http://schemas.microsoft.com/office/drawing/2014/main" id="{00000000-0008-0000-0D00-0000A4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935" name="ZoneTexte 934" hidden="1">
          <a:extLst>
            <a:ext uri="{FF2B5EF4-FFF2-40B4-BE49-F238E27FC236}">
              <a16:creationId xmlns:a16="http://schemas.microsoft.com/office/drawing/2014/main" id="{00000000-0008-0000-0D00-0000A7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207</xdr:row>
      <xdr:rowOff>3706090</xdr:rowOff>
    </xdr:from>
    <xdr:to>
      <xdr:col>2</xdr:col>
      <xdr:colOff>5142675</xdr:colOff>
      <xdr:row>207</xdr:row>
      <xdr:rowOff>4005447</xdr:rowOff>
    </xdr:to>
    <xdr:sp macro="" textlink="">
      <xdr:nvSpPr>
        <xdr:cNvPr id="936" name="ZoneTexte 935" hidden="1">
          <a:extLst>
            <a:ext uri="{FF2B5EF4-FFF2-40B4-BE49-F238E27FC236}">
              <a16:creationId xmlns:a16="http://schemas.microsoft.com/office/drawing/2014/main" id="{00000000-0008-0000-0D00-0000A8030000}"/>
            </a:ext>
          </a:extLst>
        </xdr:cNvPr>
        <xdr:cNvSpPr txBox="1"/>
      </xdr:nvSpPr>
      <xdr:spPr>
        <a:xfrm>
          <a:off x="6027593" y="24879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39" name="ZoneTexte 938" hidden="1">
          <a:extLst>
            <a:ext uri="{FF2B5EF4-FFF2-40B4-BE49-F238E27FC236}">
              <a16:creationId xmlns:a16="http://schemas.microsoft.com/office/drawing/2014/main" id="{00000000-0008-0000-0D00-0000AB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44" name="ZoneTexte 943" hidden="1">
          <a:extLst>
            <a:ext uri="{FF2B5EF4-FFF2-40B4-BE49-F238E27FC236}">
              <a16:creationId xmlns:a16="http://schemas.microsoft.com/office/drawing/2014/main" id="{00000000-0008-0000-0D00-0000B0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45" name="ZoneTexte 944" hidden="1">
          <a:extLst>
            <a:ext uri="{FF2B5EF4-FFF2-40B4-BE49-F238E27FC236}">
              <a16:creationId xmlns:a16="http://schemas.microsoft.com/office/drawing/2014/main" id="{00000000-0008-0000-0D00-0000B1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50" name="ZoneTexte 949" hidden="1">
          <a:extLst>
            <a:ext uri="{FF2B5EF4-FFF2-40B4-BE49-F238E27FC236}">
              <a16:creationId xmlns:a16="http://schemas.microsoft.com/office/drawing/2014/main" id="{00000000-0008-0000-0D00-0000B6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51" name="ZoneTexte 950" hidden="1">
          <a:extLst>
            <a:ext uri="{FF2B5EF4-FFF2-40B4-BE49-F238E27FC236}">
              <a16:creationId xmlns:a16="http://schemas.microsoft.com/office/drawing/2014/main" id="{00000000-0008-0000-0D00-0000B7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956" name="ZoneTexte 955" hidden="1">
          <a:extLst>
            <a:ext uri="{FF2B5EF4-FFF2-40B4-BE49-F238E27FC236}">
              <a16:creationId xmlns:a16="http://schemas.microsoft.com/office/drawing/2014/main" id="{00000000-0008-0000-0D00-0000BC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208</xdr:row>
      <xdr:rowOff>2412999</xdr:rowOff>
    </xdr:from>
    <xdr:to>
      <xdr:col>2</xdr:col>
      <xdr:colOff>5327402</xdr:colOff>
      <xdr:row>208</xdr:row>
      <xdr:rowOff>2712356</xdr:rowOff>
    </xdr:to>
    <xdr:sp macro="" textlink="">
      <xdr:nvSpPr>
        <xdr:cNvPr id="957" name="ZoneTexte 956" hidden="1">
          <a:extLst>
            <a:ext uri="{FF2B5EF4-FFF2-40B4-BE49-F238E27FC236}">
              <a16:creationId xmlns:a16="http://schemas.microsoft.com/office/drawing/2014/main" id="{00000000-0008-0000-0D00-0000BD030000}"/>
            </a:ext>
          </a:extLst>
        </xdr:cNvPr>
        <xdr:cNvSpPr txBox="1"/>
      </xdr:nvSpPr>
      <xdr:spPr>
        <a:xfrm>
          <a:off x="6021820" y="25120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58" name="ZoneTexte 957" hidden="1">
          <a:extLst>
            <a:ext uri="{FF2B5EF4-FFF2-40B4-BE49-F238E27FC236}">
              <a16:creationId xmlns:a16="http://schemas.microsoft.com/office/drawing/2014/main" id="{00000000-0008-0000-0D00-0000BE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207</xdr:row>
      <xdr:rowOff>2412999</xdr:rowOff>
    </xdr:from>
    <xdr:to>
      <xdr:col>2</xdr:col>
      <xdr:colOff>5327402</xdr:colOff>
      <xdr:row>207</xdr:row>
      <xdr:rowOff>2712356</xdr:rowOff>
    </xdr:to>
    <xdr:sp macro="" textlink="">
      <xdr:nvSpPr>
        <xdr:cNvPr id="959" name="ZoneTexte 958" hidden="1">
          <a:extLst>
            <a:ext uri="{FF2B5EF4-FFF2-40B4-BE49-F238E27FC236}">
              <a16:creationId xmlns:a16="http://schemas.microsoft.com/office/drawing/2014/main" id="{00000000-0008-0000-0D00-0000BF030000}"/>
            </a:ext>
          </a:extLst>
        </xdr:cNvPr>
        <xdr:cNvSpPr txBox="1"/>
      </xdr:nvSpPr>
      <xdr:spPr>
        <a:xfrm>
          <a:off x="6021820" y="24879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208</xdr:row>
      <xdr:rowOff>2412999</xdr:rowOff>
    </xdr:from>
    <xdr:to>
      <xdr:col>2</xdr:col>
      <xdr:colOff>5327402</xdr:colOff>
      <xdr:row>208</xdr:row>
      <xdr:rowOff>2712356</xdr:rowOff>
    </xdr:to>
    <xdr:sp macro="" textlink="">
      <xdr:nvSpPr>
        <xdr:cNvPr id="960" name="ZoneTexte 959" hidden="1">
          <a:extLst>
            <a:ext uri="{FF2B5EF4-FFF2-40B4-BE49-F238E27FC236}">
              <a16:creationId xmlns:a16="http://schemas.microsoft.com/office/drawing/2014/main" id="{00000000-0008-0000-0D00-0000C0030000}"/>
            </a:ext>
          </a:extLst>
        </xdr:cNvPr>
        <xdr:cNvSpPr txBox="1"/>
      </xdr:nvSpPr>
      <xdr:spPr>
        <a:xfrm>
          <a:off x="6021820" y="25120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61" name="ZoneTexte 960" hidden="1">
          <a:extLst>
            <a:ext uri="{FF2B5EF4-FFF2-40B4-BE49-F238E27FC236}">
              <a16:creationId xmlns:a16="http://schemas.microsoft.com/office/drawing/2014/main" id="{00000000-0008-0000-0D00-0000C1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62" name="ZoneTexte 961" hidden="1">
          <a:extLst>
            <a:ext uri="{FF2B5EF4-FFF2-40B4-BE49-F238E27FC236}">
              <a16:creationId xmlns:a16="http://schemas.microsoft.com/office/drawing/2014/main" id="{00000000-0008-0000-0D00-0000C2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222</xdr:row>
      <xdr:rowOff>2412999</xdr:rowOff>
    </xdr:from>
    <xdr:to>
      <xdr:col>2</xdr:col>
      <xdr:colOff>5327402</xdr:colOff>
      <xdr:row>222</xdr:row>
      <xdr:rowOff>2712356</xdr:rowOff>
    </xdr:to>
    <xdr:sp macro="" textlink="">
      <xdr:nvSpPr>
        <xdr:cNvPr id="963" name="ZoneTexte 962" hidden="1">
          <a:extLst>
            <a:ext uri="{FF2B5EF4-FFF2-40B4-BE49-F238E27FC236}">
              <a16:creationId xmlns:a16="http://schemas.microsoft.com/office/drawing/2014/main" id="{00000000-0008-0000-0D00-0000C3030000}"/>
            </a:ext>
          </a:extLst>
        </xdr:cNvPr>
        <xdr:cNvSpPr txBox="1"/>
      </xdr:nvSpPr>
      <xdr:spPr>
        <a:xfrm>
          <a:off x="6021820" y="265747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208</xdr:row>
      <xdr:rowOff>2412999</xdr:rowOff>
    </xdr:from>
    <xdr:to>
      <xdr:col>2</xdr:col>
      <xdr:colOff>5327402</xdr:colOff>
      <xdr:row>208</xdr:row>
      <xdr:rowOff>2712356</xdr:rowOff>
    </xdr:to>
    <xdr:sp macro="" textlink="">
      <xdr:nvSpPr>
        <xdr:cNvPr id="964" name="ZoneTexte 963" hidden="1">
          <a:extLst>
            <a:ext uri="{FF2B5EF4-FFF2-40B4-BE49-F238E27FC236}">
              <a16:creationId xmlns:a16="http://schemas.microsoft.com/office/drawing/2014/main" id="{00000000-0008-0000-0D00-0000C4030000}"/>
            </a:ext>
          </a:extLst>
        </xdr:cNvPr>
        <xdr:cNvSpPr txBox="1"/>
      </xdr:nvSpPr>
      <xdr:spPr>
        <a:xfrm>
          <a:off x="6021820" y="25120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208</xdr:row>
      <xdr:rowOff>2412999</xdr:rowOff>
    </xdr:from>
    <xdr:to>
      <xdr:col>2</xdr:col>
      <xdr:colOff>5327402</xdr:colOff>
      <xdr:row>208</xdr:row>
      <xdr:rowOff>2712356</xdr:rowOff>
    </xdr:to>
    <xdr:sp macro="" textlink="">
      <xdr:nvSpPr>
        <xdr:cNvPr id="965" name="ZoneTexte 964" hidden="1">
          <a:extLst>
            <a:ext uri="{FF2B5EF4-FFF2-40B4-BE49-F238E27FC236}">
              <a16:creationId xmlns:a16="http://schemas.microsoft.com/office/drawing/2014/main" id="{00000000-0008-0000-0D00-0000C5030000}"/>
            </a:ext>
          </a:extLst>
        </xdr:cNvPr>
        <xdr:cNvSpPr txBox="1"/>
      </xdr:nvSpPr>
      <xdr:spPr>
        <a:xfrm>
          <a:off x="6021820" y="25120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208</xdr:row>
      <xdr:rowOff>2412999</xdr:rowOff>
    </xdr:from>
    <xdr:to>
      <xdr:col>2</xdr:col>
      <xdr:colOff>5327402</xdr:colOff>
      <xdr:row>208</xdr:row>
      <xdr:rowOff>2712356</xdr:rowOff>
    </xdr:to>
    <xdr:sp macro="" textlink="">
      <xdr:nvSpPr>
        <xdr:cNvPr id="966" name="ZoneTexte 965" hidden="1">
          <a:extLst>
            <a:ext uri="{FF2B5EF4-FFF2-40B4-BE49-F238E27FC236}">
              <a16:creationId xmlns:a16="http://schemas.microsoft.com/office/drawing/2014/main" id="{00000000-0008-0000-0D00-0000C6030000}"/>
            </a:ext>
          </a:extLst>
        </xdr:cNvPr>
        <xdr:cNvSpPr txBox="1"/>
      </xdr:nvSpPr>
      <xdr:spPr>
        <a:xfrm>
          <a:off x="6021820" y="25120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208</xdr:row>
      <xdr:rowOff>2412999</xdr:rowOff>
    </xdr:from>
    <xdr:to>
      <xdr:col>2</xdr:col>
      <xdr:colOff>5327402</xdr:colOff>
      <xdr:row>208</xdr:row>
      <xdr:rowOff>2712356</xdr:rowOff>
    </xdr:to>
    <xdr:sp macro="" textlink="">
      <xdr:nvSpPr>
        <xdr:cNvPr id="967" name="ZoneTexte 966" hidden="1">
          <a:extLst>
            <a:ext uri="{FF2B5EF4-FFF2-40B4-BE49-F238E27FC236}">
              <a16:creationId xmlns:a16="http://schemas.microsoft.com/office/drawing/2014/main" id="{00000000-0008-0000-0D00-0000C7030000}"/>
            </a:ext>
          </a:extLst>
        </xdr:cNvPr>
        <xdr:cNvSpPr txBox="1"/>
      </xdr:nvSpPr>
      <xdr:spPr>
        <a:xfrm>
          <a:off x="6021820" y="25120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208</xdr:row>
      <xdr:rowOff>2412999</xdr:rowOff>
    </xdr:from>
    <xdr:to>
      <xdr:col>2</xdr:col>
      <xdr:colOff>5327402</xdr:colOff>
      <xdr:row>208</xdr:row>
      <xdr:rowOff>2712356</xdr:rowOff>
    </xdr:to>
    <xdr:sp macro="" textlink="">
      <xdr:nvSpPr>
        <xdr:cNvPr id="968" name="ZoneTexte 967" hidden="1">
          <a:extLst>
            <a:ext uri="{FF2B5EF4-FFF2-40B4-BE49-F238E27FC236}">
              <a16:creationId xmlns:a16="http://schemas.microsoft.com/office/drawing/2014/main" id="{00000000-0008-0000-0D00-0000C8030000}"/>
            </a:ext>
          </a:extLst>
        </xdr:cNvPr>
        <xdr:cNvSpPr txBox="1"/>
      </xdr:nvSpPr>
      <xdr:spPr>
        <a:xfrm>
          <a:off x="6021820" y="25120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208</xdr:row>
      <xdr:rowOff>2412999</xdr:rowOff>
    </xdr:from>
    <xdr:to>
      <xdr:col>2</xdr:col>
      <xdr:colOff>5327402</xdr:colOff>
      <xdr:row>208</xdr:row>
      <xdr:rowOff>2712356</xdr:rowOff>
    </xdr:to>
    <xdr:sp macro="" textlink="">
      <xdr:nvSpPr>
        <xdr:cNvPr id="969" name="ZoneTexte 968" hidden="1">
          <a:extLst>
            <a:ext uri="{FF2B5EF4-FFF2-40B4-BE49-F238E27FC236}">
              <a16:creationId xmlns:a16="http://schemas.microsoft.com/office/drawing/2014/main" id="{00000000-0008-0000-0D00-0000C9030000}"/>
            </a:ext>
          </a:extLst>
        </xdr:cNvPr>
        <xdr:cNvSpPr txBox="1"/>
      </xdr:nvSpPr>
      <xdr:spPr>
        <a:xfrm>
          <a:off x="6021820" y="25120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208</xdr:row>
      <xdr:rowOff>2412999</xdr:rowOff>
    </xdr:from>
    <xdr:to>
      <xdr:col>2</xdr:col>
      <xdr:colOff>5327402</xdr:colOff>
      <xdr:row>208</xdr:row>
      <xdr:rowOff>2712356</xdr:rowOff>
    </xdr:to>
    <xdr:sp macro="" textlink="">
      <xdr:nvSpPr>
        <xdr:cNvPr id="970" name="ZoneTexte 969" hidden="1">
          <a:extLst>
            <a:ext uri="{FF2B5EF4-FFF2-40B4-BE49-F238E27FC236}">
              <a16:creationId xmlns:a16="http://schemas.microsoft.com/office/drawing/2014/main" id="{00000000-0008-0000-0D00-0000CA030000}"/>
            </a:ext>
          </a:extLst>
        </xdr:cNvPr>
        <xdr:cNvSpPr txBox="1"/>
      </xdr:nvSpPr>
      <xdr:spPr>
        <a:xfrm>
          <a:off x="6021820" y="25120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208</xdr:row>
      <xdr:rowOff>2412999</xdr:rowOff>
    </xdr:from>
    <xdr:to>
      <xdr:col>2</xdr:col>
      <xdr:colOff>5327402</xdr:colOff>
      <xdr:row>208</xdr:row>
      <xdr:rowOff>2712356</xdr:rowOff>
    </xdr:to>
    <xdr:sp macro="" textlink="">
      <xdr:nvSpPr>
        <xdr:cNvPr id="972" name="ZoneTexte 971" hidden="1">
          <a:extLst>
            <a:ext uri="{FF2B5EF4-FFF2-40B4-BE49-F238E27FC236}">
              <a16:creationId xmlns:a16="http://schemas.microsoft.com/office/drawing/2014/main" id="{00000000-0008-0000-0D00-0000CC030000}"/>
            </a:ext>
          </a:extLst>
        </xdr:cNvPr>
        <xdr:cNvSpPr txBox="1"/>
      </xdr:nvSpPr>
      <xdr:spPr>
        <a:xfrm>
          <a:off x="6021820" y="251205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974" name="ZoneTexte 973" hidden="1">
          <a:extLst>
            <a:ext uri="{FF2B5EF4-FFF2-40B4-BE49-F238E27FC236}">
              <a16:creationId xmlns:a16="http://schemas.microsoft.com/office/drawing/2014/main" id="{00000000-0008-0000-0D00-0000CE030000}"/>
            </a:ext>
          </a:extLst>
        </xdr:cNvPr>
        <xdr:cNvSpPr txBox="1"/>
      </xdr:nvSpPr>
      <xdr:spPr>
        <a:xfrm>
          <a:off x="6021820" y="259146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975" name="ZoneTexte 974" hidden="1">
          <a:extLst>
            <a:ext uri="{FF2B5EF4-FFF2-40B4-BE49-F238E27FC236}">
              <a16:creationId xmlns:a16="http://schemas.microsoft.com/office/drawing/2014/main" id="{00000000-0008-0000-0D00-0000CF030000}"/>
            </a:ext>
          </a:extLst>
        </xdr:cNvPr>
        <xdr:cNvSpPr txBox="1"/>
      </xdr:nvSpPr>
      <xdr:spPr>
        <a:xfrm>
          <a:off x="6021820" y="259146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980" name="ZoneTexte 979" hidden="1">
          <a:extLst>
            <a:ext uri="{FF2B5EF4-FFF2-40B4-BE49-F238E27FC236}">
              <a16:creationId xmlns:a16="http://schemas.microsoft.com/office/drawing/2014/main" id="{00000000-0008-0000-0D00-0000D403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981" name="ZoneTexte 980" hidden="1">
          <a:extLst>
            <a:ext uri="{FF2B5EF4-FFF2-40B4-BE49-F238E27FC236}">
              <a16:creationId xmlns:a16="http://schemas.microsoft.com/office/drawing/2014/main" id="{00000000-0008-0000-0D00-0000D503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984" name="ZoneTexte 983" hidden="1">
          <a:extLst>
            <a:ext uri="{FF2B5EF4-FFF2-40B4-BE49-F238E27FC236}">
              <a16:creationId xmlns:a16="http://schemas.microsoft.com/office/drawing/2014/main" id="{00000000-0008-0000-0D00-0000D803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987" name="ZoneTexte 986" hidden="1">
          <a:extLst>
            <a:ext uri="{FF2B5EF4-FFF2-40B4-BE49-F238E27FC236}">
              <a16:creationId xmlns:a16="http://schemas.microsoft.com/office/drawing/2014/main" id="{00000000-0008-0000-0D00-0000DB03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988" name="ZoneTexte 987" hidden="1">
          <a:extLst>
            <a:ext uri="{FF2B5EF4-FFF2-40B4-BE49-F238E27FC236}">
              <a16:creationId xmlns:a16="http://schemas.microsoft.com/office/drawing/2014/main" id="{00000000-0008-0000-0D00-0000DC03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991" name="ZoneTexte 990" hidden="1">
          <a:extLst>
            <a:ext uri="{FF2B5EF4-FFF2-40B4-BE49-F238E27FC236}">
              <a16:creationId xmlns:a16="http://schemas.microsoft.com/office/drawing/2014/main" id="{00000000-0008-0000-0D00-0000DF03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996" name="ZoneTexte 995" hidden="1">
          <a:extLst>
            <a:ext uri="{FF2B5EF4-FFF2-40B4-BE49-F238E27FC236}">
              <a16:creationId xmlns:a16="http://schemas.microsoft.com/office/drawing/2014/main" id="{00000000-0008-0000-0D00-0000E403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997" name="ZoneTexte 996" hidden="1">
          <a:extLst>
            <a:ext uri="{FF2B5EF4-FFF2-40B4-BE49-F238E27FC236}">
              <a16:creationId xmlns:a16="http://schemas.microsoft.com/office/drawing/2014/main" id="{00000000-0008-0000-0D00-0000E503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002" name="ZoneTexte 1001" hidden="1">
          <a:extLst>
            <a:ext uri="{FF2B5EF4-FFF2-40B4-BE49-F238E27FC236}">
              <a16:creationId xmlns:a16="http://schemas.microsoft.com/office/drawing/2014/main" id="{00000000-0008-0000-0D00-0000EA03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1003" name="ZoneTexte 1002" hidden="1">
          <a:extLst>
            <a:ext uri="{FF2B5EF4-FFF2-40B4-BE49-F238E27FC236}">
              <a16:creationId xmlns:a16="http://schemas.microsoft.com/office/drawing/2014/main" id="{00000000-0008-0000-0D00-0000EB03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06" name="ZoneTexte 1005" hidden="1">
          <a:extLst>
            <a:ext uri="{FF2B5EF4-FFF2-40B4-BE49-F238E27FC236}">
              <a16:creationId xmlns:a16="http://schemas.microsoft.com/office/drawing/2014/main" id="{00000000-0008-0000-0D00-0000EE03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009" name="ZoneTexte 1008" hidden="1">
          <a:extLst>
            <a:ext uri="{FF2B5EF4-FFF2-40B4-BE49-F238E27FC236}">
              <a16:creationId xmlns:a16="http://schemas.microsoft.com/office/drawing/2014/main" id="{00000000-0008-0000-0D00-0000F103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1010" name="ZoneTexte 1009" hidden="1">
          <a:extLst>
            <a:ext uri="{FF2B5EF4-FFF2-40B4-BE49-F238E27FC236}">
              <a16:creationId xmlns:a16="http://schemas.microsoft.com/office/drawing/2014/main" id="{00000000-0008-0000-0D00-0000F203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13" name="ZoneTexte 1012" hidden="1">
          <a:extLst>
            <a:ext uri="{FF2B5EF4-FFF2-40B4-BE49-F238E27FC236}">
              <a16:creationId xmlns:a16="http://schemas.microsoft.com/office/drawing/2014/main" id="{00000000-0008-0000-0D00-0000F503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18" name="ZoneTexte 1017" hidden="1">
          <a:extLst>
            <a:ext uri="{FF2B5EF4-FFF2-40B4-BE49-F238E27FC236}">
              <a16:creationId xmlns:a16="http://schemas.microsoft.com/office/drawing/2014/main" id="{00000000-0008-0000-0D00-0000FA03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19" name="ZoneTexte 1018" hidden="1">
          <a:extLst>
            <a:ext uri="{FF2B5EF4-FFF2-40B4-BE49-F238E27FC236}">
              <a16:creationId xmlns:a16="http://schemas.microsoft.com/office/drawing/2014/main" id="{00000000-0008-0000-0D00-0000FB03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024" name="ZoneTexte 1023" hidden="1">
          <a:extLst>
            <a:ext uri="{FF2B5EF4-FFF2-40B4-BE49-F238E27FC236}">
              <a16:creationId xmlns:a16="http://schemas.microsoft.com/office/drawing/2014/main" id="{00000000-0008-0000-0D00-00000004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1025" name="ZoneTexte 1024" hidden="1">
          <a:extLst>
            <a:ext uri="{FF2B5EF4-FFF2-40B4-BE49-F238E27FC236}">
              <a16:creationId xmlns:a16="http://schemas.microsoft.com/office/drawing/2014/main" id="{00000000-0008-0000-0D00-00000104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28" name="ZoneTexte 1027" hidden="1">
          <a:extLst>
            <a:ext uri="{FF2B5EF4-FFF2-40B4-BE49-F238E27FC236}">
              <a16:creationId xmlns:a16="http://schemas.microsoft.com/office/drawing/2014/main" id="{00000000-0008-0000-0D00-000004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031" name="ZoneTexte 1030" hidden="1">
          <a:extLst>
            <a:ext uri="{FF2B5EF4-FFF2-40B4-BE49-F238E27FC236}">
              <a16:creationId xmlns:a16="http://schemas.microsoft.com/office/drawing/2014/main" id="{00000000-0008-0000-0D00-00000704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1032" name="ZoneTexte 1031" hidden="1">
          <a:extLst>
            <a:ext uri="{FF2B5EF4-FFF2-40B4-BE49-F238E27FC236}">
              <a16:creationId xmlns:a16="http://schemas.microsoft.com/office/drawing/2014/main" id="{00000000-0008-0000-0D00-00000804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35" name="ZoneTexte 1034" hidden="1">
          <a:extLst>
            <a:ext uri="{FF2B5EF4-FFF2-40B4-BE49-F238E27FC236}">
              <a16:creationId xmlns:a16="http://schemas.microsoft.com/office/drawing/2014/main" id="{00000000-0008-0000-0D00-00000B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40" name="ZoneTexte 1039" hidden="1">
          <a:extLst>
            <a:ext uri="{FF2B5EF4-FFF2-40B4-BE49-F238E27FC236}">
              <a16:creationId xmlns:a16="http://schemas.microsoft.com/office/drawing/2014/main" id="{00000000-0008-0000-0D00-000010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41" name="ZoneTexte 1040" hidden="1">
          <a:extLst>
            <a:ext uri="{FF2B5EF4-FFF2-40B4-BE49-F238E27FC236}">
              <a16:creationId xmlns:a16="http://schemas.microsoft.com/office/drawing/2014/main" id="{00000000-0008-0000-0D00-000011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046" name="ZoneTexte 1045" hidden="1">
          <a:extLst>
            <a:ext uri="{FF2B5EF4-FFF2-40B4-BE49-F238E27FC236}">
              <a16:creationId xmlns:a16="http://schemas.microsoft.com/office/drawing/2014/main" id="{00000000-0008-0000-0D00-00001604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1047" name="ZoneTexte 1046" hidden="1">
          <a:extLst>
            <a:ext uri="{FF2B5EF4-FFF2-40B4-BE49-F238E27FC236}">
              <a16:creationId xmlns:a16="http://schemas.microsoft.com/office/drawing/2014/main" id="{00000000-0008-0000-0D00-00001704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50" name="ZoneTexte 1049" hidden="1">
          <a:extLst>
            <a:ext uri="{FF2B5EF4-FFF2-40B4-BE49-F238E27FC236}">
              <a16:creationId xmlns:a16="http://schemas.microsoft.com/office/drawing/2014/main" id="{00000000-0008-0000-0D00-00001A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053" name="ZoneTexte 1052" hidden="1">
          <a:extLst>
            <a:ext uri="{FF2B5EF4-FFF2-40B4-BE49-F238E27FC236}">
              <a16:creationId xmlns:a16="http://schemas.microsoft.com/office/drawing/2014/main" id="{00000000-0008-0000-0D00-00001D04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1054" name="ZoneTexte 1053" hidden="1">
          <a:extLst>
            <a:ext uri="{FF2B5EF4-FFF2-40B4-BE49-F238E27FC236}">
              <a16:creationId xmlns:a16="http://schemas.microsoft.com/office/drawing/2014/main" id="{00000000-0008-0000-0D00-00001E04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57" name="ZoneTexte 1056" hidden="1">
          <a:extLst>
            <a:ext uri="{FF2B5EF4-FFF2-40B4-BE49-F238E27FC236}">
              <a16:creationId xmlns:a16="http://schemas.microsoft.com/office/drawing/2014/main" id="{00000000-0008-0000-0D00-000021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62" name="ZoneTexte 1061" hidden="1">
          <a:extLst>
            <a:ext uri="{FF2B5EF4-FFF2-40B4-BE49-F238E27FC236}">
              <a16:creationId xmlns:a16="http://schemas.microsoft.com/office/drawing/2014/main" id="{00000000-0008-0000-0D00-000026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63" name="ZoneTexte 1062" hidden="1">
          <a:extLst>
            <a:ext uri="{FF2B5EF4-FFF2-40B4-BE49-F238E27FC236}">
              <a16:creationId xmlns:a16="http://schemas.microsoft.com/office/drawing/2014/main" id="{00000000-0008-0000-0D00-000027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068" name="ZoneTexte 1067" hidden="1">
          <a:extLst>
            <a:ext uri="{FF2B5EF4-FFF2-40B4-BE49-F238E27FC236}">
              <a16:creationId xmlns:a16="http://schemas.microsoft.com/office/drawing/2014/main" id="{00000000-0008-0000-0D00-00002C04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1069" name="ZoneTexte 1068" hidden="1">
          <a:extLst>
            <a:ext uri="{FF2B5EF4-FFF2-40B4-BE49-F238E27FC236}">
              <a16:creationId xmlns:a16="http://schemas.microsoft.com/office/drawing/2014/main" id="{00000000-0008-0000-0D00-00002D04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72" name="ZoneTexte 1071" hidden="1">
          <a:extLst>
            <a:ext uri="{FF2B5EF4-FFF2-40B4-BE49-F238E27FC236}">
              <a16:creationId xmlns:a16="http://schemas.microsoft.com/office/drawing/2014/main" id="{00000000-0008-0000-0D00-000030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075" name="ZoneTexte 1074" hidden="1">
          <a:extLst>
            <a:ext uri="{FF2B5EF4-FFF2-40B4-BE49-F238E27FC236}">
              <a16:creationId xmlns:a16="http://schemas.microsoft.com/office/drawing/2014/main" id="{00000000-0008-0000-0D00-00003304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1076" name="ZoneTexte 1075" hidden="1">
          <a:extLst>
            <a:ext uri="{FF2B5EF4-FFF2-40B4-BE49-F238E27FC236}">
              <a16:creationId xmlns:a16="http://schemas.microsoft.com/office/drawing/2014/main" id="{00000000-0008-0000-0D00-00003404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79" name="ZoneTexte 1078" hidden="1">
          <a:extLst>
            <a:ext uri="{FF2B5EF4-FFF2-40B4-BE49-F238E27FC236}">
              <a16:creationId xmlns:a16="http://schemas.microsoft.com/office/drawing/2014/main" id="{00000000-0008-0000-0D00-000037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84" name="ZoneTexte 1083" hidden="1">
          <a:extLst>
            <a:ext uri="{FF2B5EF4-FFF2-40B4-BE49-F238E27FC236}">
              <a16:creationId xmlns:a16="http://schemas.microsoft.com/office/drawing/2014/main" id="{00000000-0008-0000-0D00-00003C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85" name="ZoneTexte 1084" hidden="1">
          <a:extLst>
            <a:ext uri="{FF2B5EF4-FFF2-40B4-BE49-F238E27FC236}">
              <a16:creationId xmlns:a16="http://schemas.microsoft.com/office/drawing/2014/main" id="{00000000-0008-0000-0D00-00003D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092" name="ZoneTexte 1091" hidden="1">
          <a:extLst>
            <a:ext uri="{FF2B5EF4-FFF2-40B4-BE49-F238E27FC236}">
              <a16:creationId xmlns:a16="http://schemas.microsoft.com/office/drawing/2014/main" id="{00000000-0008-0000-0D00-00004404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1093" name="ZoneTexte 1092" hidden="1">
          <a:extLst>
            <a:ext uri="{FF2B5EF4-FFF2-40B4-BE49-F238E27FC236}">
              <a16:creationId xmlns:a16="http://schemas.microsoft.com/office/drawing/2014/main" id="{00000000-0008-0000-0D00-00004504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096" name="ZoneTexte 1095" hidden="1">
          <a:extLst>
            <a:ext uri="{FF2B5EF4-FFF2-40B4-BE49-F238E27FC236}">
              <a16:creationId xmlns:a16="http://schemas.microsoft.com/office/drawing/2014/main" id="{00000000-0008-0000-0D00-000048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099" name="ZoneTexte 1098" hidden="1">
          <a:extLst>
            <a:ext uri="{FF2B5EF4-FFF2-40B4-BE49-F238E27FC236}">
              <a16:creationId xmlns:a16="http://schemas.microsoft.com/office/drawing/2014/main" id="{00000000-0008-0000-0D00-00004B04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1100" name="ZoneTexte 1099" hidden="1">
          <a:extLst>
            <a:ext uri="{FF2B5EF4-FFF2-40B4-BE49-F238E27FC236}">
              <a16:creationId xmlns:a16="http://schemas.microsoft.com/office/drawing/2014/main" id="{00000000-0008-0000-0D00-00004C04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103" name="ZoneTexte 1102" hidden="1">
          <a:extLst>
            <a:ext uri="{FF2B5EF4-FFF2-40B4-BE49-F238E27FC236}">
              <a16:creationId xmlns:a16="http://schemas.microsoft.com/office/drawing/2014/main" id="{00000000-0008-0000-0D00-00004F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108" name="ZoneTexte 1107" hidden="1">
          <a:extLst>
            <a:ext uri="{FF2B5EF4-FFF2-40B4-BE49-F238E27FC236}">
              <a16:creationId xmlns:a16="http://schemas.microsoft.com/office/drawing/2014/main" id="{00000000-0008-0000-0D00-000054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109" name="ZoneTexte 1108" hidden="1">
          <a:extLst>
            <a:ext uri="{FF2B5EF4-FFF2-40B4-BE49-F238E27FC236}">
              <a16:creationId xmlns:a16="http://schemas.microsoft.com/office/drawing/2014/main" id="{00000000-0008-0000-0D00-000055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110" name="ZoneTexte 1109" hidden="1">
          <a:extLst>
            <a:ext uri="{FF2B5EF4-FFF2-40B4-BE49-F238E27FC236}">
              <a16:creationId xmlns:a16="http://schemas.microsoft.com/office/drawing/2014/main" id="{00000000-0008-0000-0D00-00005604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1111" name="ZoneTexte 1110" hidden="1">
          <a:extLst>
            <a:ext uri="{FF2B5EF4-FFF2-40B4-BE49-F238E27FC236}">
              <a16:creationId xmlns:a16="http://schemas.microsoft.com/office/drawing/2014/main" id="{00000000-0008-0000-0D00-00005704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114" name="ZoneTexte 1113" hidden="1">
          <a:extLst>
            <a:ext uri="{FF2B5EF4-FFF2-40B4-BE49-F238E27FC236}">
              <a16:creationId xmlns:a16="http://schemas.microsoft.com/office/drawing/2014/main" id="{00000000-0008-0000-0D00-00005A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117" name="ZoneTexte 1116" hidden="1">
          <a:extLst>
            <a:ext uri="{FF2B5EF4-FFF2-40B4-BE49-F238E27FC236}">
              <a16:creationId xmlns:a16="http://schemas.microsoft.com/office/drawing/2014/main" id="{00000000-0008-0000-0D00-00005D04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225</xdr:row>
      <xdr:rowOff>3706090</xdr:rowOff>
    </xdr:from>
    <xdr:to>
      <xdr:col>2</xdr:col>
      <xdr:colOff>5142675</xdr:colOff>
      <xdr:row>225</xdr:row>
      <xdr:rowOff>4005447</xdr:rowOff>
    </xdr:to>
    <xdr:sp macro="" textlink="">
      <xdr:nvSpPr>
        <xdr:cNvPr id="1118" name="ZoneTexte 1117" hidden="1">
          <a:extLst>
            <a:ext uri="{FF2B5EF4-FFF2-40B4-BE49-F238E27FC236}">
              <a16:creationId xmlns:a16="http://schemas.microsoft.com/office/drawing/2014/main" id="{00000000-0008-0000-0D00-00005E040000}"/>
            </a:ext>
          </a:extLst>
        </xdr:cNvPr>
        <xdr:cNvSpPr txBox="1"/>
      </xdr:nvSpPr>
      <xdr:spPr>
        <a:xfrm>
          <a:off x="6027593" y="2739430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121" name="ZoneTexte 1120" hidden="1">
          <a:extLst>
            <a:ext uri="{FF2B5EF4-FFF2-40B4-BE49-F238E27FC236}">
              <a16:creationId xmlns:a16="http://schemas.microsoft.com/office/drawing/2014/main" id="{00000000-0008-0000-0D00-000061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126" name="ZoneTexte 1125" hidden="1">
          <a:extLst>
            <a:ext uri="{FF2B5EF4-FFF2-40B4-BE49-F238E27FC236}">
              <a16:creationId xmlns:a16="http://schemas.microsoft.com/office/drawing/2014/main" id="{00000000-0008-0000-0D00-000066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127" name="ZoneTexte 1126" hidden="1">
          <a:extLst>
            <a:ext uri="{FF2B5EF4-FFF2-40B4-BE49-F238E27FC236}">
              <a16:creationId xmlns:a16="http://schemas.microsoft.com/office/drawing/2014/main" id="{00000000-0008-0000-0D00-000067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132" name="ZoneTexte 1131" hidden="1">
          <a:extLst>
            <a:ext uri="{FF2B5EF4-FFF2-40B4-BE49-F238E27FC236}">
              <a16:creationId xmlns:a16="http://schemas.microsoft.com/office/drawing/2014/main" id="{00000000-0008-0000-0D00-00006C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133" name="ZoneTexte 1132" hidden="1">
          <a:extLst>
            <a:ext uri="{FF2B5EF4-FFF2-40B4-BE49-F238E27FC236}">
              <a16:creationId xmlns:a16="http://schemas.microsoft.com/office/drawing/2014/main" id="{00000000-0008-0000-0D00-00006D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138" name="ZoneTexte 1137" hidden="1">
          <a:extLst>
            <a:ext uri="{FF2B5EF4-FFF2-40B4-BE49-F238E27FC236}">
              <a16:creationId xmlns:a16="http://schemas.microsoft.com/office/drawing/2014/main" id="{00000000-0008-0000-0D00-00007204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226</xdr:row>
      <xdr:rowOff>2412999</xdr:rowOff>
    </xdr:from>
    <xdr:to>
      <xdr:col>2</xdr:col>
      <xdr:colOff>5327402</xdr:colOff>
      <xdr:row>226</xdr:row>
      <xdr:rowOff>2712356</xdr:rowOff>
    </xdr:to>
    <xdr:sp macro="" textlink="">
      <xdr:nvSpPr>
        <xdr:cNvPr id="1139" name="ZoneTexte 1138" hidden="1">
          <a:extLst>
            <a:ext uri="{FF2B5EF4-FFF2-40B4-BE49-F238E27FC236}">
              <a16:creationId xmlns:a16="http://schemas.microsoft.com/office/drawing/2014/main" id="{00000000-0008-0000-0D00-000073040000}"/>
            </a:ext>
          </a:extLst>
        </xdr:cNvPr>
        <xdr:cNvSpPr txBox="1"/>
      </xdr:nvSpPr>
      <xdr:spPr>
        <a:xfrm>
          <a:off x="6021820" y="2743898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140" name="ZoneTexte 1139" hidden="1">
          <a:extLst>
            <a:ext uri="{FF2B5EF4-FFF2-40B4-BE49-F238E27FC236}">
              <a16:creationId xmlns:a16="http://schemas.microsoft.com/office/drawing/2014/main" id="{00000000-0008-0000-0D00-000074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225</xdr:row>
      <xdr:rowOff>2412999</xdr:rowOff>
    </xdr:from>
    <xdr:to>
      <xdr:col>2</xdr:col>
      <xdr:colOff>5327402</xdr:colOff>
      <xdr:row>225</xdr:row>
      <xdr:rowOff>2712356</xdr:rowOff>
    </xdr:to>
    <xdr:sp macro="" textlink="">
      <xdr:nvSpPr>
        <xdr:cNvPr id="1141" name="ZoneTexte 1140" hidden="1">
          <a:extLst>
            <a:ext uri="{FF2B5EF4-FFF2-40B4-BE49-F238E27FC236}">
              <a16:creationId xmlns:a16="http://schemas.microsoft.com/office/drawing/2014/main" id="{00000000-0008-0000-0D00-000075040000}"/>
            </a:ext>
          </a:extLst>
        </xdr:cNvPr>
        <xdr:cNvSpPr txBox="1"/>
      </xdr:nvSpPr>
      <xdr:spPr>
        <a:xfrm>
          <a:off x="6021820" y="2739453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226</xdr:row>
      <xdr:rowOff>2412999</xdr:rowOff>
    </xdr:from>
    <xdr:to>
      <xdr:col>2</xdr:col>
      <xdr:colOff>5327402</xdr:colOff>
      <xdr:row>226</xdr:row>
      <xdr:rowOff>2712356</xdr:rowOff>
    </xdr:to>
    <xdr:sp macro="" textlink="">
      <xdr:nvSpPr>
        <xdr:cNvPr id="1142" name="ZoneTexte 1141" hidden="1">
          <a:extLst>
            <a:ext uri="{FF2B5EF4-FFF2-40B4-BE49-F238E27FC236}">
              <a16:creationId xmlns:a16="http://schemas.microsoft.com/office/drawing/2014/main" id="{00000000-0008-0000-0D00-000076040000}"/>
            </a:ext>
          </a:extLst>
        </xdr:cNvPr>
        <xdr:cNvSpPr txBox="1"/>
      </xdr:nvSpPr>
      <xdr:spPr>
        <a:xfrm>
          <a:off x="6021820" y="2743898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143" name="ZoneTexte 1142" hidden="1">
          <a:extLst>
            <a:ext uri="{FF2B5EF4-FFF2-40B4-BE49-F238E27FC236}">
              <a16:creationId xmlns:a16="http://schemas.microsoft.com/office/drawing/2014/main" id="{00000000-0008-0000-0D00-000077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144" name="ZoneTexte 1143" hidden="1">
          <a:extLst>
            <a:ext uri="{FF2B5EF4-FFF2-40B4-BE49-F238E27FC236}">
              <a16:creationId xmlns:a16="http://schemas.microsoft.com/office/drawing/2014/main" id="{00000000-0008-0000-0D00-000078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240</xdr:row>
      <xdr:rowOff>2412999</xdr:rowOff>
    </xdr:from>
    <xdr:to>
      <xdr:col>2</xdr:col>
      <xdr:colOff>5327402</xdr:colOff>
      <xdr:row>240</xdr:row>
      <xdr:rowOff>2712356</xdr:rowOff>
    </xdr:to>
    <xdr:sp macro="" textlink="">
      <xdr:nvSpPr>
        <xdr:cNvPr id="1145" name="ZoneTexte 1144" hidden="1">
          <a:extLst>
            <a:ext uri="{FF2B5EF4-FFF2-40B4-BE49-F238E27FC236}">
              <a16:creationId xmlns:a16="http://schemas.microsoft.com/office/drawing/2014/main" id="{00000000-0008-0000-0D00-000079040000}"/>
            </a:ext>
          </a:extLst>
        </xdr:cNvPr>
        <xdr:cNvSpPr txBox="1"/>
      </xdr:nvSpPr>
      <xdr:spPr>
        <a:xfrm>
          <a:off x="6021820" y="278574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226</xdr:row>
      <xdr:rowOff>2412999</xdr:rowOff>
    </xdr:from>
    <xdr:to>
      <xdr:col>2</xdr:col>
      <xdr:colOff>5327402</xdr:colOff>
      <xdr:row>226</xdr:row>
      <xdr:rowOff>2712356</xdr:rowOff>
    </xdr:to>
    <xdr:sp macro="" textlink="">
      <xdr:nvSpPr>
        <xdr:cNvPr id="1146" name="ZoneTexte 1145" hidden="1">
          <a:extLst>
            <a:ext uri="{FF2B5EF4-FFF2-40B4-BE49-F238E27FC236}">
              <a16:creationId xmlns:a16="http://schemas.microsoft.com/office/drawing/2014/main" id="{00000000-0008-0000-0D00-00007A040000}"/>
            </a:ext>
          </a:extLst>
        </xdr:cNvPr>
        <xdr:cNvSpPr txBox="1"/>
      </xdr:nvSpPr>
      <xdr:spPr>
        <a:xfrm>
          <a:off x="6021820" y="2743898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226</xdr:row>
      <xdr:rowOff>2412999</xdr:rowOff>
    </xdr:from>
    <xdr:to>
      <xdr:col>2</xdr:col>
      <xdr:colOff>5327402</xdr:colOff>
      <xdr:row>226</xdr:row>
      <xdr:rowOff>2712356</xdr:rowOff>
    </xdr:to>
    <xdr:sp macro="" textlink="">
      <xdr:nvSpPr>
        <xdr:cNvPr id="1147" name="ZoneTexte 1146" hidden="1">
          <a:extLst>
            <a:ext uri="{FF2B5EF4-FFF2-40B4-BE49-F238E27FC236}">
              <a16:creationId xmlns:a16="http://schemas.microsoft.com/office/drawing/2014/main" id="{00000000-0008-0000-0D00-00007B040000}"/>
            </a:ext>
          </a:extLst>
        </xdr:cNvPr>
        <xdr:cNvSpPr txBox="1"/>
      </xdr:nvSpPr>
      <xdr:spPr>
        <a:xfrm>
          <a:off x="6021820" y="2743898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226</xdr:row>
      <xdr:rowOff>2412999</xdr:rowOff>
    </xdr:from>
    <xdr:to>
      <xdr:col>2</xdr:col>
      <xdr:colOff>5327402</xdr:colOff>
      <xdr:row>226</xdr:row>
      <xdr:rowOff>2712356</xdr:rowOff>
    </xdr:to>
    <xdr:sp macro="" textlink="">
      <xdr:nvSpPr>
        <xdr:cNvPr id="1148" name="ZoneTexte 1147" hidden="1">
          <a:extLst>
            <a:ext uri="{FF2B5EF4-FFF2-40B4-BE49-F238E27FC236}">
              <a16:creationId xmlns:a16="http://schemas.microsoft.com/office/drawing/2014/main" id="{00000000-0008-0000-0D00-00007C040000}"/>
            </a:ext>
          </a:extLst>
        </xdr:cNvPr>
        <xdr:cNvSpPr txBox="1"/>
      </xdr:nvSpPr>
      <xdr:spPr>
        <a:xfrm>
          <a:off x="6021820" y="2743898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226</xdr:row>
      <xdr:rowOff>2412999</xdr:rowOff>
    </xdr:from>
    <xdr:to>
      <xdr:col>2</xdr:col>
      <xdr:colOff>5327402</xdr:colOff>
      <xdr:row>226</xdr:row>
      <xdr:rowOff>2712356</xdr:rowOff>
    </xdr:to>
    <xdr:sp macro="" textlink="">
      <xdr:nvSpPr>
        <xdr:cNvPr id="1149" name="ZoneTexte 1148" hidden="1">
          <a:extLst>
            <a:ext uri="{FF2B5EF4-FFF2-40B4-BE49-F238E27FC236}">
              <a16:creationId xmlns:a16="http://schemas.microsoft.com/office/drawing/2014/main" id="{00000000-0008-0000-0D00-00007D040000}"/>
            </a:ext>
          </a:extLst>
        </xdr:cNvPr>
        <xdr:cNvSpPr txBox="1"/>
      </xdr:nvSpPr>
      <xdr:spPr>
        <a:xfrm>
          <a:off x="6021820" y="2743898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226</xdr:row>
      <xdr:rowOff>2412999</xdr:rowOff>
    </xdr:from>
    <xdr:to>
      <xdr:col>2</xdr:col>
      <xdr:colOff>5327402</xdr:colOff>
      <xdr:row>226</xdr:row>
      <xdr:rowOff>2712356</xdr:rowOff>
    </xdr:to>
    <xdr:sp macro="" textlink="">
      <xdr:nvSpPr>
        <xdr:cNvPr id="1150" name="ZoneTexte 1149" hidden="1">
          <a:extLst>
            <a:ext uri="{FF2B5EF4-FFF2-40B4-BE49-F238E27FC236}">
              <a16:creationId xmlns:a16="http://schemas.microsoft.com/office/drawing/2014/main" id="{00000000-0008-0000-0D00-00007E040000}"/>
            </a:ext>
          </a:extLst>
        </xdr:cNvPr>
        <xdr:cNvSpPr txBox="1"/>
      </xdr:nvSpPr>
      <xdr:spPr>
        <a:xfrm>
          <a:off x="6021820" y="2743898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226</xdr:row>
      <xdr:rowOff>2412999</xdr:rowOff>
    </xdr:from>
    <xdr:to>
      <xdr:col>2</xdr:col>
      <xdr:colOff>5327402</xdr:colOff>
      <xdr:row>226</xdr:row>
      <xdr:rowOff>2712356</xdr:rowOff>
    </xdr:to>
    <xdr:sp macro="" textlink="">
      <xdr:nvSpPr>
        <xdr:cNvPr id="1151" name="ZoneTexte 1150" hidden="1">
          <a:extLst>
            <a:ext uri="{FF2B5EF4-FFF2-40B4-BE49-F238E27FC236}">
              <a16:creationId xmlns:a16="http://schemas.microsoft.com/office/drawing/2014/main" id="{00000000-0008-0000-0D00-00007F040000}"/>
            </a:ext>
          </a:extLst>
        </xdr:cNvPr>
        <xdr:cNvSpPr txBox="1"/>
      </xdr:nvSpPr>
      <xdr:spPr>
        <a:xfrm>
          <a:off x="6021820" y="2743898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226</xdr:row>
      <xdr:rowOff>2412999</xdr:rowOff>
    </xdr:from>
    <xdr:to>
      <xdr:col>2</xdr:col>
      <xdr:colOff>5327402</xdr:colOff>
      <xdr:row>226</xdr:row>
      <xdr:rowOff>2712356</xdr:rowOff>
    </xdr:to>
    <xdr:sp macro="" textlink="">
      <xdr:nvSpPr>
        <xdr:cNvPr id="1152" name="ZoneTexte 1151" hidden="1">
          <a:extLst>
            <a:ext uri="{FF2B5EF4-FFF2-40B4-BE49-F238E27FC236}">
              <a16:creationId xmlns:a16="http://schemas.microsoft.com/office/drawing/2014/main" id="{00000000-0008-0000-0D00-000080040000}"/>
            </a:ext>
          </a:extLst>
        </xdr:cNvPr>
        <xdr:cNvSpPr txBox="1"/>
      </xdr:nvSpPr>
      <xdr:spPr>
        <a:xfrm>
          <a:off x="6021820" y="2743898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226</xdr:row>
      <xdr:rowOff>2412999</xdr:rowOff>
    </xdr:from>
    <xdr:to>
      <xdr:col>2</xdr:col>
      <xdr:colOff>5327402</xdr:colOff>
      <xdr:row>226</xdr:row>
      <xdr:rowOff>2712356</xdr:rowOff>
    </xdr:to>
    <xdr:sp macro="" textlink="">
      <xdr:nvSpPr>
        <xdr:cNvPr id="1154" name="ZoneTexte 1153" hidden="1">
          <a:extLst>
            <a:ext uri="{FF2B5EF4-FFF2-40B4-BE49-F238E27FC236}">
              <a16:creationId xmlns:a16="http://schemas.microsoft.com/office/drawing/2014/main" id="{00000000-0008-0000-0D00-000082040000}"/>
            </a:ext>
          </a:extLst>
        </xdr:cNvPr>
        <xdr:cNvSpPr txBox="1"/>
      </xdr:nvSpPr>
      <xdr:spPr>
        <a:xfrm>
          <a:off x="6021820" y="2743898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156" name="ZoneTexte 1155" hidden="1">
          <a:extLst>
            <a:ext uri="{FF2B5EF4-FFF2-40B4-BE49-F238E27FC236}">
              <a16:creationId xmlns:a16="http://schemas.microsoft.com/office/drawing/2014/main" id="{00000000-0008-0000-0D00-000084040000}"/>
            </a:ext>
          </a:extLst>
        </xdr:cNvPr>
        <xdr:cNvSpPr txBox="1"/>
      </xdr:nvSpPr>
      <xdr:spPr>
        <a:xfrm>
          <a:off x="6021820" y="2752788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157" name="ZoneTexte 1156" hidden="1">
          <a:extLst>
            <a:ext uri="{FF2B5EF4-FFF2-40B4-BE49-F238E27FC236}">
              <a16:creationId xmlns:a16="http://schemas.microsoft.com/office/drawing/2014/main" id="{00000000-0008-0000-0D00-000085040000}"/>
            </a:ext>
          </a:extLst>
        </xdr:cNvPr>
        <xdr:cNvSpPr txBox="1"/>
      </xdr:nvSpPr>
      <xdr:spPr>
        <a:xfrm>
          <a:off x="6021820" y="2752788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162" name="ZoneTexte 1161" hidden="1">
          <a:extLst>
            <a:ext uri="{FF2B5EF4-FFF2-40B4-BE49-F238E27FC236}">
              <a16:creationId xmlns:a16="http://schemas.microsoft.com/office/drawing/2014/main" id="{00000000-0008-0000-0D00-00008A04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163" name="ZoneTexte 1162" hidden="1">
          <a:extLst>
            <a:ext uri="{FF2B5EF4-FFF2-40B4-BE49-F238E27FC236}">
              <a16:creationId xmlns:a16="http://schemas.microsoft.com/office/drawing/2014/main" id="{00000000-0008-0000-0D00-00008B04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166" name="ZoneTexte 1165" hidden="1">
          <a:extLst>
            <a:ext uri="{FF2B5EF4-FFF2-40B4-BE49-F238E27FC236}">
              <a16:creationId xmlns:a16="http://schemas.microsoft.com/office/drawing/2014/main" id="{00000000-0008-0000-0D00-00008E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169" name="ZoneTexte 1168" hidden="1">
          <a:extLst>
            <a:ext uri="{FF2B5EF4-FFF2-40B4-BE49-F238E27FC236}">
              <a16:creationId xmlns:a16="http://schemas.microsoft.com/office/drawing/2014/main" id="{00000000-0008-0000-0D00-00009104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170" name="ZoneTexte 1169" hidden="1">
          <a:extLst>
            <a:ext uri="{FF2B5EF4-FFF2-40B4-BE49-F238E27FC236}">
              <a16:creationId xmlns:a16="http://schemas.microsoft.com/office/drawing/2014/main" id="{00000000-0008-0000-0D00-00009204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173" name="ZoneTexte 1172" hidden="1">
          <a:extLst>
            <a:ext uri="{FF2B5EF4-FFF2-40B4-BE49-F238E27FC236}">
              <a16:creationId xmlns:a16="http://schemas.microsoft.com/office/drawing/2014/main" id="{00000000-0008-0000-0D00-000095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178" name="ZoneTexte 1177" hidden="1">
          <a:extLst>
            <a:ext uri="{FF2B5EF4-FFF2-40B4-BE49-F238E27FC236}">
              <a16:creationId xmlns:a16="http://schemas.microsoft.com/office/drawing/2014/main" id="{00000000-0008-0000-0D00-00009A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179" name="ZoneTexte 1178" hidden="1">
          <a:extLst>
            <a:ext uri="{FF2B5EF4-FFF2-40B4-BE49-F238E27FC236}">
              <a16:creationId xmlns:a16="http://schemas.microsoft.com/office/drawing/2014/main" id="{00000000-0008-0000-0D00-00009B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184" name="ZoneTexte 1183" hidden="1">
          <a:extLst>
            <a:ext uri="{FF2B5EF4-FFF2-40B4-BE49-F238E27FC236}">
              <a16:creationId xmlns:a16="http://schemas.microsoft.com/office/drawing/2014/main" id="{00000000-0008-0000-0D00-0000A004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185" name="ZoneTexte 1184" hidden="1">
          <a:extLst>
            <a:ext uri="{FF2B5EF4-FFF2-40B4-BE49-F238E27FC236}">
              <a16:creationId xmlns:a16="http://schemas.microsoft.com/office/drawing/2014/main" id="{00000000-0008-0000-0D00-0000A104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188" name="ZoneTexte 1187" hidden="1">
          <a:extLst>
            <a:ext uri="{FF2B5EF4-FFF2-40B4-BE49-F238E27FC236}">
              <a16:creationId xmlns:a16="http://schemas.microsoft.com/office/drawing/2014/main" id="{00000000-0008-0000-0D00-0000A4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191" name="ZoneTexte 1190" hidden="1">
          <a:extLst>
            <a:ext uri="{FF2B5EF4-FFF2-40B4-BE49-F238E27FC236}">
              <a16:creationId xmlns:a16="http://schemas.microsoft.com/office/drawing/2014/main" id="{00000000-0008-0000-0D00-0000A704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192" name="ZoneTexte 1191" hidden="1">
          <a:extLst>
            <a:ext uri="{FF2B5EF4-FFF2-40B4-BE49-F238E27FC236}">
              <a16:creationId xmlns:a16="http://schemas.microsoft.com/office/drawing/2014/main" id="{00000000-0008-0000-0D00-0000A804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195" name="ZoneTexte 1194" hidden="1">
          <a:extLst>
            <a:ext uri="{FF2B5EF4-FFF2-40B4-BE49-F238E27FC236}">
              <a16:creationId xmlns:a16="http://schemas.microsoft.com/office/drawing/2014/main" id="{00000000-0008-0000-0D00-0000AB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00" name="ZoneTexte 1199" hidden="1">
          <a:extLst>
            <a:ext uri="{FF2B5EF4-FFF2-40B4-BE49-F238E27FC236}">
              <a16:creationId xmlns:a16="http://schemas.microsoft.com/office/drawing/2014/main" id="{00000000-0008-0000-0D00-0000B0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01" name="ZoneTexte 1200" hidden="1">
          <a:extLst>
            <a:ext uri="{FF2B5EF4-FFF2-40B4-BE49-F238E27FC236}">
              <a16:creationId xmlns:a16="http://schemas.microsoft.com/office/drawing/2014/main" id="{00000000-0008-0000-0D00-0000B1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206" name="ZoneTexte 1205" hidden="1">
          <a:extLst>
            <a:ext uri="{FF2B5EF4-FFF2-40B4-BE49-F238E27FC236}">
              <a16:creationId xmlns:a16="http://schemas.microsoft.com/office/drawing/2014/main" id="{00000000-0008-0000-0D00-0000B604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207" name="ZoneTexte 1206" hidden="1">
          <a:extLst>
            <a:ext uri="{FF2B5EF4-FFF2-40B4-BE49-F238E27FC236}">
              <a16:creationId xmlns:a16="http://schemas.microsoft.com/office/drawing/2014/main" id="{00000000-0008-0000-0D00-0000B704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10" name="ZoneTexte 1209" hidden="1">
          <a:extLst>
            <a:ext uri="{FF2B5EF4-FFF2-40B4-BE49-F238E27FC236}">
              <a16:creationId xmlns:a16="http://schemas.microsoft.com/office/drawing/2014/main" id="{00000000-0008-0000-0D00-0000BA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213" name="ZoneTexte 1212" hidden="1">
          <a:extLst>
            <a:ext uri="{FF2B5EF4-FFF2-40B4-BE49-F238E27FC236}">
              <a16:creationId xmlns:a16="http://schemas.microsoft.com/office/drawing/2014/main" id="{00000000-0008-0000-0D00-0000BD04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214" name="ZoneTexte 1213" hidden="1">
          <a:extLst>
            <a:ext uri="{FF2B5EF4-FFF2-40B4-BE49-F238E27FC236}">
              <a16:creationId xmlns:a16="http://schemas.microsoft.com/office/drawing/2014/main" id="{00000000-0008-0000-0D00-0000BE04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17" name="ZoneTexte 1216" hidden="1">
          <a:extLst>
            <a:ext uri="{FF2B5EF4-FFF2-40B4-BE49-F238E27FC236}">
              <a16:creationId xmlns:a16="http://schemas.microsoft.com/office/drawing/2014/main" id="{00000000-0008-0000-0D00-0000C1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22" name="ZoneTexte 1221" hidden="1">
          <a:extLst>
            <a:ext uri="{FF2B5EF4-FFF2-40B4-BE49-F238E27FC236}">
              <a16:creationId xmlns:a16="http://schemas.microsoft.com/office/drawing/2014/main" id="{00000000-0008-0000-0D00-0000C6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23" name="ZoneTexte 1222" hidden="1">
          <a:extLst>
            <a:ext uri="{FF2B5EF4-FFF2-40B4-BE49-F238E27FC236}">
              <a16:creationId xmlns:a16="http://schemas.microsoft.com/office/drawing/2014/main" id="{00000000-0008-0000-0D00-0000C7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228" name="ZoneTexte 1227" hidden="1">
          <a:extLst>
            <a:ext uri="{FF2B5EF4-FFF2-40B4-BE49-F238E27FC236}">
              <a16:creationId xmlns:a16="http://schemas.microsoft.com/office/drawing/2014/main" id="{00000000-0008-0000-0D00-0000CC04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229" name="ZoneTexte 1228" hidden="1">
          <a:extLst>
            <a:ext uri="{FF2B5EF4-FFF2-40B4-BE49-F238E27FC236}">
              <a16:creationId xmlns:a16="http://schemas.microsoft.com/office/drawing/2014/main" id="{00000000-0008-0000-0D00-0000CD04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32" name="ZoneTexte 1231" hidden="1">
          <a:extLst>
            <a:ext uri="{FF2B5EF4-FFF2-40B4-BE49-F238E27FC236}">
              <a16:creationId xmlns:a16="http://schemas.microsoft.com/office/drawing/2014/main" id="{00000000-0008-0000-0D00-0000D0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235" name="ZoneTexte 1234" hidden="1">
          <a:extLst>
            <a:ext uri="{FF2B5EF4-FFF2-40B4-BE49-F238E27FC236}">
              <a16:creationId xmlns:a16="http://schemas.microsoft.com/office/drawing/2014/main" id="{00000000-0008-0000-0D00-0000D304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236" name="ZoneTexte 1235" hidden="1">
          <a:extLst>
            <a:ext uri="{FF2B5EF4-FFF2-40B4-BE49-F238E27FC236}">
              <a16:creationId xmlns:a16="http://schemas.microsoft.com/office/drawing/2014/main" id="{00000000-0008-0000-0D00-0000D404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39" name="ZoneTexte 1238" hidden="1">
          <a:extLst>
            <a:ext uri="{FF2B5EF4-FFF2-40B4-BE49-F238E27FC236}">
              <a16:creationId xmlns:a16="http://schemas.microsoft.com/office/drawing/2014/main" id="{00000000-0008-0000-0D00-0000D7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44" name="ZoneTexte 1243" hidden="1">
          <a:extLst>
            <a:ext uri="{FF2B5EF4-FFF2-40B4-BE49-F238E27FC236}">
              <a16:creationId xmlns:a16="http://schemas.microsoft.com/office/drawing/2014/main" id="{00000000-0008-0000-0D00-0000DC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45" name="ZoneTexte 1244" hidden="1">
          <a:extLst>
            <a:ext uri="{FF2B5EF4-FFF2-40B4-BE49-F238E27FC236}">
              <a16:creationId xmlns:a16="http://schemas.microsoft.com/office/drawing/2014/main" id="{00000000-0008-0000-0D00-0000DD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250" name="ZoneTexte 1249" hidden="1">
          <a:extLst>
            <a:ext uri="{FF2B5EF4-FFF2-40B4-BE49-F238E27FC236}">
              <a16:creationId xmlns:a16="http://schemas.microsoft.com/office/drawing/2014/main" id="{00000000-0008-0000-0D00-0000E204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251" name="ZoneTexte 1250" hidden="1">
          <a:extLst>
            <a:ext uri="{FF2B5EF4-FFF2-40B4-BE49-F238E27FC236}">
              <a16:creationId xmlns:a16="http://schemas.microsoft.com/office/drawing/2014/main" id="{00000000-0008-0000-0D00-0000E304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54" name="ZoneTexte 1253" hidden="1">
          <a:extLst>
            <a:ext uri="{FF2B5EF4-FFF2-40B4-BE49-F238E27FC236}">
              <a16:creationId xmlns:a16="http://schemas.microsoft.com/office/drawing/2014/main" id="{00000000-0008-0000-0D00-0000E6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257" name="ZoneTexte 1256" hidden="1">
          <a:extLst>
            <a:ext uri="{FF2B5EF4-FFF2-40B4-BE49-F238E27FC236}">
              <a16:creationId xmlns:a16="http://schemas.microsoft.com/office/drawing/2014/main" id="{00000000-0008-0000-0D00-0000E904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258" name="ZoneTexte 1257" hidden="1">
          <a:extLst>
            <a:ext uri="{FF2B5EF4-FFF2-40B4-BE49-F238E27FC236}">
              <a16:creationId xmlns:a16="http://schemas.microsoft.com/office/drawing/2014/main" id="{00000000-0008-0000-0D00-0000EA04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61" name="ZoneTexte 1260" hidden="1">
          <a:extLst>
            <a:ext uri="{FF2B5EF4-FFF2-40B4-BE49-F238E27FC236}">
              <a16:creationId xmlns:a16="http://schemas.microsoft.com/office/drawing/2014/main" id="{00000000-0008-0000-0D00-0000ED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66" name="ZoneTexte 1265" hidden="1">
          <a:extLst>
            <a:ext uri="{FF2B5EF4-FFF2-40B4-BE49-F238E27FC236}">
              <a16:creationId xmlns:a16="http://schemas.microsoft.com/office/drawing/2014/main" id="{00000000-0008-0000-0D00-0000F2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67" name="ZoneTexte 1266" hidden="1">
          <a:extLst>
            <a:ext uri="{FF2B5EF4-FFF2-40B4-BE49-F238E27FC236}">
              <a16:creationId xmlns:a16="http://schemas.microsoft.com/office/drawing/2014/main" id="{00000000-0008-0000-0D00-0000F3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272" name="ZoneTexte 1271" hidden="1">
          <a:extLst>
            <a:ext uri="{FF2B5EF4-FFF2-40B4-BE49-F238E27FC236}">
              <a16:creationId xmlns:a16="http://schemas.microsoft.com/office/drawing/2014/main" id="{00000000-0008-0000-0D00-0000F804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273" name="ZoneTexte 1272" hidden="1">
          <a:extLst>
            <a:ext uri="{FF2B5EF4-FFF2-40B4-BE49-F238E27FC236}">
              <a16:creationId xmlns:a16="http://schemas.microsoft.com/office/drawing/2014/main" id="{00000000-0008-0000-0D00-0000F904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76" name="ZoneTexte 1275" hidden="1">
          <a:extLst>
            <a:ext uri="{FF2B5EF4-FFF2-40B4-BE49-F238E27FC236}">
              <a16:creationId xmlns:a16="http://schemas.microsoft.com/office/drawing/2014/main" id="{00000000-0008-0000-0D00-0000FC04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279" name="ZoneTexte 1278" hidden="1">
          <a:extLst>
            <a:ext uri="{FF2B5EF4-FFF2-40B4-BE49-F238E27FC236}">
              <a16:creationId xmlns:a16="http://schemas.microsoft.com/office/drawing/2014/main" id="{00000000-0008-0000-0D00-0000FF04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280" name="ZoneTexte 1279" hidden="1">
          <a:extLst>
            <a:ext uri="{FF2B5EF4-FFF2-40B4-BE49-F238E27FC236}">
              <a16:creationId xmlns:a16="http://schemas.microsoft.com/office/drawing/2014/main" id="{00000000-0008-0000-0D00-00000005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83" name="ZoneTexte 1282" hidden="1">
          <a:extLst>
            <a:ext uri="{FF2B5EF4-FFF2-40B4-BE49-F238E27FC236}">
              <a16:creationId xmlns:a16="http://schemas.microsoft.com/office/drawing/2014/main" id="{00000000-0008-0000-0D00-000003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88" name="ZoneTexte 1287" hidden="1">
          <a:extLst>
            <a:ext uri="{FF2B5EF4-FFF2-40B4-BE49-F238E27FC236}">
              <a16:creationId xmlns:a16="http://schemas.microsoft.com/office/drawing/2014/main" id="{00000000-0008-0000-0D00-000008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289" name="ZoneTexte 1288" hidden="1">
          <a:extLst>
            <a:ext uri="{FF2B5EF4-FFF2-40B4-BE49-F238E27FC236}">
              <a16:creationId xmlns:a16="http://schemas.microsoft.com/office/drawing/2014/main" id="{00000000-0008-0000-0D00-000009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296" name="ZoneTexte 1295" hidden="1">
          <a:extLst>
            <a:ext uri="{FF2B5EF4-FFF2-40B4-BE49-F238E27FC236}">
              <a16:creationId xmlns:a16="http://schemas.microsoft.com/office/drawing/2014/main" id="{00000000-0008-0000-0D00-00001005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297" name="ZoneTexte 1296" hidden="1">
          <a:extLst>
            <a:ext uri="{FF2B5EF4-FFF2-40B4-BE49-F238E27FC236}">
              <a16:creationId xmlns:a16="http://schemas.microsoft.com/office/drawing/2014/main" id="{00000000-0008-0000-0D00-00001105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00" name="ZoneTexte 1299" hidden="1">
          <a:extLst>
            <a:ext uri="{FF2B5EF4-FFF2-40B4-BE49-F238E27FC236}">
              <a16:creationId xmlns:a16="http://schemas.microsoft.com/office/drawing/2014/main" id="{00000000-0008-0000-0D00-000014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303" name="ZoneTexte 1302" hidden="1">
          <a:extLst>
            <a:ext uri="{FF2B5EF4-FFF2-40B4-BE49-F238E27FC236}">
              <a16:creationId xmlns:a16="http://schemas.microsoft.com/office/drawing/2014/main" id="{00000000-0008-0000-0D00-00001705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304" name="ZoneTexte 1303" hidden="1">
          <a:extLst>
            <a:ext uri="{FF2B5EF4-FFF2-40B4-BE49-F238E27FC236}">
              <a16:creationId xmlns:a16="http://schemas.microsoft.com/office/drawing/2014/main" id="{00000000-0008-0000-0D00-00001805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07" name="ZoneTexte 1306" hidden="1">
          <a:extLst>
            <a:ext uri="{FF2B5EF4-FFF2-40B4-BE49-F238E27FC236}">
              <a16:creationId xmlns:a16="http://schemas.microsoft.com/office/drawing/2014/main" id="{00000000-0008-0000-0D00-00001B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12" name="ZoneTexte 1311" hidden="1">
          <a:extLst>
            <a:ext uri="{FF2B5EF4-FFF2-40B4-BE49-F238E27FC236}">
              <a16:creationId xmlns:a16="http://schemas.microsoft.com/office/drawing/2014/main" id="{00000000-0008-0000-0D00-000020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13" name="ZoneTexte 1312" hidden="1">
          <a:extLst>
            <a:ext uri="{FF2B5EF4-FFF2-40B4-BE49-F238E27FC236}">
              <a16:creationId xmlns:a16="http://schemas.microsoft.com/office/drawing/2014/main" id="{00000000-0008-0000-0D00-000021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314" name="ZoneTexte 1313" hidden="1">
          <a:extLst>
            <a:ext uri="{FF2B5EF4-FFF2-40B4-BE49-F238E27FC236}">
              <a16:creationId xmlns:a16="http://schemas.microsoft.com/office/drawing/2014/main" id="{00000000-0008-0000-0D00-00002205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315" name="ZoneTexte 1314" hidden="1">
          <a:extLst>
            <a:ext uri="{FF2B5EF4-FFF2-40B4-BE49-F238E27FC236}">
              <a16:creationId xmlns:a16="http://schemas.microsoft.com/office/drawing/2014/main" id="{00000000-0008-0000-0D00-00002305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18" name="ZoneTexte 1317" hidden="1">
          <a:extLst>
            <a:ext uri="{FF2B5EF4-FFF2-40B4-BE49-F238E27FC236}">
              <a16:creationId xmlns:a16="http://schemas.microsoft.com/office/drawing/2014/main" id="{00000000-0008-0000-0D00-000026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321" name="ZoneTexte 1320" hidden="1">
          <a:extLst>
            <a:ext uri="{FF2B5EF4-FFF2-40B4-BE49-F238E27FC236}">
              <a16:creationId xmlns:a16="http://schemas.microsoft.com/office/drawing/2014/main" id="{00000000-0008-0000-0D00-00002905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243</xdr:row>
      <xdr:rowOff>3706090</xdr:rowOff>
    </xdr:from>
    <xdr:to>
      <xdr:col>2</xdr:col>
      <xdr:colOff>5142675</xdr:colOff>
      <xdr:row>243</xdr:row>
      <xdr:rowOff>4005447</xdr:rowOff>
    </xdr:to>
    <xdr:sp macro="" textlink="">
      <xdr:nvSpPr>
        <xdr:cNvPr id="1322" name="ZoneTexte 1321" hidden="1">
          <a:extLst>
            <a:ext uri="{FF2B5EF4-FFF2-40B4-BE49-F238E27FC236}">
              <a16:creationId xmlns:a16="http://schemas.microsoft.com/office/drawing/2014/main" id="{00000000-0008-0000-0D00-00002A050000}"/>
            </a:ext>
          </a:extLst>
        </xdr:cNvPr>
        <xdr:cNvSpPr txBox="1"/>
      </xdr:nvSpPr>
      <xdr:spPr>
        <a:xfrm>
          <a:off x="6027593" y="286512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25" name="ZoneTexte 1324" hidden="1">
          <a:extLst>
            <a:ext uri="{FF2B5EF4-FFF2-40B4-BE49-F238E27FC236}">
              <a16:creationId xmlns:a16="http://schemas.microsoft.com/office/drawing/2014/main" id="{00000000-0008-0000-0D00-00002D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30" name="ZoneTexte 1329" hidden="1">
          <a:extLst>
            <a:ext uri="{FF2B5EF4-FFF2-40B4-BE49-F238E27FC236}">
              <a16:creationId xmlns:a16="http://schemas.microsoft.com/office/drawing/2014/main" id="{00000000-0008-0000-0D00-000032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31" name="ZoneTexte 1330" hidden="1">
          <a:extLst>
            <a:ext uri="{FF2B5EF4-FFF2-40B4-BE49-F238E27FC236}">
              <a16:creationId xmlns:a16="http://schemas.microsoft.com/office/drawing/2014/main" id="{00000000-0008-0000-0D00-000033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36" name="ZoneTexte 1335" hidden="1">
          <a:extLst>
            <a:ext uri="{FF2B5EF4-FFF2-40B4-BE49-F238E27FC236}">
              <a16:creationId xmlns:a16="http://schemas.microsoft.com/office/drawing/2014/main" id="{00000000-0008-0000-0D00-000038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37" name="ZoneTexte 1336" hidden="1">
          <a:extLst>
            <a:ext uri="{FF2B5EF4-FFF2-40B4-BE49-F238E27FC236}">
              <a16:creationId xmlns:a16="http://schemas.microsoft.com/office/drawing/2014/main" id="{00000000-0008-0000-0D00-000039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342" name="ZoneTexte 1341" hidden="1">
          <a:extLst>
            <a:ext uri="{FF2B5EF4-FFF2-40B4-BE49-F238E27FC236}">
              <a16:creationId xmlns:a16="http://schemas.microsoft.com/office/drawing/2014/main" id="{00000000-0008-0000-0D00-00003E05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244</xdr:row>
      <xdr:rowOff>2412999</xdr:rowOff>
    </xdr:from>
    <xdr:to>
      <xdr:col>2</xdr:col>
      <xdr:colOff>5327402</xdr:colOff>
      <xdr:row>244</xdr:row>
      <xdr:rowOff>2712356</xdr:rowOff>
    </xdr:to>
    <xdr:sp macro="" textlink="">
      <xdr:nvSpPr>
        <xdr:cNvPr id="1343" name="ZoneTexte 1342" hidden="1">
          <a:extLst>
            <a:ext uri="{FF2B5EF4-FFF2-40B4-BE49-F238E27FC236}">
              <a16:creationId xmlns:a16="http://schemas.microsoft.com/office/drawing/2014/main" id="{00000000-0008-0000-0D00-00003F050000}"/>
            </a:ext>
          </a:extLst>
        </xdr:cNvPr>
        <xdr:cNvSpPr txBox="1"/>
      </xdr:nvSpPr>
      <xdr:spPr>
        <a:xfrm>
          <a:off x="6021820" y="288924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44" name="ZoneTexte 1343" hidden="1">
          <a:extLst>
            <a:ext uri="{FF2B5EF4-FFF2-40B4-BE49-F238E27FC236}">
              <a16:creationId xmlns:a16="http://schemas.microsoft.com/office/drawing/2014/main" id="{00000000-0008-0000-0D00-000040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243</xdr:row>
      <xdr:rowOff>2412999</xdr:rowOff>
    </xdr:from>
    <xdr:to>
      <xdr:col>2</xdr:col>
      <xdr:colOff>5327402</xdr:colOff>
      <xdr:row>243</xdr:row>
      <xdr:rowOff>2712356</xdr:rowOff>
    </xdr:to>
    <xdr:sp macro="" textlink="">
      <xdr:nvSpPr>
        <xdr:cNvPr id="1345" name="ZoneTexte 1344" hidden="1">
          <a:extLst>
            <a:ext uri="{FF2B5EF4-FFF2-40B4-BE49-F238E27FC236}">
              <a16:creationId xmlns:a16="http://schemas.microsoft.com/office/drawing/2014/main" id="{00000000-0008-0000-0D00-000041050000}"/>
            </a:ext>
          </a:extLst>
        </xdr:cNvPr>
        <xdr:cNvSpPr txBox="1"/>
      </xdr:nvSpPr>
      <xdr:spPr>
        <a:xfrm>
          <a:off x="6021820" y="286515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244</xdr:row>
      <xdr:rowOff>2412999</xdr:rowOff>
    </xdr:from>
    <xdr:to>
      <xdr:col>2</xdr:col>
      <xdr:colOff>5327402</xdr:colOff>
      <xdr:row>244</xdr:row>
      <xdr:rowOff>2712356</xdr:rowOff>
    </xdr:to>
    <xdr:sp macro="" textlink="">
      <xdr:nvSpPr>
        <xdr:cNvPr id="1346" name="ZoneTexte 1345" hidden="1">
          <a:extLst>
            <a:ext uri="{FF2B5EF4-FFF2-40B4-BE49-F238E27FC236}">
              <a16:creationId xmlns:a16="http://schemas.microsoft.com/office/drawing/2014/main" id="{00000000-0008-0000-0D00-000042050000}"/>
            </a:ext>
          </a:extLst>
        </xdr:cNvPr>
        <xdr:cNvSpPr txBox="1"/>
      </xdr:nvSpPr>
      <xdr:spPr>
        <a:xfrm>
          <a:off x="6021820" y="288924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47" name="ZoneTexte 1346" hidden="1">
          <a:extLst>
            <a:ext uri="{FF2B5EF4-FFF2-40B4-BE49-F238E27FC236}">
              <a16:creationId xmlns:a16="http://schemas.microsoft.com/office/drawing/2014/main" id="{00000000-0008-0000-0D00-000043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48" name="ZoneTexte 1347" hidden="1">
          <a:extLst>
            <a:ext uri="{FF2B5EF4-FFF2-40B4-BE49-F238E27FC236}">
              <a16:creationId xmlns:a16="http://schemas.microsoft.com/office/drawing/2014/main" id="{00000000-0008-0000-0D00-000044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258</xdr:row>
      <xdr:rowOff>2412999</xdr:rowOff>
    </xdr:from>
    <xdr:to>
      <xdr:col>2</xdr:col>
      <xdr:colOff>5327402</xdr:colOff>
      <xdr:row>258</xdr:row>
      <xdr:rowOff>2712356</xdr:rowOff>
    </xdr:to>
    <xdr:sp macro="" textlink="">
      <xdr:nvSpPr>
        <xdr:cNvPr id="1349" name="ZoneTexte 1348" hidden="1">
          <a:extLst>
            <a:ext uri="{FF2B5EF4-FFF2-40B4-BE49-F238E27FC236}">
              <a16:creationId xmlns:a16="http://schemas.microsoft.com/office/drawing/2014/main" id="{00000000-0008-0000-0D00-000045050000}"/>
            </a:ext>
          </a:extLst>
        </xdr:cNvPr>
        <xdr:cNvSpPr txBox="1"/>
      </xdr:nvSpPr>
      <xdr:spPr>
        <a:xfrm>
          <a:off x="6021820" y="3034664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244</xdr:row>
      <xdr:rowOff>2412999</xdr:rowOff>
    </xdr:from>
    <xdr:to>
      <xdr:col>2</xdr:col>
      <xdr:colOff>5327402</xdr:colOff>
      <xdr:row>244</xdr:row>
      <xdr:rowOff>2712356</xdr:rowOff>
    </xdr:to>
    <xdr:sp macro="" textlink="">
      <xdr:nvSpPr>
        <xdr:cNvPr id="1350" name="ZoneTexte 1349" hidden="1">
          <a:extLst>
            <a:ext uri="{FF2B5EF4-FFF2-40B4-BE49-F238E27FC236}">
              <a16:creationId xmlns:a16="http://schemas.microsoft.com/office/drawing/2014/main" id="{00000000-0008-0000-0D00-000046050000}"/>
            </a:ext>
          </a:extLst>
        </xdr:cNvPr>
        <xdr:cNvSpPr txBox="1"/>
      </xdr:nvSpPr>
      <xdr:spPr>
        <a:xfrm>
          <a:off x="6021820" y="288924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244</xdr:row>
      <xdr:rowOff>2412999</xdr:rowOff>
    </xdr:from>
    <xdr:to>
      <xdr:col>2</xdr:col>
      <xdr:colOff>5327402</xdr:colOff>
      <xdr:row>244</xdr:row>
      <xdr:rowOff>2712356</xdr:rowOff>
    </xdr:to>
    <xdr:sp macro="" textlink="">
      <xdr:nvSpPr>
        <xdr:cNvPr id="1351" name="ZoneTexte 1350" hidden="1">
          <a:extLst>
            <a:ext uri="{FF2B5EF4-FFF2-40B4-BE49-F238E27FC236}">
              <a16:creationId xmlns:a16="http://schemas.microsoft.com/office/drawing/2014/main" id="{00000000-0008-0000-0D00-000047050000}"/>
            </a:ext>
          </a:extLst>
        </xdr:cNvPr>
        <xdr:cNvSpPr txBox="1"/>
      </xdr:nvSpPr>
      <xdr:spPr>
        <a:xfrm>
          <a:off x="6021820" y="288924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244</xdr:row>
      <xdr:rowOff>2412999</xdr:rowOff>
    </xdr:from>
    <xdr:to>
      <xdr:col>2</xdr:col>
      <xdr:colOff>5327402</xdr:colOff>
      <xdr:row>244</xdr:row>
      <xdr:rowOff>2712356</xdr:rowOff>
    </xdr:to>
    <xdr:sp macro="" textlink="">
      <xdr:nvSpPr>
        <xdr:cNvPr id="1352" name="ZoneTexte 1351" hidden="1">
          <a:extLst>
            <a:ext uri="{FF2B5EF4-FFF2-40B4-BE49-F238E27FC236}">
              <a16:creationId xmlns:a16="http://schemas.microsoft.com/office/drawing/2014/main" id="{00000000-0008-0000-0D00-000048050000}"/>
            </a:ext>
          </a:extLst>
        </xdr:cNvPr>
        <xdr:cNvSpPr txBox="1"/>
      </xdr:nvSpPr>
      <xdr:spPr>
        <a:xfrm>
          <a:off x="6021820" y="288924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244</xdr:row>
      <xdr:rowOff>2412999</xdr:rowOff>
    </xdr:from>
    <xdr:to>
      <xdr:col>2</xdr:col>
      <xdr:colOff>5327402</xdr:colOff>
      <xdr:row>244</xdr:row>
      <xdr:rowOff>2712356</xdr:rowOff>
    </xdr:to>
    <xdr:sp macro="" textlink="">
      <xdr:nvSpPr>
        <xdr:cNvPr id="1353" name="ZoneTexte 1352" hidden="1">
          <a:extLst>
            <a:ext uri="{FF2B5EF4-FFF2-40B4-BE49-F238E27FC236}">
              <a16:creationId xmlns:a16="http://schemas.microsoft.com/office/drawing/2014/main" id="{00000000-0008-0000-0D00-000049050000}"/>
            </a:ext>
          </a:extLst>
        </xdr:cNvPr>
        <xdr:cNvSpPr txBox="1"/>
      </xdr:nvSpPr>
      <xdr:spPr>
        <a:xfrm>
          <a:off x="6021820" y="288924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244</xdr:row>
      <xdr:rowOff>2412999</xdr:rowOff>
    </xdr:from>
    <xdr:to>
      <xdr:col>2</xdr:col>
      <xdr:colOff>5327402</xdr:colOff>
      <xdr:row>244</xdr:row>
      <xdr:rowOff>2712356</xdr:rowOff>
    </xdr:to>
    <xdr:sp macro="" textlink="">
      <xdr:nvSpPr>
        <xdr:cNvPr id="1354" name="ZoneTexte 1353" hidden="1">
          <a:extLst>
            <a:ext uri="{FF2B5EF4-FFF2-40B4-BE49-F238E27FC236}">
              <a16:creationId xmlns:a16="http://schemas.microsoft.com/office/drawing/2014/main" id="{00000000-0008-0000-0D00-00004A050000}"/>
            </a:ext>
          </a:extLst>
        </xdr:cNvPr>
        <xdr:cNvSpPr txBox="1"/>
      </xdr:nvSpPr>
      <xdr:spPr>
        <a:xfrm>
          <a:off x="6021820" y="288924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244</xdr:row>
      <xdr:rowOff>2412999</xdr:rowOff>
    </xdr:from>
    <xdr:to>
      <xdr:col>2</xdr:col>
      <xdr:colOff>5327402</xdr:colOff>
      <xdr:row>244</xdr:row>
      <xdr:rowOff>2712356</xdr:rowOff>
    </xdr:to>
    <xdr:sp macro="" textlink="">
      <xdr:nvSpPr>
        <xdr:cNvPr id="1355" name="ZoneTexte 1354" hidden="1">
          <a:extLst>
            <a:ext uri="{FF2B5EF4-FFF2-40B4-BE49-F238E27FC236}">
              <a16:creationId xmlns:a16="http://schemas.microsoft.com/office/drawing/2014/main" id="{00000000-0008-0000-0D00-00004B050000}"/>
            </a:ext>
          </a:extLst>
        </xdr:cNvPr>
        <xdr:cNvSpPr txBox="1"/>
      </xdr:nvSpPr>
      <xdr:spPr>
        <a:xfrm>
          <a:off x="6021820" y="288924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244</xdr:row>
      <xdr:rowOff>2412999</xdr:rowOff>
    </xdr:from>
    <xdr:to>
      <xdr:col>2</xdr:col>
      <xdr:colOff>5327402</xdr:colOff>
      <xdr:row>244</xdr:row>
      <xdr:rowOff>2712356</xdr:rowOff>
    </xdr:to>
    <xdr:sp macro="" textlink="">
      <xdr:nvSpPr>
        <xdr:cNvPr id="1356" name="ZoneTexte 1355" hidden="1">
          <a:extLst>
            <a:ext uri="{FF2B5EF4-FFF2-40B4-BE49-F238E27FC236}">
              <a16:creationId xmlns:a16="http://schemas.microsoft.com/office/drawing/2014/main" id="{00000000-0008-0000-0D00-00004C050000}"/>
            </a:ext>
          </a:extLst>
        </xdr:cNvPr>
        <xdr:cNvSpPr txBox="1"/>
      </xdr:nvSpPr>
      <xdr:spPr>
        <a:xfrm>
          <a:off x="6021820" y="288924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244</xdr:row>
      <xdr:rowOff>2412999</xdr:rowOff>
    </xdr:from>
    <xdr:to>
      <xdr:col>2</xdr:col>
      <xdr:colOff>5327402</xdr:colOff>
      <xdr:row>244</xdr:row>
      <xdr:rowOff>2712356</xdr:rowOff>
    </xdr:to>
    <xdr:sp macro="" textlink="">
      <xdr:nvSpPr>
        <xdr:cNvPr id="1358" name="ZoneTexte 1357" hidden="1">
          <a:extLst>
            <a:ext uri="{FF2B5EF4-FFF2-40B4-BE49-F238E27FC236}">
              <a16:creationId xmlns:a16="http://schemas.microsoft.com/office/drawing/2014/main" id="{00000000-0008-0000-0D00-00004E050000}"/>
            </a:ext>
          </a:extLst>
        </xdr:cNvPr>
        <xdr:cNvSpPr txBox="1"/>
      </xdr:nvSpPr>
      <xdr:spPr>
        <a:xfrm>
          <a:off x="6021820" y="288924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360" name="ZoneTexte 1359" hidden="1">
          <a:extLst>
            <a:ext uri="{FF2B5EF4-FFF2-40B4-BE49-F238E27FC236}">
              <a16:creationId xmlns:a16="http://schemas.microsoft.com/office/drawing/2014/main" id="{00000000-0008-0000-0D00-000050050000}"/>
            </a:ext>
          </a:extLst>
        </xdr:cNvPr>
        <xdr:cNvSpPr txBox="1"/>
      </xdr:nvSpPr>
      <xdr:spPr>
        <a:xfrm>
          <a:off x="6021820" y="296865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361" name="ZoneTexte 1360" hidden="1">
          <a:extLst>
            <a:ext uri="{FF2B5EF4-FFF2-40B4-BE49-F238E27FC236}">
              <a16:creationId xmlns:a16="http://schemas.microsoft.com/office/drawing/2014/main" id="{00000000-0008-0000-0D00-000051050000}"/>
            </a:ext>
          </a:extLst>
        </xdr:cNvPr>
        <xdr:cNvSpPr txBox="1"/>
      </xdr:nvSpPr>
      <xdr:spPr>
        <a:xfrm>
          <a:off x="6021820" y="296865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366" name="ZoneTexte 1365" hidden="1">
          <a:extLst>
            <a:ext uri="{FF2B5EF4-FFF2-40B4-BE49-F238E27FC236}">
              <a16:creationId xmlns:a16="http://schemas.microsoft.com/office/drawing/2014/main" id="{00000000-0008-0000-0D00-000056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367" name="ZoneTexte 1366" hidden="1">
          <a:extLst>
            <a:ext uri="{FF2B5EF4-FFF2-40B4-BE49-F238E27FC236}">
              <a16:creationId xmlns:a16="http://schemas.microsoft.com/office/drawing/2014/main" id="{00000000-0008-0000-0D00-000057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370" name="ZoneTexte 1369" hidden="1">
          <a:extLst>
            <a:ext uri="{FF2B5EF4-FFF2-40B4-BE49-F238E27FC236}">
              <a16:creationId xmlns:a16="http://schemas.microsoft.com/office/drawing/2014/main" id="{00000000-0008-0000-0D00-00005A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373" name="ZoneTexte 1372" hidden="1">
          <a:extLst>
            <a:ext uri="{FF2B5EF4-FFF2-40B4-BE49-F238E27FC236}">
              <a16:creationId xmlns:a16="http://schemas.microsoft.com/office/drawing/2014/main" id="{00000000-0008-0000-0D00-00005D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374" name="ZoneTexte 1373" hidden="1">
          <a:extLst>
            <a:ext uri="{FF2B5EF4-FFF2-40B4-BE49-F238E27FC236}">
              <a16:creationId xmlns:a16="http://schemas.microsoft.com/office/drawing/2014/main" id="{00000000-0008-0000-0D00-00005E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377" name="ZoneTexte 1376" hidden="1">
          <a:extLst>
            <a:ext uri="{FF2B5EF4-FFF2-40B4-BE49-F238E27FC236}">
              <a16:creationId xmlns:a16="http://schemas.microsoft.com/office/drawing/2014/main" id="{00000000-0008-0000-0D00-000061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382" name="ZoneTexte 1381" hidden="1">
          <a:extLst>
            <a:ext uri="{FF2B5EF4-FFF2-40B4-BE49-F238E27FC236}">
              <a16:creationId xmlns:a16="http://schemas.microsoft.com/office/drawing/2014/main" id="{00000000-0008-0000-0D00-000066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383" name="ZoneTexte 1382" hidden="1">
          <a:extLst>
            <a:ext uri="{FF2B5EF4-FFF2-40B4-BE49-F238E27FC236}">
              <a16:creationId xmlns:a16="http://schemas.microsoft.com/office/drawing/2014/main" id="{00000000-0008-0000-0D00-000067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388" name="ZoneTexte 1387" hidden="1">
          <a:extLst>
            <a:ext uri="{FF2B5EF4-FFF2-40B4-BE49-F238E27FC236}">
              <a16:creationId xmlns:a16="http://schemas.microsoft.com/office/drawing/2014/main" id="{00000000-0008-0000-0D00-00006C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389" name="ZoneTexte 1388" hidden="1">
          <a:extLst>
            <a:ext uri="{FF2B5EF4-FFF2-40B4-BE49-F238E27FC236}">
              <a16:creationId xmlns:a16="http://schemas.microsoft.com/office/drawing/2014/main" id="{00000000-0008-0000-0D00-00006D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392" name="ZoneTexte 1391" hidden="1">
          <a:extLst>
            <a:ext uri="{FF2B5EF4-FFF2-40B4-BE49-F238E27FC236}">
              <a16:creationId xmlns:a16="http://schemas.microsoft.com/office/drawing/2014/main" id="{00000000-0008-0000-0D00-000070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395" name="ZoneTexte 1394" hidden="1">
          <a:extLst>
            <a:ext uri="{FF2B5EF4-FFF2-40B4-BE49-F238E27FC236}">
              <a16:creationId xmlns:a16="http://schemas.microsoft.com/office/drawing/2014/main" id="{00000000-0008-0000-0D00-000073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396" name="ZoneTexte 1395" hidden="1">
          <a:extLst>
            <a:ext uri="{FF2B5EF4-FFF2-40B4-BE49-F238E27FC236}">
              <a16:creationId xmlns:a16="http://schemas.microsoft.com/office/drawing/2014/main" id="{00000000-0008-0000-0D00-000074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399" name="ZoneTexte 1398" hidden="1">
          <a:extLst>
            <a:ext uri="{FF2B5EF4-FFF2-40B4-BE49-F238E27FC236}">
              <a16:creationId xmlns:a16="http://schemas.microsoft.com/office/drawing/2014/main" id="{00000000-0008-0000-0D00-000077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04" name="ZoneTexte 1403" hidden="1">
          <a:extLst>
            <a:ext uri="{FF2B5EF4-FFF2-40B4-BE49-F238E27FC236}">
              <a16:creationId xmlns:a16="http://schemas.microsoft.com/office/drawing/2014/main" id="{00000000-0008-0000-0D00-00007C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05" name="ZoneTexte 1404" hidden="1">
          <a:extLst>
            <a:ext uri="{FF2B5EF4-FFF2-40B4-BE49-F238E27FC236}">
              <a16:creationId xmlns:a16="http://schemas.microsoft.com/office/drawing/2014/main" id="{00000000-0008-0000-0D00-00007D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410" name="ZoneTexte 1409" hidden="1">
          <a:extLst>
            <a:ext uri="{FF2B5EF4-FFF2-40B4-BE49-F238E27FC236}">
              <a16:creationId xmlns:a16="http://schemas.microsoft.com/office/drawing/2014/main" id="{00000000-0008-0000-0D00-000082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411" name="ZoneTexte 1410" hidden="1">
          <a:extLst>
            <a:ext uri="{FF2B5EF4-FFF2-40B4-BE49-F238E27FC236}">
              <a16:creationId xmlns:a16="http://schemas.microsoft.com/office/drawing/2014/main" id="{00000000-0008-0000-0D00-000083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14" name="ZoneTexte 1413" hidden="1">
          <a:extLst>
            <a:ext uri="{FF2B5EF4-FFF2-40B4-BE49-F238E27FC236}">
              <a16:creationId xmlns:a16="http://schemas.microsoft.com/office/drawing/2014/main" id="{00000000-0008-0000-0D00-000086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417" name="ZoneTexte 1416" hidden="1">
          <a:extLst>
            <a:ext uri="{FF2B5EF4-FFF2-40B4-BE49-F238E27FC236}">
              <a16:creationId xmlns:a16="http://schemas.microsoft.com/office/drawing/2014/main" id="{00000000-0008-0000-0D00-000089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418" name="ZoneTexte 1417" hidden="1">
          <a:extLst>
            <a:ext uri="{FF2B5EF4-FFF2-40B4-BE49-F238E27FC236}">
              <a16:creationId xmlns:a16="http://schemas.microsoft.com/office/drawing/2014/main" id="{00000000-0008-0000-0D00-00008A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21" name="ZoneTexte 1420" hidden="1">
          <a:extLst>
            <a:ext uri="{FF2B5EF4-FFF2-40B4-BE49-F238E27FC236}">
              <a16:creationId xmlns:a16="http://schemas.microsoft.com/office/drawing/2014/main" id="{00000000-0008-0000-0D00-00008D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26" name="ZoneTexte 1425" hidden="1">
          <a:extLst>
            <a:ext uri="{FF2B5EF4-FFF2-40B4-BE49-F238E27FC236}">
              <a16:creationId xmlns:a16="http://schemas.microsoft.com/office/drawing/2014/main" id="{00000000-0008-0000-0D00-000092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27" name="ZoneTexte 1426" hidden="1">
          <a:extLst>
            <a:ext uri="{FF2B5EF4-FFF2-40B4-BE49-F238E27FC236}">
              <a16:creationId xmlns:a16="http://schemas.microsoft.com/office/drawing/2014/main" id="{00000000-0008-0000-0D00-000093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432" name="ZoneTexte 1431" hidden="1">
          <a:extLst>
            <a:ext uri="{FF2B5EF4-FFF2-40B4-BE49-F238E27FC236}">
              <a16:creationId xmlns:a16="http://schemas.microsoft.com/office/drawing/2014/main" id="{00000000-0008-0000-0D00-000098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433" name="ZoneTexte 1432" hidden="1">
          <a:extLst>
            <a:ext uri="{FF2B5EF4-FFF2-40B4-BE49-F238E27FC236}">
              <a16:creationId xmlns:a16="http://schemas.microsoft.com/office/drawing/2014/main" id="{00000000-0008-0000-0D00-000099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36" name="ZoneTexte 1435" hidden="1">
          <a:extLst>
            <a:ext uri="{FF2B5EF4-FFF2-40B4-BE49-F238E27FC236}">
              <a16:creationId xmlns:a16="http://schemas.microsoft.com/office/drawing/2014/main" id="{00000000-0008-0000-0D00-00009C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439" name="ZoneTexte 1438" hidden="1">
          <a:extLst>
            <a:ext uri="{FF2B5EF4-FFF2-40B4-BE49-F238E27FC236}">
              <a16:creationId xmlns:a16="http://schemas.microsoft.com/office/drawing/2014/main" id="{00000000-0008-0000-0D00-00009F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440" name="ZoneTexte 1439" hidden="1">
          <a:extLst>
            <a:ext uri="{FF2B5EF4-FFF2-40B4-BE49-F238E27FC236}">
              <a16:creationId xmlns:a16="http://schemas.microsoft.com/office/drawing/2014/main" id="{00000000-0008-0000-0D00-0000A0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43" name="ZoneTexte 1442" hidden="1">
          <a:extLst>
            <a:ext uri="{FF2B5EF4-FFF2-40B4-BE49-F238E27FC236}">
              <a16:creationId xmlns:a16="http://schemas.microsoft.com/office/drawing/2014/main" id="{00000000-0008-0000-0D00-0000A3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48" name="ZoneTexte 1447" hidden="1">
          <a:extLst>
            <a:ext uri="{FF2B5EF4-FFF2-40B4-BE49-F238E27FC236}">
              <a16:creationId xmlns:a16="http://schemas.microsoft.com/office/drawing/2014/main" id="{00000000-0008-0000-0D00-0000A8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49" name="ZoneTexte 1448" hidden="1">
          <a:extLst>
            <a:ext uri="{FF2B5EF4-FFF2-40B4-BE49-F238E27FC236}">
              <a16:creationId xmlns:a16="http://schemas.microsoft.com/office/drawing/2014/main" id="{00000000-0008-0000-0D00-0000A9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454" name="ZoneTexte 1453" hidden="1">
          <a:extLst>
            <a:ext uri="{FF2B5EF4-FFF2-40B4-BE49-F238E27FC236}">
              <a16:creationId xmlns:a16="http://schemas.microsoft.com/office/drawing/2014/main" id="{00000000-0008-0000-0D00-0000AE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455" name="ZoneTexte 1454" hidden="1">
          <a:extLst>
            <a:ext uri="{FF2B5EF4-FFF2-40B4-BE49-F238E27FC236}">
              <a16:creationId xmlns:a16="http://schemas.microsoft.com/office/drawing/2014/main" id="{00000000-0008-0000-0D00-0000AF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58" name="ZoneTexte 1457" hidden="1">
          <a:extLst>
            <a:ext uri="{FF2B5EF4-FFF2-40B4-BE49-F238E27FC236}">
              <a16:creationId xmlns:a16="http://schemas.microsoft.com/office/drawing/2014/main" id="{00000000-0008-0000-0D00-0000B2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461" name="ZoneTexte 1460" hidden="1">
          <a:extLst>
            <a:ext uri="{FF2B5EF4-FFF2-40B4-BE49-F238E27FC236}">
              <a16:creationId xmlns:a16="http://schemas.microsoft.com/office/drawing/2014/main" id="{00000000-0008-0000-0D00-0000B5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462" name="ZoneTexte 1461" hidden="1">
          <a:extLst>
            <a:ext uri="{FF2B5EF4-FFF2-40B4-BE49-F238E27FC236}">
              <a16:creationId xmlns:a16="http://schemas.microsoft.com/office/drawing/2014/main" id="{00000000-0008-0000-0D00-0000B6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65" name="ZoneTexte 1464" hidden="1">
          <a:extLst>
            <a:ext uri="{FF2B5EF4-FFF2-40B4-BE49-F238E27FC236}">
              <a16:creationId xmlns:a16="http://schemas.microsoft.com/office/drawing/2014/main" id="{00000000-0008-0000-0D00-0000B9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70" name="ZoneTexte 1469" hidden="1">
          <a:extLst>
            <a:ext uri="{FF2B5EF4-FFF2-40B4-BE49-F238E27FC236}">
              <a16:creationId xmlns:a16="http://schemas.microsoft.com/office/drawing/2014/main" id="{00000000-0008-0000-0D00-0000BE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71" name="ZoneTexte 1470" hidden="1">
          <a:extLst>
            <a:ext uri="{FF2B5EF4-FFF2-40B4-BE49-F238E27FC236}">
              <a16:creationId xmlns:a16="http://schemas.microsoft.com/office/drawing/2014/main" id="{00000000-0008-0000-0D00-0000BF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476" name="ZoneTexte 1475" hidden="1">
          <a:extLst>
            <a:ext uri="{FF2B5EF4-FFF2-40B4-BE49-F238E27FC236}">
              <a16:creationId xmlns:a16="http://schemas.microsoft.com/office/drawing/2014/main" id="{00000000-0008-0000-0D00-0000C4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477" name="ZoneTexte 1476" hidden="1">
          <a:extLst>
            <a:ext uri="{FF2B5EF4-FFF2-40B4-BE49-F238E27FC236}">
              <a16:creationId xmlns:a16="http://schemas.microsoft.com/office/drawing/2014/main" id="{00000000-0008-0000-0D00-0000C5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80" name="ZoneTexte 1479" hidden="1">
          <a:extLst>
            <a:ext uri="{FF2B5EF4-FFF2-40B4-BE49-F238E27FC236}">
              <a16:creationId xmlns:a16="http://schemas.microsoft.com/office/drawing/2014/main" id="{00000000-0008-0000-0D00-0000C8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483" name="ZoneTexte 1482" hidden="1">
          <a:extLst>
            <a:ext uri="{FF2B5EF4-FFF2-40B4-BE49-F238E27FC236}">
              <a16:creationId xmlns:a16="http://schemas.microsoft.com/office/drawing/2014/main" id="{00000000-0008-0000-0D00-0000CB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484" name="ZoneTexte 1483" hidden="1">
          <a:extLst>
            <a:ext uri="{FF2B5EF4-FFF2-40B4-BE49-F238E27FC236}">
              <a16:creationId xmlns:a16="http://schemas.microsoft.com/office/drawing/2014/main" id="{00000000-0008-0000-0D00-0000CC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87" name="ZoneTexte 1486" hidden="1">
          <a:extLst>
            <a:ext uri="{FF2B5EF4-FFF2-40B4-BE49-F238E27FC236}">
              <a16:creationId xmlns:a16="http://schemas.microsoft.com/office/drawing/2014/main" id="{00000000-0008-0000-0D00-0000CF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92" name="ZoneTexte 1491" hidden="1">
          <a:extLst>
            <a:ext uri="{FF2B5EF4-FFF2-40B4-BE49-F238E27FC236}">
              <a16:creationId xmlns:a16="http://schemas.microsoft.com/office/drawing/2014/main" id="{00000000-0008-0000-0D00-0000D4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493" name="ZoneTexte 1492" hidden="1">
          <a:extLst>
            <a:ext uri="{FF2B5EF4-FFF2-40B4-BE49-F238E27FC236}">
              <a16:creationId xmlns:a16="http://schemas.microsoft.com/office/drawing/2014/main" id="{00000000-0008-0000-0D00-0000D5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498" name="ZoneTexte 1497" hidden="1">
          <a:extLst>
            <a:ext uri="{FF2B5EF4-FFF2-40B4-BE49-F238E27FC236}">
              <a16:creationId xmlns:a16="http://schemas.microsoft.com/office/drawing/2014/main" id="{00000000-0008-0000-0D00-0000DA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499" name="ZoneTexte 1498" hidden="1">
          <a:extLst>
            <a:ext uri="{FF2B5EF4-FFF2-40B4-BE49-F238E27FC236}">
              <a16:creationId xmlns:a16="http://schemas.microsoft.com/office/drawing/2014/main" id="{00000000-0008-0000-0D00-0000DB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02" name="ZoneTexte 1501" hidden="1">
          <a:extLst>
            <a:ext uri="{FF2B5EF4-FFF2-40B4-BE49-F238E27FC236}">
              <a16:creationId xmlns:a16="http://schemas.microsoft.com/office/drawing/2014/main" id="{00000000-0008-0000-0D00-0000DE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505" name="ZoneTexte 1504" hidden="1">
          <a:extLst>
            <a:ext uri="{FF2B5EF4-FFF2-40B4-BE49-F238E27FC236}">
              <a16:creationId xmlns:a16="http://schemas.microsoft.com/office/drawing/2014/main" id="{00000000-0008-0000-0D00-0000E1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506" name="ZoneTexte 1505" hidden="1">
          <a:extLst>
            <a:ext uri="{FF2B5EF4-FFF2-40B4-BE49-F238E27FC236}">
              <a16:creationId xmlns:a16="http://schemas.microsoft.com/office/drawing/2014/main" id="{00000000-0008-0000-0D00-0000E2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09" name="ZoneTexte 1508" hidden="1">
          <a:extLst>
            <a:ext uri="{FF2B5EF4-FFF2-40B4-BE49-F238E27FC236}">
              <a16:creationId xmlns:a16="http://schemas.microsoft.com/office/drawing/2014/main" id="{00000000-0008-0000-0D00-0000E5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14" name="ZoneTexte 1513" hidden="1">
          <a:extLst>
            <a:ext uri="{FF2B5EF4-FFF2-40B4-BE49-F238E27FC236}">
              <a16:creationId xmlns:a16="http://schemas.microsoft.com/office/drawing/2014/main" id="{00000000-0008-0000-0D00-0000EA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15" name="ZoneTexte 1514" hidden="1">
          <a:extLst>
            <a:ext uri="{FF2B5EF4-FFF2-40B4-BE49-F238E27FC236}">
              <a16:creationId xmlns:a16="http://schemas.microsoft.com/office/drawing/2014/main" id="{00000000-0008-0000-0D00-0000EB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522" name="ZoneTexte 1521" hidden="1">
          <a:extLst>
            <a:ext uri="{FF2B5EF4-FFF2-40B4-BE49-F238E27FC236}">
              <a16:creationId xmlns:a16="http://schemas.microsoft.com/office/drawing/2014/main" id="{00000000-0008-0000-0D00-0000F2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523" name="ZoneTexte 1522" hidden="1">
          <a:extLst>
            <a:ext uri="{FF2B5EF4-FFF2-40B4-BE49-F238E27FC236}">
              <a16:creationId xmlns:a16="http://schemas.microsoft.com/office/drawing/2014/main" id="{00000000-0008-0000-0D00-0000F3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26" name="ZoneTexte 1525" hidden="1">
          <a:extLst>
            <a:ext uri="{FF2B5EF4-FFF2-40B4-BE49-F238E27FC236}">
              <a16:creationId xmlns:a16="http://schemas.microsoft.com/office/drawing/2014/main" id="{00000000-0008-0000-0D00-0000F6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529" name="ZoneTexte 1528" hidden="1">
          <a:extLst>
            <a:ext uri="{FF2B5EF4-FFF2-40B4-BE49-F238E27FC236}">
              <a16:creationId xmlns:a16="http://schemas.microsoft.com/office/drawing/2014/main" id="{00000000-0008-0000-0D00-0000F905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530" name="ZoneTexte 1529" hidden="1">
          <a:extLst>
            <a:ext uri="{FF2B5EF4-FFF2-40B4-BE49-F238E27FC236}">
              <a16:creationId xmlns:a16="http://schemas.microsoft.com/office/drawing/2014/main" id="{00000000-0008-0000-0D00-0000FA05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33" name="ZoneTexte 1532" hidden="1">
          <a:extLst>
            <a:ext uri="{FF2B5EF4-FFF2-40B4-BE49-F238E27FC236}">
              <a16:creationId xmlns:a16="http://schemas.microsoft.com/office/drawing/2014/main" id="{00000000-0008-0000-0D00-0000FD05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38" name="ZoneTexte 1537" hidden="1">
          <a:extLst>
            <a:ext uri="{FF2B5EF4-FFF2-40B4-BE49-F238E27FC236}">
              <a16:creationId xmlns:a16="http://schemas.microsoft.com/office/drawing/2014/main" id="{00000000-0008-0000-0D00-00000206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39" name="ZoneTexte 1538" hidden="1">
          <a:extLst>
            <a:ext uri="{FF2B5EF4-FFF2-40B4-BE49-F238E27FC236}">
              <a16:creationId xmlns:a16="http://schemas.microsoft.com/office/drawing/2014/main" id="{00000000-0008-0000-0D00-00000306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540" name="ZoneTexte 1539" hidden="1">
          <a:extLst>
            <a:ext uri="{FF2B5EF4-FFF2-40B4-BE49-F238E27FC236}">
              <a16:creationId xmlns:a16="http://schemas.microsoft.com/office/drawing/2014/main" id="{00000000-0008-0000-0D00-00000406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541" name="ZoneTexte 1540" hidden="1">
          <a:extLst>
            <a:ext uri="{FF2B5EF4-FFF2-40B4-BE49-F238E27FC236}">
              <a16:creationId xmlns:a16="http://schemas.microsoft.com/office/drawing/2014/main" id="{00000000-0008-0000-0D00-00000506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44" name="ZoneTexte 1543" hidden="1">
          <a:extLst>
            <a:ext uri="{FF2B5EF4-FFF2-40B4-BE49-F238E27FC236}">
              <a16:creationId xmlns:a16="http://schemas.microsoft.com/office/drawing/2014/main" id="{00000000-0008-0000-0D00-00000806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547" name="ZoneTexte 1546" hidden="1">
          <a:extLst>
            <a:ext uri="{FF2B5EF4-FFF2-40B4-BE49-F238E27FC236}">
              <a16:creationId xmlns:a16="http://schemas.microsoft.com/office/drawing/2014/main" id="{00000000-0008-0000-0D00-00000B06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261</xdr:row>
      <xdr:rowOff>3706090</xdr:rowOff>
    </xdr:from>
    <xdr:to>
      <xdr:col>2</xdr:col>
      <xdr:colOff>5142675</xdr:colOff>
      <xdr:row>261</xdr:row>
      <xdr:rowOff>4005447</xdr:rowOff>
    </xdr:to>
    <xdr:sp macro="" textlink="">
      <xdr:nvSpPr>
        <xdr:cNvPr id="1548" name="ZoneTexte 1547" hidden="1">
          <a:extLst>
            <a:ext uri="{FF2B5EF4-FFF2-40B4-BE49-F238E27FC236}">
              <a16:creationId xmlns:a16="http://schemas.microsoft.com/office/drawing/2014/main" id="{00000000-0008-0000-0D00-00000C060000}"/>
            </a:ext>
          </a:extLst>
        </xdr:cNvPr>
        <xdr:cNvSpPr txBox="1"/>
      </xdr:nvSpPr>
      <xdr:spPr>
        <a:xfrm>
          <a:off x="6027593" y="3116334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51" name="ZoneTexte 1550" hidden="1">
          <a:extLst>
            <a:ext uri="{FF2B5EF4-FFF2-40B4-BE49-F238E27FC236}">
              <a16:creationId xmlns:a16="http://schemas.microsoft.com/office/drawing/2014/main" id="{00000000-0008-0000-0D00-00000F06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56" name="ZoneTexte 1555" hidden="1">
          <a:extLst>
            <a:ext uri="{FF2B5EF4-FFF2-40B4-BE49-F238E27FC236}">
              <a16:creationId xmlns:a16="http://schemas.microsoft.com/office/drawing/2014/main" id="{00000000-0008-0000-0D00-00001406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57" name="ZoneTexte 1556" hidden="1">
          <a:extLst>
            <a:ext uri="{FF2B5EF4-FFF2-40B4-BE49-F238E27FC236}">
              <a16:creationId xmlns:a16="http://schemas.microsoft.com/office/drawing/2014/main" id="{00000000-0008-0000-0D00-00001506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62" name="ZoneTexte 1561" hidden="1">
          <a:extLst>
            <a:ext uri="{FF2B5EF4-FFF2-40B4-BE49-F238E27FC236}">
              <a16:creationId xmlns:a16="http://schemas.microsoft.com/office/drawing/2014/main" id="{00000000-0008-0000-0D00-00001A06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63" name="ZoneTexte 1562" hidden="1">
          <a:extLst>
            <a:ext uri="{FF2B5EF4-FFF2-40B4-BE49-F238E27FC236}">
              <a16:creationId xmlns:a16="http://schemas.microsoft.com/office/drawing/2014/main" id="{00000000-0008-0000-0D00-00001B06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568" name="ZoneTexte 1567" hidden="1">
          <a:extLst>
            <a:ext uri="{FF2B5EF4-FFF2-40B4-BE49-F238E27FC236}">
              <a16:creationId xmlns:a16="http://schemas.microsoft.com/office/drawing/2014/main" id="{00000000-0008-0000-0D00-00002006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262</xdr:row>
      <xdr:rowOff>2412999</xdr:rowOff>
    </xdr:from>
    <xdr:to>
      <xdr:col>2</xdr:col>
      <xdr:colOff>5327402</xdr:colOff>
      <xdr:row>262</xdr:row>
      <xdr:rowOff>2712356</xdr:rowOff>
    </xdr:to>
    <xdr:sp macro="" textlink="">
      <xdr:nvSpPr>
        <xdr:cNvPr id="1569" name="ZoneTexte 1568" hidden="1">
          <a:extLst>
            <a:ext uri="{FF2B5EF4-FFF2-40B4-BE49-F238E27FC236}">
              <a16:creationId xmlns:a16="http://schemas.microsoft.com/office/drawing/2014/main" id="{00000000-0008-0000-0D00-000021060000}"/>
            </a:ext>
          </a:extLst>
        </xdr:cNvPr>
        <xdr:cNvSpPr txBox="1"/>
      </xdr:nvSpPr>
      <xdr:spPr>
        <a:xfrm>
          <a:off x="6021820" y="3120485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70" name="ZoneTexte 1569" hidden="1">
          <a:extLst>
            <a:ext uri="{FF2B5EF4-FFF2-40B4-BE49-F238E27FC236}">
              <a16:creationId xmlns:a16="http://schemas.microsoft.com/office/drawing/2014/main" id="{00000000-0008-0000-0D00-00002206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261</xdr:row>
      <xdr:rowOff>2412999</xdr:rowOff>
    </xdr:from>
    <xdr:to>
      <xdr:col>2</xdr:col>
      <xdr:colOff>5327402</xdr:colOff>
      <xdr:row>261</xdr:row>
      <xdr:rowOff>2712356</xdr:rowOff>
    </xdr:to>
    <xdr:sp macro="" textlink="">
      <xdr:nvSpPr>
        <xdr:cNvPr id="1571" name="ZoneTexte 1570" hidden="1">
          <a:extLst>
            <a:ext uri="{FF2B5EF4-FFF2-40B4-BE49-F238E27FC236}">
              <a16:creationId xmlns:a16="http://schemas.microsoft.com/office/drawing/2014/main" id="{00000000-0008-0000-0D00-000023060000}"/>
            </a:ext>
          </a:extLst>
        </xdr:cNvPr>
        <xdr:cNvSpPr txBox="1"/>
      </xdr:nvSpPr>
      <xdr:spPr>
        <a:xfrm>
          <a:off x="6021820" y="3116357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262</xdr:row>
      <xdr:rowOff>2412999</xdr:rowOff>
    </xdr:from>
    <xdr:to>
      <xdr:col>2</xdr:col>
      <xdr:colOff>5327402</xdr:colOff>
      <xdr:row>262</xdr:row>
      <xdr:rowOff>2712356</xdr:rowOff>
    </xdr:to>
    <xdr:sp macro="" textlink="">
      <xdr:nvSpPr>
        <xdr:cNvPr id="1572" name="ZoneTexte 1571" hidden="1">
          <a:extLst>
            <a:ext uri="{FF2B5EF4-FFF2-40B4-BE49-F238E27FC236}">
              <a16:creationId xmlns:a16="http://schemas.microsoft.com/office/drawing/2014/main" id="{00000000-0008-0000-0D00-000024060000}"/>
            </a:ext>
          </a:extLst>
        </xdr:cNvPr>
        <xdr:cNvSpPr txBox="1"/>
      </xdr:nvSpPr>
      <xdr:spPr>
        <a:xfrm>
          <a:off x="6021820" y="3120485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73" name="ZoneTexte 1572" hidden="1">
          <a:extLst>
            <a:ext uri="{FF2B5EF4-FFF2-40B4-BE49-F238E27FC236}">
              <a16:creationId xmlns:a16="http://schemas.microsoft.com/office/drawing/2014/main" id="{00000000-0008-0000-0D00-00002506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74" name="ZoneTexte 1573" hidden="1">
          <a:extLst>
            <a:ext uri="{FF2B5EF4-FFF2-40B4-BE49-F238E27FC236}">
              <a16:creationId xmlns:a16="http://schemas.microsoft.com/office/drawing/2014/main" id="{00000000-0008-0000-0D00-00002606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276</xdr:row>
      <xdr:rowOff>2412999</xdr:rowOff>
    </xdr:from>
    <xdr:to>
      <xdr:col>2</xdr:col>
      <xdr:colOff>5327402</xdr:colOff>
      <xdr:row>276</xdr:row>
      <xdr:rowOff>2712356</xdr:rowOff>
    </xdr:to>
    <xdr:sp macro="" textlink="">
      <xdr:nvSpPr>
        <xdr:cNvPr id="1575" name="ZoneTexte 1574" hidden="1">
          <a:extLst>
            <a:ext uri="{FF2B5EF4-FFF2-40B4-BE49-F238E27FC236}">
              <a16:creationId xmlns:a16="http://schemas.microsoft.com/office/drawing/2014/main" id="{00000000-0008-0000-0D00-000027060000}"/>
            </a:ext>
          </a:extLst>
        </xdr:cNvPr>
        <xdr:cNvSpPr txBox="1"/>
      </xdr:nvSpPr>
      <xdr:spPr>
        <a:xfrm>
          <a:off x="6021820" y="316102999"/>
          <a:ext cx="72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262</xdr:row>
      <xdr:rowOff>2412999</xdr:rowOff>
    </xdr:from>
    <xdr:to>
      <xdr:col>2</xdr:col>
      <xdr:colOff>5327402</xdr:colOff>
      <xdr:row>262</xdr:row>
      <xdr:rowOff>2712356</xdr:rowOff>
    </xdr:to>
    <xdr:sp macro="" textlink="">
      <xdr:nvSpPr>
        <xdr:cNvPr id="1576" name="ZoneTexte 1575" hidden="1">
          <a:extLst>
            <a:ext uri="{FF2B5EF4-FFF2-40B4-BE49-F238E27FC236}">
              <a16:creationId xmlns:a16="http://schemas.microsoft.com/office/drawing/2014/main" id="{00000000-0008-0000-0D00-000028060000}"/>
            </a:ext>
          </a:extLst>
        </xdr:cNvPr>
        <xdr:cNvSpPr txBox="1"/>
      </xdr:nvSpPr>
      <xdr:spPr>
        <a:xfrm>
          <a:off x="6021820" y="3120485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262</xdr:row>
      <xdr:rowOff>2412999</xdr:rowOff>
    </xdr:from>
    <xdr:to>
      <xdr:col>2</xdr:col>
      <xdr:colOff>5327402</xdr:colOff>
      <xdr:row>262</xdr:row>
      <xdr:rowOff>2712356</xdr:rowOff>
    </xdr:to>
    <xdr:sp macro="" textlink="">
      <xdr:nvSpPr>
        <xdr:cNvPr id="1577" name="ZoneTexte 1576" hidden="1">
          <a:extLst>
            <a:ext uri="{FF2B5EF4-FFF2-40B4-BE49-F238E27FC236}">
              <a16:creationId xmlns:a16="http://schemas.microsoft.com/office/drawing/2014/main" id="{00000000-0008-0000-0D00-000029060000}"/>
            </a:ext>
          </a:extLst>
        </xdr:cNvPr>
        <xdr:cNvSpPr txBox="1"/>
      </xdr:nvSpPr>
      <xdr:spPr>
        <a:xfrm>
          <a:off x="6021820" y="3120485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262</xdr:row>
      <xdr:rowOff>2412999</xdr:rowOff>
    </xdr:from>
    <xdr:to>
      <xdr:col>2</xdr:col>
      <xdr:colOff>5327402</xdr:colOff>
      <xdr:row>262</xdr:row>
      <xdr:rowOff>2712356</xdr:rowOff>
    </xdr:to>
    <xdr:sp macro="" textlink="">
      <xdr:nvSpPr>
        <xdr:cNvPr id="1578" name="ZoneTexte 1577" hidden="1">
          <a:extLst>
            <a:ext uri="{FF2B5EF4-FFF2-40B4-BE49-F238E27FC236}">
              <a16:creationId xmlns:a16="http://schemas.microsoft.com/office/drawing/2014/main" id="{00000000-0008-0000-0D00-00002A060000}"/>
            </a:ext>
          </a:extLst>
        </xdr:cNvPr>
        <xdr:cNvSpPr txBox="1"/>
      </xdr:nvSpPr>
      <xdr:spPr>
        <a:xfrm>
          <a:off x="6021820" y="3120485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262</xdr:row>
      <xdr:rowOff>2412999</xdr:rowOff>
    </xdr:from>
    <xdr:to>
      <xdr:col>2</xdr:col>
      <xdr:colOff>5327402</xdr:colOff>
      <xdr:row>262</xdr:row>
      <xdr:rowOff>2712356</xdr:rowOff>
    </xdr:to>
    <xdr:sp macro="" textlink="">
      <xdr:nvSpPr>
        <xdr:cNvPr id="1579" name="ZoneTexte 1578" hidden="1">
          <a:extLst>
            <a:ext uri="{FF2B5EF4-FFF2-40B4-BE49-F238E27FC236}">
              <a16:creationId xmlns:a16="http://schemas.microsoft.com/office/drawing/2014/main" id="{00000000-0008-0000-0D00-00002B060000}"/>
            </a:ext>
          </a:extLst>
        </xdr:cNvPr>
        <xdr:cNvSpPr txBox="1"/>
      </xdr:nvSpPr>
      <xdr:spPr>
        <a:xfrm>
          <a:off x="6021820" y="3120485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262</xdr:row>
      <xdr:rowOff>2412999</xdr:rowOff>
    </xdr:from>
    <xdr:to>
      <xdr:col>2</xdr:col>
      <xdr:colOff>5327402</xdr:colOff>
      <xdr:row>262</xdr:row>
      <xdr:rowOff>2712356</xdr:rowOff>
    </xdr:to>
    <xdr:sp macro="" textlink="">
      <xdr:nvSpPr>
        <xdr:cNvPr id="1580" name="ZoneTexte 1579" hidden="1">
          <a:extLst>
            <a:ext uri="{FF2B5EF4-FFF2-40B4-BE49-F238E27FC236}">
              <a16:creationId xmlns:a16="http://schemas.microsoft.com/office/drawing/2014/main" id="{00000000-0008-0000-0D00-00002C060000}"/>
            </a:ext>
          </a:extLst>
        </xdr:cNvPr>
        <xdr:cNvSpPr txBox="1"/>
      </xdr:nvSpPr>
      <xdr:spPr>
        <a:xfrm>
          <a:off x="6021820" y="3120485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262</xdr:row>
      <xdr:rowOff>2412999</xdr:rowOff>
    </xdr:from>
    <xdr:to>
      <xdr:col>2</xdr:col>
      <xdr:colOff>5327402</xdr:colOff>
      <xdr:row>262</xdr:row>
      <xdr:rowOff>2712356</xdr:rowOff>
    </xdr:to>
    <xdr:sp macro="" textlink="">
      <xdr:nvSpPr>
        <xdr:cNvPr id="1581" name="ZoneTexte 1580" hidden="1">
          <a:extLst>
            <a:ext uri="{FF2B5EF4-FFF2-40B4-BE49-F238E27FC236}">
              <a16:creationId xmlns:a16="http://schemas.microsoft.com/office/drawing/2014/main" id="{00000000-0008-0000-0D00-00002D060000}"/>
            </a:ext>
          </a:extLst>
        </xdr:cNvPr>
        <xdr:cNvSpPr txBox="1"/>
      </xdr:nvSpPr>
      <xdr:spPr>
        <a:xfrm>
          <a:off x="6021820" y="3120485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262</xdr:row>
      <xdr:rowOff>2412999</xdr:rowOff>
    </xdr:from>
    <xdr:to>
      <xdr:col>2</xdr:col>
      <xdr:colOff>5327402</xdr:colOff>
      <xdr:row>262</xdr:row>
      <xdr:rowOff>2712356</xdr:rowOff>
    </xdr:to>
    <xdr:sp macro="" textlink="">
      <xdr:nvSpPr>
        <xdr:cNvPr id="1582" name="ZoneTexte 1581" hidden="1">
          <a:extLst>
            <a:ext uri="{FF2B5EF4-FFF2-40B4-BE49-F238E27FC236}">
              <a16:creationId xmlns:a16="http://schemas.microsoft.com/office/drawing/2014/main" id="{00000000-0008-0000-0D00-00002E060000}"/>
            </a:ext>
          </a:extLst>
        </xdr:cNvPr>
        <xdr:cNvSpPr txBox="1"/>
      </xdr:nvSpPr>
      <xdr:spPr>
        <a:xfrm>
          <a:off x="6021820" y="3120485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262</xdr:row>
      <xdr:rowOff>2412999</xdr:rowOff>
    </xdr:from>
    <xdr:to>
      <xdr:col>2</xdr:col>
      <xdr:colOff>5327402</xdr:colOff>
      <xdr:row>262</xdr:row>
      <xdr:rowOff>2712356</xdr:rowOff>
    </xdr:to>
    <xdr:sp macro="" textlink="">
      <xdr:nvSpPr>
        <xdr:cNvPr id="1584" name="ZoneTexte 1583" hidden="1">
          <a:extLst>
            <a:ext uri="{FF2B5EF4-FFF2-40B4-BE49-F238E27FC236}">
              <a16:creationId xmlns:a16="http://schemas.microsoft.com/office/drawing/2014/main" id="{00000000-0008-0000-0D00-000030060000}"/>
            </a:ext>
          </a:extLst>
        </xdr:cNvPr>
        <xdr:cNvSpPr txBox="1"/>
      </xdr:nvSpPr>
      <xdr:spPr>
        <a:xfrm>
          <a:off x="6021820" y="3120485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586" name="ZoneTexte 1585" hidden="1">
          <a:extLst>
            <a:ext uri="{FF2B5EF4-FFF2-40B4-BE49-F238E27FC236}">
              <a16:creationId xmlns:a16="http://schemas.microsoft.com/office/drawing/2014/main" id="{00000000-0008-0000-0D00-000032060000}"/>
            </a:ext>
          </a:extLst>
        </xdr:cNvPr>
        <xdr:cNvSpPr txBox="1"/>
      </xdr:nvSpPr>
      <xdr:spPr>
        <a:xfrm>
          <a:off x="6021820" y="3128740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587" name="ZoneTexte 1586" hidden="1">
          <a:extLst>
            <a:ext uri="{FF2B5EF4-FFF2-40B4-BE49-F238E27FC236}">
              <a16:creationId xmlns:a16="http://schemas.microsoft.com/office/drawing/2014/main" id="{00000000-0008-0000-0D00-000033060000}"/>
            </a:ext>
          </a:extLst>
        </xdr:cNvPr>
        <xdr:cNvSpPr txBox="1"/>
      </xdr:nvSpPr>
      <xdr:spPr>
        <a:xfrm>
          <a:off x="6021820" y="3128740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2" name="ZoneTexte 1" hidden="1">
          <a:extLst>
            <a:ext uri="{FF2B5EF4-FFF2-40B4-BE49-F238E27FC236}">
              <a16:creationId xmlns:a16="http://schemas.microsoft.com/office/drawing/2014/main" id="{00000000-0008-0000-0D00-000002000000}"/>
            </a:ext>
          </a:extLst>
        </xdr:cNvPr>
        <xdr:cNvSpPr txBox="1"/>
      </xdr:nvSpPr>
      <xdr:spPr>
        <a:xfrm>
          <a:off x="7935349" y="2902074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3" name="ZoneTexte 2" hidden="1">
          <a:extLst>
            <a:ext uri="{FF2B5EF4-FFF2-40B4-BE49-F238E27FC236}">
              <a16:creationId xmlns:a16="http://schemas.microsoft.com/office/drawing/2014/main" id="{00000000-0008-0000-0D00-000003000000}"/>
            </a:ext>
          </a:extLst>
        </xdr:cNvPr>
        <xdr:cNvSpPr txBox="1"/>
      </xdr:nvSpPr>
      <xdr:spPr>
        <a:xfrm>
          <a:off x="7935349" y="2902074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49</xdr:row>
      <xdr:rowOff>2412999</xdr:rowOff>
    </xdr:from>
    <xdr:to>
      <xdr:col>2</xdr:col>
      <xdr:colOff>5327402</xdr:colOff>
      <xdr:row>49</xdr:row>
      <xdr:rowOff>2712356</xdr:rowOff>
    </xdr:to>
    <xdr:sp macro="" textlink="">
      <xdr:nvSpPr>
        <xdr:cNvPr id="4" name="ZoneTexte 3" hidden="1">
          <a:extLst>
            <a:ext uri="{FF2B5EF4-FFF2-40B4-BE49-F238E27FC236}">
              <a16:creationId xmlns:a16="http://schemas.microsoft.com/office/drawing/2014/main" id="{00000000-0008-0000-0D00-000004000000}"/>
            </a:ext>
          </a:extLst>
        </xdr:cNvPr>
        <xdr:cNvSpPr txBox="1"/>
      </xdr:nvSpPr>
      <xdr:spPr>
        <a:xfrm>
          <a:off x="7935349" y="7236260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49</xdr:row>
      <xdr:rowOff>2412999</xdr:rowOff>
    </xdr:from>
    <xdr:to>
      <xdr:col>2</xdr:col>
      <xdr:colOff>5327402</xdr:colOff>
      <xdr:row>49</xdr:row>
      <xdr:rowOff>2712356</xdr:rowOff>
    </xdr:to>
    <xdr:sp macro="" textlink="">
      <xdr:nvSpPr>
        <xdr:cNvPr id="5" name="ZoneTexte 4" hidden="1">
          <a:extLst>
            <a:ext uri="{FF2B5EF4-FFF2-40B4-BE49-F238E27FC236}">
              <a16:creationId xmlns:a16="http://schemas.microsoft.com/office/drawing/2014/main" id="{00000000-0008-0000-0D00-000005000000}"/>
            </a:ext>
          </a:extLst>
        </xdr:cNvPr>
        <xdr:cNvSpPr txBox="1"/>
      </xdr:nvSpPr>
      <xdr:spPr>
        <a:xfrm>
          <a:off x="7935349" y="7236260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49</xdr:row>
      <xdr:rowOff>2412999</xdr:rowOff>
    </xdr:from>
    <xdr:to>
      <xdr:col>2</xdr:col>
      <xdr:colOff>5327402</xdr:colOff>
      <xdr:row>49</xdr:row>
      <xdr:rowOff>2712356</xdr:rowOff>
    </xdr:to>
    <xdr:sp macro="" textlink="">
      <xdr:nvSpPr>
        <xdr:cNvPr id="6" name="ZoneTexte 5" hidden="1">
          <a:extLst>
            <a:ext uri="{FF2B5EF4-FFF2-40B4-BE49-F238E27FC236}">
              <a16:creationId xmlns:a16="http://schemas.microsoft.com/office/drawing/2014/main" id="{00000000-0008-0000-0D00-000006000000}"/>
            </a:ext>
          </a:extLst>
        </xdr:cNvPr>
        <xdr:cNvSpPr txBox="1"/>
      </xdr:nvSpPr>
      <xdr:spPr>
        <a:xfrm>
          <a:off x="7935349" y="7236260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49</xdr:row>
      <xdr:rowOff>2412999</xdr:rowOff>
    </xdr:from>
    <xdr:to>
      <xdr:col>2</xdr:col>
      <xdr:colOff>5327402</xdr:colOff>
      <xdr:row>49</xdr:row>
      <xdr:rowOff>2712356</xdr:rowOff>
    </xdr:to>
    <xdr:sp macro="" textlink="">
      <xdr:nvSpPr>
        <xdr:cNvPr id="7" name="ZoneTexte 6" hidden="1">
          <a:extLst>
            <a:ext uri="{FF2B5EF4-FFF2-40B4-BE49-F238E27FC236}">
              <a16:creationId xmlns:a16="http://schemas.microsoft.com/office/drawing/2014/main" id="{00000000-0008-0000-0D00-000007000000}"/>
            </a:ext>
          </a:extLst>
        </xdr:cNvPr>
        <xdr:cNvSpPr txBox="1"/>
      </xdr:nvSpPr>
      <xdr:spPr>
        <a:xfrm>
          <a:off x="7935349" y="7236260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67</xdr:row>
      <xdr:rowOff>2412999</xdr:rowOff>
    </xdr:from>
    <xdr:to>
      <xdr:col>2</xdr:col>
      <xdr:colOff>5327402</xdr:colOff>
      <xdr:row>67</xdr:row>
      <xdr:rowOff>2712356</xdr:rowOff>
    </xdr:to>
    <xdr:sp macro="" textlink="">
      <xdr:nvSpPr>
        <xdr:cNvPr id="10" name="ZoneTexte 9" hidden="1">
          <a:extLst>
            <a:ext uri="{FF2B5EF4-FFF2-40B4-BE49-F238E27FC236}">
              <a16:creationId xmlns:a16="http://schemas.microsoft.com/office/drawing/2014/main" id="{00000000-0008-0000-0D00-00000A000000}"/>
            </a:ext>
          </a:extLst>
        </xdr:cNvPr>
        <xdr:cNvSpPr txBox="1"/>
      </xdr:nvSpPr>
      <xdr:spPr>
        <a:xfrm>
          <a:off x="7935349" y="11617760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67</xdr:row>
      <xdr:rowOff>2412999</xdr:rowOff>
    </xdr:from>
    <xdr:to>
      <xdr:col>2</xdr:col>
      <xdr:colOff>5327402</xdr:colOff>
      <xdr:row>67</xdr:row>
      <xdr:rowOff>2712356</xdr:rowOff>
    </xdr:to>
    <xdr:sp macro="" textlink="">
      <xdr:nvSpPr>
        <xdr:cNvPr id="11" name="ZoneTexte 10" hidden="1">
          <a:extLst>
            <a:ext uri="{FF2B5EF4-FFF2-40B4-BE49-F238E27FC236}">
              <a16:creationId xmlns:a16="http://schemas.microsoft.com/office/drawing/2014/main" id="{00000000-0008-0000-0D00-00000B000000}"/>
            </a:ext>
          </a:extLst>
        </xdr:cNvPr>
        <xdr:cNvSpPr txBox="1"/>
      </xdr:nvSpPr>
      <xdr:spPr>
        <a:xfrm>
          <a:off x="7935349" y="11617760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67</xdr:row>
      <xdr:rowOff>2412999</xdr:rowOff>
    </xdr:from>
    <xdr:to>
      <xdr:col>2</xdr:col>
      <xdr:colOff>5327402</xdr:colOff>
      <xdr:row>67</xdr:row>
      <xdr:rowOff>2712356</xdr:rowOff>
    </xdr:to>
    <xdr:sp macro="" textlink="">
      <xdr:nvSpPr>
        <xdr:cNvPr id="15" name="ZoneTexte 14" hidden="1">
          <a:extLst>
            <a:ext uri="{FF2B5EF4-FFF2-40B4-BE49-F238E27FC236}">
              <a16:creationId xmlns:a16="http://schemas.microsoft.com/office/drawing/2014/main" id="{00000000-0008-0000-0D00-00000F000000}"/>
            </a:ext>
          </a:extLst>
        </xdr:cNvPr>
        <xdr:cNvSpPr txBox="1"/>
      </xdr:nvSpPr>
      <xdr:spPr>
        <a:xfrm>
          <a:off x="7935349" y="11617760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67</xdr:row>
      <xdr:rowOff>2412999</xdr:rowOff>
    </xdr:from>
    <xdr:to>
      <xdr:col>2</xdr:col>
      <xdr:colOff>5327402</xdr:colOff>
      <xdr:row>67</xdr:row>
      <xdr:rowOff>2712356</xdr:rowOff>
    </xdr:to>
    <xdr:sp macro="" textlink="">
      <xdr:nvSpPr>
        <xdr:cNvPr id="20" name="ZoneTexte 19" hidden="1">
          <a:extLst>
            <a:ext uri="{FF2B5EF4-FFF2-40B4-BE49-F238E27FC236}">
              <a16:creationId xmlns:a16="http://schemas.microsoft.com/office/drawing/2014/main" id="{00000000-0008-0000-0D00-000014000000}"/>
            </a:ext>
          </a:extLst>
        </xdr:cNvPr>
        <xdr:cNvSpPr txBox="1"/>
      </xdr:nvSpPr>
      <xdr:spPr>
        <a:xfrm>
          <a:off x="7935349" y="11617760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67</xdr:row>
      <xdr:rowOff>2412999</xdr:rowOff>
    </xdr:from>
    <xdr:to>
      <xdr:col>2</xdr:col>
      <xdr:colOff>5327402</xdr:colOff>
      <xdr:row>67</xdr:row>
      <xdr:rowOff>2712356</xdr:rowOff>
    </xdr:to>
    <xdr:sp macro="" textlink="">
      <xdr:nvSpPr>
        <xdr:cNvPr id="23" name="ZoneTexte 22" hidden="1">
          <a:extLst>
            <a:ext uri="{FF2B5EF4-FFF2-40B4-BE49-F238E27FC236}">
              <a16:creationId xmlns:a16="http://schemas.microsoft.com/office/drawing/2014/main" id="{00000000-0008-0000-0D00-000017000000}"/>
            </a:ext>
          </a:extLst>
        </xdr:cNvPr>
        <xdr:cNvSpPr txBox="1"/>
      </xdr:nvSpPr>
      <xdr:spPr>
        <a:xfrm>
          <a:off x="7935349" y="11617760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67</xdr:row>
      <xdr:rowOff>2412999</xdr:rowOff>
    </xdr:from>
    <xdr:to>
      <xdr:col>2</xdr:col>
      <xdr:colOff>5327402</xdr:colOff>
      <xdr:row>67</xdr:row>
      <xdr:rowOff>2712356</xdr:rowOff>
    </xdr:to>
    <xdr:sp macro="" textlink="">
      <xdr:nvSpPr>
        <xdr:cNvPr id="24" name="ZoneTexte 23" hidden="1">
          <a:extLst>
            <a:ext uri="{FF2B5EF4-FFF2-40B4-BE49-F238E27FC236}">
              <a16:creationId xmlns:a16="http://schemas.microsoft.com/office/drawing/2014/main" id="{00000000-0008-0000-0D00-000018000000}"/>
            </a:ext>
          </a:extLst>
        </xdr:cNvPr>
        <xdr:cNvSpPr txBox="1"/>
      </xdr:nvSpPr>
      <xdr:spPr>
        <a:xfrm>
          <a:off x="7935349" y="11617760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85</xdr:row>
      <xdr:rowOff>2412999</xdr:rowOff>
    </xdr:from>
    <xdr:to>
      <xdr:col>2</xdr:col>
      <xdr:colOff>5327402</xdr:colOff>
      <xdr:row>85</xdr:row>
      <xdr:rowOff>2712356</xdr:rowOff>
    </xdr:to>
    <xdr:sp macro="" textlink="">
      <xdr:nvSpPr>
        <xdr:cNvPr id="25" name="ZoneTexte 24" hidden="1">
          <a:extLst>
            <a:ext uri="{FF2B5EF4-FFF2-40B4-BE49-F238E27FC236}">
              <a16:creationId xmlns:a16="http://schemas.microsoft.com/office/drawing/2014/main" id="{00000000-0008-0000-0D00-000019000000}"/>
            </a:ext>
          </a:extLst>
        </xdr:cNvPr>
        <xdr:cNvSpPr txBox="1"/>
      </xdr:nvSpPr>
      <xdr:spPr>
        <a:xfrm>
          <a:off x="7935349" y="15626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85</xdr:row>
      <xdr:rowOff>2412999</xdr:rowOff>
    </xdr:from>
    <xdr:to>
      <xdr:col>2</xdr:col>
      <xdr:colOff>5327402</xdr:colOff>
      <xdr:row>85</xdr:row>
      <xdr:rowOff>2712356</xdr:rowOff>
    </xdr:to>
    <xdr:sp macro="" textlink="">
      <xdr:nvSpPr>
        <xdr:cNvPr id="26" name="ZoneTexte 25" hidden="1">
          <a:extLst>
            <a:ext uri="{FF2B5EF4-FFF2-40B4-BE49-F238E27FC236}">
              <a16:creationId xmlns:a16="http://schemas.microsoft.com/office/drawing/2014/main" id="{00000000-0008-0000-0D00-00001A000000}"/>
            </a:ext>
          </a:extLst>
        </xdr:cNvPr>
        <xdr:cNvSpPr txBox="1"/>
      </xdr:nvSpPr>
      <xdr:spPr>
        <a:xfrm>
          <a:off x="7935349" y="15626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85</xdr:row>
      <xdr:rowOff>2412999</xdr:rowOff>
    </xdr:from>
    <xdr:to>
      <xdr:col>2</xdr:col>
      <xdr:colOff>5327402</xdr:colOff>
      <xdr:row>85</xdr:row>
      <xdr:rowOff>2712356</xdr:rowOff>
    </xdr:to>
    <xdr:sp macro="" textlink="">
      <xdr:nvSpPr>
        <xdr:cNvPr id="27" name="ZoneTexte 26" hidden="1">
          <a:extLst>
            <a:ext uri="{FF2B5EF4-FFF2-40B4-BE49-F238E27FC236}">
              <a16:creationId xmlns:a16="http://schemas.microsoft.com/office/drawing/2014/main" id="{00000000-0008-0000-0D00-00001B000000}"/>
            </a:ext>
          </a:extLst>
        </xdr:cNvPr>
        <xdr:cNvSpPr txBox="1"/>
      </xdr:nvSpPr>
      <xdr:spPr>
        <a:xfrm>
          <a:off x="7935349" y="15626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85</xdr:row>
      <xdr:rowOff>2412999</xdr:rowOff>
    </xdr:from>
    <xdr:to>
      <xdr:col>2</xdr:col>
      <xdr:colOff>5327402</xdr:colOff>
      <xdr:row>85</xdr:row>
      <xdr:rowOff>2712356</xdr:rowOff>
    </xdr:to>
    <xdr:sp macro="" textlink="">
      <xdr:nvSpPr>
        <xdr:cNvPr id="28" name="ZoneTexte 27" hidden="1">
          <a:extLst>
            <a:ext uri="{FF2B5EF4-FFF2-40B4-BE49-F238E27FC236}">
              <a16:creationId xmlns:a16="http://schemas.microsoft.com/office/drawing/2014/main" id="{00000000-0008-0000-0D00-00001C000000}"/>
            </a:ext>
          </a:extLst>
        </xdr:cNvPr>
        <xdr:cNvSpPr txBox="1"/>
      </xdr:nvSpPr>
      <xdr:spPr>
        <a:xfrm>
          <a:off x="7935349" y="15626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85</xdr:row>
      <xdr:rowOff>2412999</xdr:rowOff>
    </xdr:from>
    <xdr:to>
      <xdr:col>2</xdr:col>
      <xdr:colOff>5327402</xdr:colOff>
      <xdr:row>85</xdr:row>
      <xdr:rowOff>2712356</xdr:rowOff>
    </xdr:to>
    <xdr:sp macro="" textlink="">
      <xdr:nvSpPr>
        <xdr:cNvPr id="31" name="ZoneTexte 30" hidden="1">
          <a:extLst>
            <a:ext uri="{FF2B5EF4-FFF2-40B4-BE49-F238E27FC236}">
              <a16:creationId xmlns:a16="http://schemas.microsoft.com/office/drawing/2014/main" id="{00000000-0008-0000-0D00-00001F000000}"/>
            </a:ext>
          </a:extLst>
        </xdr:cNvPr>
        <xdr:cNvSpPr txBox="1"/>
      </xdr:nvSpPr>
      <xdr:spPr>
        <a:xfrm>
          <a:off x="7935349" y="15626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85</xdr:row>
      <xdr:rowOff>2412999</xdr:rowOff>
    </xdr:from>
    <xdr:to>
      <xdr:col>2</xdr:col>
      <xdr:colOff>5327402</xdr:colOff>
      <xdr:row>85</xdr:row>
      <xdr:rowOff>2712356</xdr:rowOff>
    </xdr:to>
    <xdr:sp macro="" textlink="">
      <xdr:nvSpPr>
        <xdr:cNvPr id="32" name="ZoneTexte 31" hidden="1">
          <a:extLst>
            <a:ext uri="{FF2B5EF4-FFF2-40B4-BE49-F238E27FC236}">
              <a16:creationId xmlns:a16="http://schemas.microsoft.com/office/drawing/2014/main" id="{00000000-0008-0000-0D00-000020000000}"/>
            </a:ext>
          </a:extLst>
        </xdr:cNvPr>
        <xdr:cNvSpPr txBox="1"/>
      </xdr:nvSpPr>
      <xdr:spPr>
        <a:xfrm>
          <a:off x="7935349" y="15626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85</xdr:row>
      <xdr:rowOff>2412999</xdr:rowOff>
    </xdr:from>
    <xdr:to>
      <xdr:col>2</xdr:col>
      <xdr:colOff>5327402</xdr:colOff>
      <xdr:row>85</xdr:row>
      <xdr:rowOff>2712356</xdr:rowOff>
    </xdr:to>
    <xdr:sp macro="" textlink="">
      <xdr:nvSpPr>
        <xdr:cNvPr id="36" name="ZoneTexte 35" hidden="1">
          <a:extLst>
            <a:ext uri="{FF2B5EF4-FFF2-40B4-BE49-F238E27FC236}">
              <a16:creationId xmlns:a16="http://schemas.microsoft.com/office/drawing/2014/main" id="{00000000-0008-0000-0D00-000024000000}"/>
            </a:ext>
          </a:extLst>
        </xdr:cNvPr>
        <xdr:cNvSpPr txBox="1"/>
      </xdr:nvSpPr>
      <xdr:spPr>
        <a:xfrm>
          <a:off x="7935349" y="15626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85</xdr:row>
      <xdr:rowOff>2412999</xdr:rowOff>
    </xdr:from>
    <xdr:to>
      <xdr:col>2</xdr:col>
      <xdr:colOff>5327402</xdr:colOff>
      <xdr:row>85</xdr:row>
      <xdr:rowOff>2712356</xdr:rowOff>
    </xdr:to>
    <xdr:sp macro="" textlink="">
      <xdr:nvSpPr>
        <xdr:cNvPr id="41" name="ZoneTexte 40" hidden="1">
          <a:extLst>
            <a:ext uri="{FF2B5EF4-FFF2-40B4-BE49-F238E27FC236}">
              <a16:creationId xmlns:a16="http://schemas.microsoft.com/office/drawing/2014/main" id="{00000000-0008-0000-0D00-000029000000}"/>
            </a:ext>
          </a:extLst>
        </xdr:cNvPr>
        <xdr:cNvSpPr txBox="1"/>
      </xdr:nvSpPr>
      <xdr:spPr>
        <a:xfrm>
          <a:off x="7935349" y="15626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103</xdr:row>
      <xdr:rowOff>2412999</xdr:rowOff>
    </xdr:from>
    <xdr:to>
      <xdr:col>2</xdr:col>
      <xdr:colOff>5327402</xdr:colOff>
      <xdr:row>103</xdr:row>
      <xdr:rowOff>2712356</xdr:rowOff>
    </xdr:to>
    <xdr:sp macro="" textlink="">
      <xdr:nvSpPr>
        <xdr:cNvPr id="54" name="ZoneTexte 53" hidden="1">
          <a:extLst>
            <a:ext uri="{FF2B5EF4-FFF2-40B4-BE49-F238E27FC236}">
              <a16:creationId xmlns:a16="http://schemas.microsoft.com/office/drawing/2014/main" id="{00000000-0008-0000-0D00-000036000000}"/>
            </a:ext>
          </a:extLst>
        </xdr:cNvPr>
        <xdr:cNvSpPr txBox="1"/>
      </xdr:nvSpPr>
      <xdr:spPr>
        <a:xfrm>
          <a:off x="7935349" y="200084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103</xdr:row>
      <xdr:rowOff>2412999</xdr:rowOff>
    </xdr:from>
    <xdr:to>
      <xdr:col>2</xdr:col>
      <xdr:colOff>5327402</xdr:colOff>
      <xdr:row>103</xdr:row>
      <xdr:rowOff>2712356</xdr:rowOff>
    </xdr:to>
    <xdr:sp macro="" textlink="">
      <xdr:nvSpPr>
        <xdr:cNvPr id="55" name="ZoneTexte 54" hidden="1">
          <a:extLst>
            <a:ext uri="{FF2B5EF4-FFF2-40B4-BE49-F238E27FC236}">
              <a16:creationId xmlns:a16="http://schemas.microsoft.com/office/drawing/2014/main" id="{00000000-0008-0000-0D00-000037000000}"/>
            </a:ext>
          </a:extLst>
        </xdr:cNvPr>
        <xdr:cNvSpPr txBox="1"/>
      </xdr:nvSpPr>
      <xdr:spPr>
        <a:xfrm>
          <a:off x="7935349" y="200084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103</xdr:row>
      <xdr:rowOff>2412999</xdr:rowOff>
    </xdr:from>
    <xdr:to>
      <xdr:col>2</xdr:col>
      <xdr:colOff>5327402</xdr:colOff>
      <xdr:row>103</xdr:row>
      <xdr:rowOff>2712356</xdr:rowOff>
    </xdr:to>
    <xdr:sp macro="" textlink="">
      <xdr:nvSpPr>
        <xdr:cNvPr id="1588" name="ZoneTexte 1587" hidden="1">
          <a:extLst>
            <a:ext uri="{FF2B5EF4-FFF2-40B4-BE49-F238E27FC236}">
              <a16:creationId xmlns:a16="http://schemas.microsoft.com/office/drawing/2014/main" id="{00000000-0008-0000-0D00-000034060000}"/>
            </a:ext>
          </a:extLst>
        </xdr:cNvPr>
        <xdr:cNvSpPr txBox="1"/>
      </xdr:nvSpPr>
      <xdr:spPr>
        <a:xfrm>
          <a:off x="7935349" y="200084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103</xdr:row>
      <xdr:rowOff>2412999</xdr:rowOff>
    </xdr:from>
    <xdr:to>
      <xdr:col>2</xdr:col>
      <xdr:colOff>5327402</xdr:colOff>
      <xdr:row>103</xdr:row>
      <xdr:rowOff>2712356</xdr:rowOff>
    </xdr:to>
    <xdr:sp macro="" textlink="">
      <xdr:nvSpPr>
        <xdr:cNvPr id="1589" name="ZoneTexte 1588" hidden="1">
          <a:extLst>
            <a:ext uri="{FF2B5EF4-FFF2-40B4-BE49-F238E27FC236}">
              <a16:creationId xmlns:a16="http://schemas.microsoft.com/office/drawing/2014/main" id="{00000000-0008-0000-0D00-000035060000}"/>
            </a:ext>
          </a:extLst>
        </xdr:cNvPr>
        <xdr:cNvSpPr txBox="1"/>
      </xdr:nvSpPr>
      <xdr:spPr>
        <a:xfrm>
          <a:off x="7935349" y="200084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103</xdr:row>
      <xdr:rowOff>2412999</xdr:rowOff>
    </xdr:from>
    <xdr:to>
      <xdr:col>2</xdr:col>
      <xdr:colOff>5327402</xdr:colOff>
      <xdr:row>103</xdr:row>
      <xdr:rowOff>2712356</xdr:rowOff>
    </xdr:to>
    <xdr:sp macro="" textlink="">
      <xdr:nvSpPr>
        <xdr:cNvPr id="1590" name="ZoneTexte 1589" hidden="1">
          <a:extLst>
            <a:ext uri="{FF2B5EF4-FFF2-40B4-BE49-F238E27FC236}">
              <a16:creationId xmlns:a16="http://schemas.microsoft.com/office/drawing/2014/main" id="{00000000-0008-0000-0D00-000036060000}"/>
            </a:ext>
          </a:extLst>
        </xdr:cNvPr>
        <xdr:cNvSpPr txBox="1"/>
      </xdr:nvSpPr>
      <xdr:spPr>
        <a:xfrm>
          <a:off x="7935349" y="200084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103</xdr:row>
      <xdr:rowOff>2412999</xdr:rowOff>
    </xdr:from>
    <xdr:to>
      <xdr:col>2</xdr:col>
      <xdr:colOff>5327402</xdr:colOff>
      <xdr:row>103</xdr:row>
      <xdr:rowOff>2712356</xdr:rowOff>
    </xdr:to>
    <xdr:sp macro="" textlink="">
      <xdr:nvSpPr>
        <xdr:cNvPr id="1591" name="ZoneTexte 1590" hidden="1">
          <a:extLst>
            <a:ext uri="{FF2B5EF4-FFF2-40B4-BE49-F238E27FC236}">
              <a16:creationId xmlns:a16="http://schemas.microsoft.com/office/drawing/2014/main" id="{00000000-0008-0000-0D00-000037060000}"/>
            </a:ext>
          </a:extLst>
        </xdr:cNvPr>
        <xdr:cNvSpPr txBox="1"/>
      </xdr:nvSpPr>
      <xdr:spPr>
        <a:xfrm>
          <a:off x="7935349" y="200084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103</xdr:row>
      <xdr:rowOff>2412999</xdr:rowOff>
    </xdr:from>
    <xdr:to>
      <xdr:col>2</xdr:col>
      <xdr:colOff>5327402</xdr:colOff>
      <xdr:row>103</xdr:row>
      <xdr:rowOff>2712356</xdr:rowOff>
    </xdr:to>
    <xdr:sp macro="" textlink="">
      <xdr:nvSpPr>
        <xdr:cNvPr id="1592" name="ZoneTexte 1591" hidden="1">
          <a:extLst>
            <a:ext uri="{FF2B5EF4-FFF2-40B4-BE49-F238E27FC236}">
              <a16:creationId xmlns:a16="http://schemas.microsoft.com/office/drawing/2014/main" id="{00000000-0008-0000-0D00-000038060000}"/>
            </a:ext>
          </a:extLst>
        </xdr:cNvPr>
        <xdr:cNvSpPr txBox="1"/>
      </xdr:nvSpPr>
      <xdr:spPr>
        <a:xfrm>
          <a:off x="7935349" y="200084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103</xdr:row>
      <xdr:rowOff>2412999</xdr:rowOff>
    </xdr:from>
    <xdr:to>
      <xdr:col>2</xdr:col>
      <xdr:colOff>5327402</xdr:colOff>
      <xdr:row>103</xdr:row>
      <xdr:rowOff>2712356</xdr:rowOff>
    </xdr:to>
    <xdr:sp macro="" textlink="">
      <xdr:nvSpPr>
        <xdr:cNvPr id="1593" name="ZoneTexte 1592" hidden="1">
          <a:extLst>
            <a:ext uri="{FF2B5EF4-FFF2-40B4-BE49-F238E27FC236}">
              <a16:creationId xmlns:a16="http://schemas.microsoft.com/office/drawing/2014/main" id="{00000000-0008-0000-0D00-000039060000}"/>
            </a:ext>
          </a:extLst>
        </xdr:cNvPr>
        <xdr:cNvSpPr txBox="1"/>
      </xdr:nvSpPr>
      <xdr:spPr>
        <a:xfrm>
          <a:off x="7935349" y="200084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103</xdr:row>
      <xdr:rowOff>2412999</xdr:rowOff>
    </xdr:from>
    <xdr:to>
      <xdr:col>2</xdr:col>
      <xdr:colOff>5327402</xdr:colOff>
      <xdr:row>103</xdr:row>
      <xdr:rowOff>2712356</xdr:rowOff>
    </xdr:to>
    <xdr:sp macro="" textlink="">
      <xdr:nvSpPr>
        <xdr:cNvPr id="1594" name="ZoneTexte 1593" hidden="1">
          <a:extLst>
            <a:ext uri="{FF2B5EF4-FFF2-40B4-BE49-F238E27FC236}">
              <a16:creationId xmlns:a16="http://schemas.microsoft.com/office/drawing/2014/main" id="{00000000-0008-0000-0D00-00003A060000}"/>
            </a:ext>
          </a:extLst>
        </xdr:cNvPr>
        <xdr:cNvSpPr txBox="1"/>
      </xdr:nvSpPr>
      <xdr:spPr>
        <a:xfrm>
          <a:off x="7935349" y="200084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103</xdr:row>
      <xdr:rowOff>2412999</xdr:rowOff>
    </xdr:from>
    <xdr:to>
      <xdr:col>2</xdr:col>
      <xdr:colOff>5327402</xdr:colOff>
      <xdr:row>103</xdr:row>
      <xdr:rowOff>2712356</xdr:rowOff>
    </xdr:to>
    <xdr:sp macro="" textlink="">
      <xdr:nvSpPr>
        <xdr:cNvPr id="1595" name="ZoneTexte 1594" hidden="1">
          <a:extLst>
            <a:ext uri="{FF2B5EF4-FFF2-40B4-BE49-F238E27FC236}">
              <a16:creationId xmlns:a16="http://schemas.microsoft.com/office/drawing/2014/main" id="{00000000-0008-0000-0D00-00003B060000}"/>
            </a:ext>
          </a:extLst>
        </xdr:cNvPr>
        <xdr:cNvSpPr txBox="1"/>
      </xdr:nvSpPr>
      <xdr:spPr>
        <a:xfrm>
          <a:off x="7935349" y="200084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1596" name="ZoneTexte 1595" hidden="1">
          <a:extLst>
            <a:ext uri="{FF2B5EF4-FFF2-40B4-BE49-F238E27FC236}">
              <a16:creationId xmlns:a16="http://schemas.microsoft.com/office/drawing/2014/main" id="{00000000-0008-0000-0D00-00003C060000}"/>
            </a:ext>
          </a:extLst>
        </xdr:cNvPr>
        <xdr:cNvSpPr txBox="1"/>
      </xdr:nvSpPr>
      <xdr:spPr>
        <a:xfrm>
          <a:off x="7935349" y="24389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1597" name="ZoneTexte 1596" hidden="1">
          <a:extLst>
            <a:ext uri="{FF2B5EF4-FFF2-40B4-BE49-F238E27FC236}">
              <a16:creationId xmlns:a16="http://schemas.microsoft.com/office/drawing/2014/main" id="{00000000-0008-0000-0D00-00003D060000}"/>
            </a:ext>
          </a:extLst>
        </xdr:cNvPr>
        <xdr:cNvSpPr txBox="1"/>
      </xdr:nvSpPr>
      <xdr:spPr>
        <a:xfrm>
          <a:off x="7935349" y="24389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1598" name="ZoneTexte 1597" hidden="1">
          <a:extLst>
            <a:ext uri="{FF2B5EF4-FFF2-40B4-BE49-F238E27FC236}">
              <a16:creationId xmlns:a16="http://schemas.microsoft.com/office/drawing/2014/main" id="{00000000-0008-0000-0D00-00003E060000}"/>
            </a:ext>
          </a:extLst>
        </xdr:cNvPr>
        <xdr:cNvSpPr txBox="1"/>
      </xdr:nvSpPr>
      <xdr:spPr>
        <a:xfrm>
          <a:off x="7935349" y="24389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1599" name="ZoneTexte 1598" hidden="1">
          <a:extLst>
            <a:ext uri="{FF2B5EF4-FFF2-40B4-BE49-F238E27FC236}">
              <a16:creationId xmlns:a16="http://schemas.microsoft.com/office/drawing/2014/main" id="{00000000-0008-0000-0D00-00003F060000}"/>
            </a:ext>
          </a:extLst>
        </xdr:cNvPr>
        <xdr:cNvSpPr txBox="1"/>
      </xdr:nvSpPr>
      <xdr:spPr>
        <a:xfrm>
          <a:off x="7935349" y="24389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1600" name="ZoneTexte 1599" hidden="1">
          <a:extLst>
            <a:ext uri="{FF2B5EF4-FFF2-40B4-BE49-F238E27FC236}">
              <a16:creationId xmlns:a16="http://schemas.microsoft.com/office/drawing/2014/main" id="{00000000-0008-0000-0D00-000040060000}"/>
            </a:ext>
          </a:extLst>
        </xdr:cNvPr>
        <xdr:cNvSpPr txBox="1"/>
      </xdr:nvSpPr>
      <xdr:spPr>
        <a:xfrm>
          <a:off x="7935349" y="24389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1601" name="ZoneTexte 1600" hidden="1">
          <a:extLst>
            <a:ext uri="{FF2B5EF4-FFF2-40B4-BE49-F238E27FC236}">
              <a16:creationId xmlns:a16="http://schemas.microsoft.com/office/drawing/2014/main" id="{00000000-0008-0000-0D00-000041060000}"/>
            </a:ext>
          </a:extLst>
        </xdr:cNvPr>
        <xdr:cNvSpPr txBox="1"/>
      </xdr:nvSpPr>
      <xdr:spPr>
        <a:xfrm>
          <a:off x="7935349" y="24389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1602" name="ZoneTexte 1601" hidden="1">
          <a:extLst>
            <a:ext uri="{FF2B5EF4-FFF2-40B4-BE49-F238E27FC236}">
              <a16:creationId xmlns:a16="http://schemas.microsoft.com/office/drawing/2014/main" id="{00000000-0008-0000-0D00-000042060000}"/>
            </a:ext>
          </a:extLst>
        </xdr:cNvPr>
        <xdr:cNvSpPr txBox="1"/>
      </xdr:nvSpPr>
      <xdr:spPr>
        <a:xfrm>
          <a:off x="7935349" y="24389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1603" name="ZoneTexte 1602" hidden="1">
          <a:extLst>
            <a:ext uri="{FF2B5EF4-FFF2-40B4-BE49-F238E27FC236}">
              <a16:creationId xmlns:a16="http://schemas.microsoft.com/office/drawing/2014/main" id="{00000000-0008-0000-0D00-000043060000}"/>
            </a:ext>
          </a:extLst>
        </xdr:cNvPr>
        <xdr:cNvSpPr txBox="1"/>
      </xdr:nvSpPr>
      <xdr:spPr>
        <a:xfrm>
          <a:off x="7935349" y="24389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1604" name="ZoneTexte 1603" hidden="1">
          <a:extLst>
            <a:ext uri="{FF2B5EF4-FFF2-40B4-BE49-F238E27FC236}">
              <a16:creationId xmlns:a16="http://schemas.microsoft.com/office/drawing/2014/main" id="{00000000-0008-0000-0D00-000044060000}"/>
            </a:ext>
          </a:extLst>
        </xdr:cNvPr>
        <xdr:cNvSpPr txBox="1"/>
      </xdr:nvSpPr>
      <xdr:spPr>
        <a:xfrm>
          <a:off x="7935349" y="24389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1605" name="ZoneTexte 1604" hidden="1">
          <a:extLst>
            <a:ext uri="{FF2B5EF4-FFF2-40B4-BE49-F238E27FC236}">
              <a16:creationId xmlns:a16="http://schemas.microsoft.com/office/drawing/2014/main" id="{00000000-0008-0000-0D00-000045060000}"/>
            </a:ext>
          </a:extLst>
        </xdr:cNvPr>
        <xdr:cNvSpPr txBox="1"/>
      </xdr:nvSpPr>
      <xdr:spPr>
        <a:xfrm>
          <a:off x="7935349" y="24389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1606" name="ZoneTexte 1605" hidden="1">
          <a:extLst>
            <a:ext uri="{FF2B5EF4-FFF2-40B4-BE49-F238E27FC236}">
              <a16:creationId xmlns:a16="http://schemas.microsoft.com/office/drawing/2014/main" id="{00000000-0008-0000-0D00-000046060000}"/>
            </a:ext>
          </a:extLst>
        </xdr:cNvPr>
        <xdr:cNvSpPr txBox="1"/>
      </xdr:nvSpPr>
      <xdr:spPr>
        <a:xfrm>
          <a:off x="7935349" y="24389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122</xdr:row>
      <xdr:rowOff>2412999</xdr:rowOff>
    </xdr:from>
    <xdr:to>
      <xdr:col>2</xdr:col>
      <xdr:colOff>5327402</xdr:colOff>
      <xdr:row>122</xdr:row>
      <xdr:rowOff>2712356</xdr:rowOff>
    </xdr:to>
    <xdr:sp macro="" textlink="">
      <xdr:nvSpPr>
        <xdr:cNvPr id="1607" name="ZoneTexte 1606" hidden="1">
          <a:extLst>
            <a:ext uri="{FF2B5EF4-FFF2-40B4-BE49-F238E27FC236}">
              <a16:creationId xmlns:a16="http://schemas.microsoft.com/office/drawing/2014/main" id="{00000000-0008-0000-0D00-000047060000}"/>
            </a:ext>
          </a:extLst>
        </xdr:cNvPr>
        <xdr:cNvSpPr txBox="1"/>
      </xdr:nvSpPr>
      <xdr:spPr>
        <a:xfrm>
          <a:off x="7935349" y="24389976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08" name="ZoneTexte 1607" hidden="1">
          <a:extLst>
            <a:ext uri="{FF2B5EF4-FFF2-40B4-BE49-F238E27FC236}">
              <a16:creationId xmlns:a16="http://schemas.microsoft.com/office/drawing/2014/main" id="{00000000-0008-0000-0D00-000048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09" name="ZoneTexte 1608" hidden="1">
          <a:extLst>
            <a:ext uri="{FF2B5EF4-FFF2-40B4-BE49-F238E27FC236}">
              <a16:creationId xmlns:a16="http://schemas.microsoft.com/office/drawing/2014/main" id="{00000000-0008-0000-0D00-000049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10" name="ZoneTexte 1609" hidden="1">
          <a:extLst>
            <a:ext uri="{FF2B5EF4-FFF2-40B4-BE49-F238E27FC236}">
              <a16:creationId xmlns:a16="http://schemas.microsoft.com/office/drawing/2014/main" id="{00000000-0008-0000-0D00-00004A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11" name="ZoneTexte 1610" hidden="1">
          <a:extLst>
            <a:ext uri="{FF2B5EF4-FFF2-40B4-BE49-F238E27FC236}">
              <a16:creationId xmlns:a16="http://schemas.microsoft.com/office/drawing/2014/main" id="{00000000-0008-0000-0D00-00004B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12" name="ZoneTexte 1611" hidden="1">
          <a:extLst>
            <a:ext uri="{FF2B5EF4-FFF2-40B4-BE49-F238E27FC236}">
              <a16:creationId xmlns:a16="http://schemas.microsoft.com/office/drawing/2014/main" id="{00000000-0008-0000-0D00-00004C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13" name="ZoneTexte 1612" hidden="1">
          <a:extLst>
            <a:ext uri="{FF2B5EF4-FFF2-40B4-BE49-F238E27FC236}">
              <a16:creationId xmlns:a16="http://schemas.microsoft.com/office/drawing/2014/main" id="{00000000-0008-0000-0D00-00004D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14" name="ZoneTexte 1613" hidden="1">
          <a:extLst>
            <a:ext uri="{FF2B5EF4-FFF2-40B4-BE49-F238E27FC236}">
              <a16:creationId xmlns:a16="http://schemas.microsoft.com/office/drawing/2014/main" id="{00000000-0008-0000-0D00-00004E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15" name="ZoneTexte 1614" hidden="1">
          <a:extLst>
            <a:ext uri="{FF2B5EF4-FFF2-40B4-BE49-F238E27FC236}">
              <a16:creationId xmlns:a16="http://schemas.microsoft.com/office/drawing/2014/main" id="{00000000-0008-0000-0D00-00004F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16" name="ZoneTexte 1615" hidden="1">
          <a:extLst>
            <a:ext uri="{FF2B5EF4-FFF2-40B4-BE49-F238E27FC236}">
              <a16:creationId xmlns:a16="http://schemas.microsoft.com/office/drawing/2014/main" id="{00000000-0008-0000-0D00-000050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17" name="ZoneTexte 1616" hidden="1">
          <a:extLst>
            <a:ext uri="{FF2B5EF4-FFF2-40B4-BE49-F238E27FC236}">
              <a16:creationId xmlns:a16="http://schemas.microsoft.com/office/drawing/2014/main" id="{00000000-0008-0000-0D00-000051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18" name="ZoneTexte 1617" hidden="1">
          <a:extLst>
            <a:ext uri="{FF2B5EF4-FFF2-40B4-BE49-F238E27FC236}">
              <a16:creationId xmlns:a16="http://schemas.microsoft.com/office/drawing/2014/main" id="{00000000-0008-0000-0D00-000052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19" name="ZoneTexte 1618" hidden="1">
          <a:extLst>
            <a:ext uri="{FF2B5EF4-FFF2-40B4-BE49-F238E27FC236}">
              <a16:creationId xmlns:a16="http://schemas.microsoft.com/office/drawing/2014/main" id="{00000000-0008-0000-0D00-000053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20" name="ZoneTexte 1619" hidden="1">
          <a:extLst>
            <a:ext uri="{FF2B5EF4-FFF2-40B4-BE49-F238E27FC236}">
              <a16:creationId xmlns:a16="http://schemas.microsoft.com/office/drawing/2014/main" id="{00000000-0008-0000-0D00-000054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141</xdr:row>
      <xdr:rowOff>2412999</xdr:rowOff>
    </xdr:from>
    <xdr:to>
      <xdr:col>2</xdr:col>
      <xdr:colOff>5327402</xdr:colOff>
      <xdr:row>141</xdr:row>
      <xdr:rowOff>2712356</xdr:rowOff>
    </xdr:to>
    <xdr:sp macro="" textlink="">
      <xdr:nvSpPr>
        <xdr:cNvPr id="1621" name="ZoneTexte 1620" hidden="1">
          <a:extLst>
            <a:ext uri="{FF2B5EF4-FFF2-40B4-BE49-F238E27FC236}">
              <a16:creationId xmlns:a16="http://schemas.microsoft.com/office/drawing/2014/main" id="{00000000-0008-0000-0D00-000055060000}"/>
            </a:ext>
          </a:extLst>
        </xdr:cNvPr>
        <xdr:cNvSpPr txBox="1"/>
      </xdr:nvSpPr>
      <xdr:spPr>
        <a:xfrm>
          <a:off x="7935349" y="29291927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22" name="ZoneTexte 1621" hidden="1">
          <a:extLst>
            <a:ext uri="{FF2B5EF4-FFF2-40B4-BE49-F238E27FC236}">
              <a16:creationId xmlns:a16="http://schemas.microsoft.com/office/drawing/2014/main" id="{00000000-0008-0000-0D00-000056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23" name="ZoneTexte 1622" hidden="1">
          <a:extLst>
            <a:ext uri="{FF2B5EF4-FFF2-40B4-BE49-F238E27FC236}">
              <a16:creationId xmlns:a16="http://schemas.microsoft.com/office/drawing/2014/main" id="{00000000-0008-0000-0D00-000057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24" name="ZoneTexte 1623" hidden="1">
          <a:extLst>
            <a:ext uri="{FF2B5EF4-FFF2-40B4-BE49-F238E27FC236}">
              <a16:creationId xmlns:a16="http://schemas.microsoft.com/office/drawing/2014/main" id="{00000000-0008-0000-0D00-000058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25" name="ZoneTexte 1624" hidden="1">
          <a:extLst>
            <a:ext uri="{FF2B5EF4-FFF2-40B4-BE49-F238E27FC236}">
              <a16:creationId xmlns:a16="http://schemas.microsoft.com/office/drawing/2014/main" id="{00000000-0008-0000-0D00-000059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26" name="ZoneTexte 1625" hidden="1">
          <a:extLst>
            <a:ext uri="{FF2B5EF4-FFF2-40B4-BE49-F238E27FC236}">
              <a16:creationId xmlns:a16="http://schemas.microsoft.com/office/drawing/2014/main" id="{00000000-0008-0000-0D00-00005A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27" name="ZoneTexte 1626" hidden="1">
          <a:extLst>
            <a:ext uri="{FF2B5EF4-FFF2-40B4-BE49-F238E27FC236}">
              <a16:creationId xmlns:a16="http://schemas.microsoft.com/office/drawing/2014/main" id="{00000000-0008-0000-0D00-00005B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28" name="ZoneTexte 1627" hidden="1">
          <a:extLst>
            <a:ext uri="{FF2B5EF4-FFF2-40B4-BE49-F238E27FC236}">
              <a16:creationId xmlns:a16="http://schemas.microsoft.com/office/drawing/2014/main" id="{00000000-0008-0000-0D00-00005C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29" name="ZoneTexte 1628" hidden="1">
          <a:extLst>
            <a:ext uri="{FF2B5EF4-FFF2-40B4-BE49-F238E27FC236}">
              <a16:creationId xmlns:a16="http://schemas.microsoft.com/office/drawing/2014/main" id="{00000000-0008-0000-0D00-00005D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30" name="ZoneTexte 1629" hidden="1">
          <a:extLst>
            <a:ext uri="{FF2B5EF4-FFF2-40B4-BE49-F238E27FC236}">
              <a16:creationId xmlns:a16="http://schemas.microsoft.com/office/drawing/2014/main" id="{00000000-0008-0000-0D00-00005E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31" name="ZoneTexte 1630" hidden="1">
          <a:extLst>
            <a:ext uri="{FF2B5EF4-FFF2-40B4-BE49-F238E27FC236}">
              <a16:creationId xmlns:a16="http://schemas.microsoft.com/office/drawing/2014/main" id="{00000000-0008-0000-0D00-00005F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32" name="ZoneTexte 1631" hidden="1">
          <a:extLst>
            <a:ext uri="{FF2B5EF4-FFF2-40B4-BE49-F238E27FC236}">
              <a16:creationId xmlns:a16="http://schemas.microsoft.com/office/drawing/2014/main" id="{00000000-0008-0000-0D00-000060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33" name="ZoneTexte 1632" hidden="1">
          <a:extLst>
            <a:ext uri="{FF2B5EF4-FFF2-40B4-BE49-F238E27FC236}">
              <a16:creationId xmlns:a16="http://schemas.microsoft.com/office/drawing/2014/main" id="{00000000-0008-0000-0D00-000061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34" name="ZoneTexte 1633" hidden="1">
          <a:extLst>
            <a:ext uri="{FF2B5EF4-FFF2-40B4-BE49-F238E27FC236}">
              <a16:creationId xmlns:a16="http://schemas.microsoft.com/office/drawing/2014/main" id="{00000000-0008-0000-0D00-000062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35" name="ZoneTexte 1634" hidden="1">
          <a:extLst>
            <a:ext uri="{FF2B5EF4-FFF2-40B4-BE49-F238E27FC236}">
              <a16:creationId xmlns:a16="http://schemas.microsoft.com/office/drawing/2014/main" id="{00000000-0008-0000-0D00-000063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36" name="ZoneTexte 1635" hidden="1">
          <a:extLst>
            <a:ext uri="{FF2B5EF4-FFF2-40B4-BE49-F238E27FC236}">
              <a16:creationId xmlns:a16="http://schemas.microsoft.com/office/drawing/2014/main" id="{00000000-0008-0000-0D00-000064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159</xdr:row>
      <xdr:rowOff>2412999</xdr:rowOff>
    </xdr:from>
    <xdr:to>
      <xdr:col>2</xdr:col>
      <xdr:colOff>5327402</xdr:colOff>
      <xdr:row>159</xdr:row>
      <xdr:rowOff>2712356</xdr:rowOff>
    </xdr:to>
    <xdr:sp macro="" textlink="">
      <xdr:nvSpPr>
        <xdr:cNvPr id="1637" name="ZoneTexte 1636" hidden="1">
          <a:extLst>
            <a:ext uri="{FF2B5EF4-FFF2-40B4-BE49-F238E27FC236}">
              <a16:creationId xmlns:a16="http://schemas.microsoft.com/office/drawing/2014/main" id="{00000000-0008-0000-0D00-000065060000}"/>
            </a:ext>
          </a:extLst>
        </xdr:cNvPr>
        <xdr:cNvSpPr txBox="1"/>
      </xdr:nvSpPr>
      <xdr:spPr>
        <a:xfrm>
          <a:off x="7935349" y="34193878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38" name="ZoneTexte 1637" hidden="1">
          <a:extLst>
            <a:ext uri="{FF2B5EF4-FFF2-40B4-BE49-F238E27FC236}">
              <a16:creationId xmlns:a16="http://schemas.microsoft.com/office/drawing/2014/main" id="{00000000-0008-0000-0D00-000066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39" name="ZoneTexte 1638" hidden="1">
          <a:extLst>
            <a:ext uri="{FF2B5EF4-FFF2-40B4-BE49-F238E27FC236}">
              <a16:creationId xmlns:a16="http://schemas.microsoft.com/office/drawing/2014/main" id="{00000000-0008-0000-0D00-000067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40" name="ZoneTexte 1639" hidden="1">
          <a:extLst>
            <a:ext uri="{FF2B5EF4-FFF2-40B4-BE49-F238E27FC236}">
              <a16:creationId xmlns:a16="http://schemas.microsoft.com/office/drawing/2014/main" id="{00000000-0008-0000-0D00-000068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41" name="ZoneTexte 1640" hidden="1">
          <a:extLst>
            <a:ext uri="{FF2B5EF4-FFF2-40B4-BE49-F238E27FC236}">
              <a16:creationId xmlns:a16="http://schemas.microsoft.com/office/drawing/2014/main" id="{00000000-0008-0000-0D00-000069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42" name="ZoneTexte 1641" hidden="1">
          <a:extLst>
            <a:ext uri="{FF2B5EF4-FFF2-40B4-BE49-F238E27FC236}">
              <a16:creationId xmlns:a16="http://schemas.microsoft.com/office/drawing/2014/main" id="{00000000-0008-0000-0D00-00006A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43" name="ZoneTexte 1642" hidden="1">
          <a:extLst>
            <a:ext uri="{FF2B5EF4-FFF2-40B4-BE49-F238E27FC236}">
              <a16:creationId xmlns:a16="http://schemas.microsoft.com/office/drawing/2014/main" id="{00000000-0008-0000-0D00-00006B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44" name="ZoneTexte 1643" hidden="1">
          <a:extLst>
            <a:ext uri="{FF2B5EF4-FFF2-40B4-BE49-F238E27FC236}">
              <a16:creationId xmlns:a16="http://schemas.microsoft.com/office/drawing/2014/main" id="{00000000-0008-0000-0D00-00006C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45" name="ZoneTexte 1644" hidden="1">
          <a:extLst>
            <a:ext uri="{FF2B5EF4-FFF2-40B4-BE49-F238E27FC236}">
              <a16:creationId xmlns:a16="http://schemas.microsoft.com/office/drawing/2014/main" id="{00000000-0008-0000-0D00-00006D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46" name="ZoneTexte 1645" hidden="1">
          <a:extLst>
            <a:ext uri="{FF2B5EF4-FFF2-40B4-BE49-F238E27FC236}">
              <a16:creationId xmlns:a16="http://schemas.microsoft.com/office/drawing/2014/main" id="{00000000-0008-0000-0D00-00006E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47" name="ZoneTexte 1646" hidden="1">
          <a:extLst>
            <a:ext uri="{FF2B5EF4-FFF2-40B4-BE49-F238E27FC236}">
              <a16:creationId xmlns:a16="http://schemas.microsoft.com/office/drawing/2014/main" id="{00000000-0008-0000-0D00-00006F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48" name="ZoneTexte 1647" hidden="1">
          <a:extLst>
            <a:ext uri="{FF2B5EF4-FFF2-40B4-BE49-F238E27FC236}">
              <a16:creationId xmlns:a16="http://schemas.microsoft.com/office/drawing/2014/main" id="{00000000-0008-0000-0D00-000070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49" name="ZoneTexte 1648" hidden="1">
          <a:extLst>
            <a:ext uri="{FF2B5EF4-FFF2-40B4-BE49-F238E27FC236}">
              <a16:creationId xmlns:a16="http://schemas.microsoft.com/office/drawing/2014/main" id="{00000000-0008-0000-0D00-000071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50" name="ZoneTexte 1649" hidden="1">
          <a:extLst>
            <a:ext uri="{FF2B5EF4-FFF2-40B4-BE49-F238E27FC236}">
              <a16:creationId xmlns:a16="http://schemas.microsoft.com/office/drawing/2014/main" id="{00000000-0008-0000-0D00-000072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51" name="ZoneTexte 1650" hidden="1">
          <a:extLst>
            <a:ext uri="{FF2B5EF4-FFF2-40B4-BE49-F238E27FC236}">
              <a16:creationId xmlns:a16="http://schemas.microsoft.com/office/drawing/2014/main" id="{00000000-0008-0000-0D00-000073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52" name="ZoneTexte 1651" hidden="1">
          <a:extLst>
            <a:ext uri="{FF2B5EF4-FFF2-40B4-BE49-F238E27FC236}">
              <a16:creationId xmlns:a16="http://schemas.microsoft.com/office/drawing/2014/main" id="{00000000-0008-0000-0D00-000074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53" name="ZoneTexte 1652" hidden="1">
          <a:extLst>
            <a:ext uri="{FF2B5EF4-FFF2-40B4-BE49-F238E27FC236}">
              <a16:creationId xmlns:a16="http://schemas.microsoft.com/office/drawing/2014/main" id="{00000000-0008-0000-0D00-000075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54" name="ZoneTexte 1653" hidden="1">
          <a:extLst>
            <a:ext uri="{FF2B5EF4-FFF2-40B4-BE49-F238E27FC236}">
              <a16:creationId xmlns:a16="http://schemas.microsoft.com/office/drawing/2014/main" id="{00000000-0008-0000-0D00-000076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177</xdr:row>
      <xdr:rowOff>2412999</xdr:rowOff>
    </xdr:from>
    <xdr:to>
      <xdr:col>2</xdr:col>
      <xdr:colOff>5327402</xdr:colOff>
      <xdr:row>177</xdr:row>
      <xdr:rowOff>2712356</xdr:rowOff>
    </xdr:to>
    <xdr:sp macro="" textlink="">
      <xdr:nvSpPr>
        <xdr:cNvPr id="1655" name="ZoneTexte 1654" hidden="1">
          <a:extLst>
            <a:ext uri="{FF2B5EF4-FFF2-40B4-BE49-F238E27FC236}">
              <a16:creationId xmlns:a16="http://schemas.microsoft.com/office/drawing/2014/main" id="{00000000-0008-0000-0D00-000077060000}"/>
            </a:ext>
          </a:extLst>
        </xdr:cNvPr>
        <xdr:cNvSpPr txBox="1"/>
      </xdr:nvSpPr>
      <xdr:spPr>
        <a:xfrm>
          <a:off x="7935349" y="386886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56" name="ZoneTexte 1655" hidden="1">
          <a:extLst>
            <a:ext uri="{FF2B5EF4-FFF2-40B4-BE49-F238E27FC236}">
              <a16:creationId xmlns:a16="http://schemas.microsoft.com/office/drawing/2014/main" id="{00000000-0008-0000-0D00-000078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57" name="ZoneTexte 1656" hidden="1">
          <a:extLst>
            <a:ext uri="{FF2B5EF4-FFF2-40B4-BE49-F238E27FC236}">
              <a16:creationId xmlns:a16="http://schemas.microsoft.com/office/drawing/2014/main" id="{00000000-0008-0000-0D00-000079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58" name="ZoneTexte 1657" hidden="1">
          <a:extLst>
            <a:ext uri="{FF2B5EF4-FFF2-40B4-BE49-F238E27FC236}">
              <a16:creationId xmlns:a16="http://schemas.microsoft.com/office/drawing/2014/main" id="{00000000-0008-0000-0D00-00007A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59" name="ZoneTexte 1658" hidden="1">
          <a:extLst>
            <a:ext uri="{FF2B5EF4-FFF2-40B4-BE49-F238E27FC236}">
              <a16:creationId xmlns:a16="http://schemas.microsoft.com/office/drawing/2014/main" id="{00000000-0008-0000-0D00-00007B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60" name="ZoneTexte 1659" hidden="1">
          <a:extLst>
            <a:ext uri="{FF2B5EF4-FFF2-40B4-BE49-F238E27FC236}">
              <a16:creationId xmlns:a16="http://schemas.microsoft.com/office/drawing/2014/main" id="{00000000-0008-0000-0D00-00007C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61" name="ZoneTexte 1660" hidden="1">
          <a:extLst>
            <a:ext uri="{FF2B5EF4-FFF2-40B4-BE49-F238E27FC236}">
              <a16:creationId xmlns:a16="http://schemas.microsoft.com/office/drawing/2014/main" id="{00000000-0008-0000-0D00-00007D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62" name="ZoneTexte 1661" hidden="1">
          <a:extLst>
            <a:ext uri="{FF2B5EF4-FFF2-40B4-BE49-F238E27FC236}">
              <a16:creationId xmlns:a16="http://schemas.microsoft.com/office/drawing/2014/main" id="{00000000-0008-0000-0D00-00007E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63" name="ZoneTexte 1662" hidden="1">
          <a:extLst>
            <a:ext uri="{FF2B5EF4-FFF2-40B4-BE49-F238E27FC236}">
              <a16:creationId xmlns:a16="http://schemas.microsoft.com/office/drawing/2014/main" id="{00000000-0008-0000-0D00-00007F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64" name="ZoneTexte 1663" hidden="1">
          <a:extLst>
            <a:ext uri="{FF2B5EF4-FFF2-40B4-BE49-F238E27FC236}">
              <a16:creationId xmlns:a16="http://schemas.microsoft.com/office/drawing/2014/main" id="{00000000-0008-0000-0D00-000080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65" name="ZoneTexte 1664" hidden="1">
          <a:extLst>
            <a:ext uri="{FF2B5EF4-FFF2-40B4-BE49-F238E27FC236}">
              <a16:creationId xmlns:a16="http://schemas.microsoft.com/office/drawing/2014/main" id="{00000000-0008-0000-0D00-000081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66" name="ZoneTexte 1665" hidden="1">
          <a:extLst>
            <a:ext uri="{FF2B5EF4-FFF2-40B4-BE49-F238E27FC236}">
              <a16:creationId xmlns:a16="http://schemas.microsoft.com/office/drawing/2014/main" id="{00000000-0008-0000-0D00-000082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67" name="ZoneTexte 1666" hidden="1">
          <a:extLst>
            <a:ext uri="{FF2B5EF4-FFF2-40B4-BE49-F238E27FC236}">
              <a16:creationId xmlns:a16="http://schemas.microsoft.com/office/drawing/2014/main" id="{00000000-0008-0000-0D00-000083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68" name="ZoneTexte 1667" hidden="1">
          <a:extLst>
            <a:ext uri="{FF2B5EF4-FFF2-40B4-BE49-F238E27FC236}">
              <a16:creationId xmlns:a16="http://schemas.microsoft.com/office/drawing/2014/main" id="{00000000-0008-0000-0D00-000084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69" name="ZoneTexte 1668" hidden="1">
          <a:extLst>
            <a:ext uri="{FF2B5EF4-FFF2-40B4-BE49-F238E27FC236}">
              <a16:creationId xmlns:a16="http://schemas.microsoft.com/office/drawing/2014/main" id="{00000000-0008-0000-0D00-000085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70" name="ZoneTexte 1669" hidden="1">
          <a:extLst>
            <a:ext uri="{FF2B5EF4-FFF2-40B4-BE49-F238E27FC236}">
              <a16:creationId xmlns:a16="http://schemas.microsoft.com/office/drawing/2014/main" id="{00000000-0008-0000-0D00-000086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71" name="ZoneTexte 1670" hidden="1">
          <a:extLst>
            <a:ext uri="{FF2B5EF4-FFF2-40B4-BE49-F238E27FC236}">
              <a16:creationId xmlns:a16="http://schemas.microsoft.com/office/drawing/2014/main" id="{00000000-0008-0000-0D00-000087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72" name="ZoneTexte 1671" hidden="1">
          <a:extLst>
            <a:ext uri="{FF2B5EF4-FFF2-40B4-BE49-F238E27FC236}">
              <a16:creationId xmlns:a16="http://schemas.microsoft.com/office/drawing/2014/main" id="{00000000-0008-0000-0D00-000088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73" name="ZoneTexte 1672" hidden="1">
          <a:extLst>
            <a:ext uri="{FF2B5EF4-FFF2-40B4-BE49-F238E27FC236}">
              <a16:creationId xmlns:a16="http://schemas.microsoft.com/office/drawing/2014/main" id="{00000000-0008-0000-0D00-000089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74" name="ZoneTexte 1673" hidden="1">
          <a:extLst>
            <a:ext uri="{FF2B5EF4-FFF2-40B4-BE49-F238E27FC236}">
              <a16:creationId xmlns:a16="http://schemas.microsoft.com/office/drawing/2014/main" id="{00000000-0008-0000-0D00-00008A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195</xdr:row>
      <xdr:rowOff>2412999</xdr:rowOff>
    </xdr:from>
    <xdr:to>
      <xdr:col>2</xdr:col>
      <xdr:colOff>5327402</xdr:colOff>
      <xdr:row>195</xdr:row>
      <xdr:rowOff>2712356</xdr:rowOff>
    </xdr:to>
    <xdr:sp macro="" textlink="">
      <xdr:nvSpPr>
        <xdr:cNvPr id="1675" name="ZoneTexte 1674" hidden="1">
          <a:extLst>
            <a:ext uri="{FF2B5EF4-FFF2-40B4-BE49-F238E27FC236}">
              <a16:creationId xmlns:a16="http://schemas.microsoft.com/office/drawing/2014/main" id="{00000000-0008-0000-0D00-00008B060000}"/>
            </a:ext>
          </a:extLst>
        </xdr:cNvPr>
        <xdr:cNvSpPr txBox="1"/>
      </xdr:nvSpPr>
      <xdr:spPr>
        <a:xfrm>
          <a:off x="7935349" y="43070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76" name="ZoneTexte 1675" hidden="1">
          <a:extLst>
            <a:ext uri="{FF2B5EF4-FFF2-40B4-BE49-F238E27FC236}">
              <a16:creationId xmlns:a16="http://schemas.microsoft.com/office/drawing/2014/main" id="{00000000-0008-0000-0D00-00008C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77" name="ZoneTexte 1676" hidden="1">
          <a:extLst>
            <a:ext uri="{FF2B5EF4-FFF2-40B4-BE49-F238E27FC236}">
              <a16:creationId xmlns:a16="http://schemas.microsoft.com/office/drawing/2014/main" id="{00000000-0008-0000-0D00-00008D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78" name="ZoneTexte 1677" hidden="1">
          <a:extLst>
            <a:ext uri="{FF2B5EF4-FFF2-40B4-BE49-F238E27FC236}">
              <a16:creationId xmlns:a16="http://schemas.microsoft.com/office/drawing/2014/main" id="{00000000-0008-0000-0D00-00008E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79" name="ZoneTexte 1678" hidden="1">
          <a:extLst>
            <a:ext uri="{FF2B5EF4-FFF2-40B4-BE49-F238E27FC236}">
              <a16:creationId xmlns:a16="http://schemas.microsoft.com/office/drawing/2014/main" id="{00000000-0008-0000-0D00-00008F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80" name="ZoneTexte 1679" hidden="1">
          <a:extLst>
            <a:ext uri="{FF2B5EF4-FFF2-40B4-BE49-F238E27FC236}">
              <a16:creationId xmlns:a16="http://schemas.microsoft.com/office/drawing/2014/main" id="{00000000-0008-0000-0D00-000090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81" name="ZoneTexte 1680" hidden="1">
          <a:extLst>
            <a:ext uri="{FF2B5EF4-FFF2-40B4-BE49-F238E27FC236}">
              <a16:creationId xmlns:a16="http://schemas.microsoft.com/office/drawing/2014/main" id="{00000000-0008-0000-0D00-000091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82" name="ZoneTexte 1681" hidden="1">
          <a:extLst>
            <a:ext uri="{FF2B5EF4-FFF2-40B4-BE49-F238E27FC236}">
              <a16:creationId xmlns:a16="http://schemas.microsoft.com/office/drawing/2014/main" id="{00000000-0008-0000-0D00-000092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83" name="ZoneTexte 1682" hidden="1">
          <a:extLst>
            <a:ext uri="{FF2B5EF4-FFF2-40B4-BE49-F238E27FC236}">
              <a16:creationId xmlns:a16="http://schemas.microsoft.com/office/drawing/2014/main" id="{00000000-0008-0000-0D00-000093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84" name="ZoneTexte 1683" hidden="1">
          <a:extLst>
            <a:ext uri="{FF2B5EF4-FFF2-40B4-BE49-F238E27FC236}">
              <a16:creationId xmlns:a16="http://schemas.microsoft.com/office/drawing/2014/main" id="{00000000-0008-0000-0D00-000094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85" name="ZoneTexte 1684" hidden="1">
          <a:extLst>
            <a:ext uri="{FF2B5EF4-FFF2-40B4-BE49-F238E27FC236}">
              <a16:creationId xmlns:a16="http://schemas.microsoft.com/office/drawing/2014/main" id="{00000000-0008-0000-0D00-000095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86" name="ZoneTexte 1685" hidden="1">
          <a:extLst>
            <a:ext uri="{FF2B5EF4-FFF2-40B4-BE49-F238E27FC236}">
              <a16:creationId xmlns:a16="http://schemas.microsoft.com/office/drawing/2014/main" id="{00000000-0008-0000-0D00-000096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87" name="ZoneTexte 1686" hidden="1">
          <a:extLst>
            <a:ext uri="{FF2B5EF4-FFF2-40B4-BE49-F238E27FC236}">
              <a16:creationId xmlns:a16="http://schemas.microsoft.com/office/drawing/2014/main" id="{00000000-0008-0000-0D00-000097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88" name="ZoneTexte 1687" hidden="1">
          <a:extLst>
            <a:ext uri="{FF2B5EF4-FFF2-40B4-BE49-F238E27FC236}">
              <a16:creationId xmlns:a16="http://schemas.microsoft.com/office/drawing/2014/main" id="{00000000-0008-0000-0D00-000098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89" name="ZoneTexte 1688" hidden="1">
          <a:extLst>
            <a:ext uri="{FF2B5EF4-FFF2-40B4-BE49-F238E27FC236}">
              <a16:creationId xmlns:a16="http://schemas.microsoft.com/office/drawing/2014/main" id="{00000000-0008-0000-0D00-000099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90" name="ZoneTexte 1689" hidden="1">
          <a:extLst>
            <a:ext uri="{FF2B5EF4-FFF2-40B4-BE49-F238E27FC236}">
              <a16:creationId xmlns:a16="http://schemas.microsoft.com/office/drawing/2014/main" id="{00000000-0008-0000-0D00-00009A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91" name="ZoneTexte 1690" hidden="1">
          <a:extLst>
            <a:ext uri="{FF2B5EF4-FFF2-40B4-BE49-F238E27FC236}">
              <a16:creationId xmlns:a16="http://schemas.microsoft.com/office/drawing/2014/main" id="{00000000-0008-0000-0D00-00009B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92" name="ZoneTexte 1691" hidden="1">
          <a:extLst>
            <a:ext uri="{FF2B5EF4-FFF2-40B4-BE49-F238E27FC236}">
              <a16:creationId xmlns:a16="http://schemas.microsoft.com/office/drawing/2014/main" id="{00000000-0008-0000-0D00-00009C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93" name="ZoneTexte 1692" hidden="1">
          <a:extLst>
            <a:ext uri="{FF2B5EF4-FFF2-40B4-BE49-F238E27FC236}">
              <a16:creationId xmlns:a16="http://schemas.microsoft.com/office/drawing/2014/main" id="{00000000-0008-0000-0D00-00009D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94" name="ZoneTexte 1693" hidden="1">
          <a:extLst>
            <a:ext uri="{FF2B5EF4-FFF2-40B4-BE49-F238E27FC236}">
              <a16:creationId xmlns:a16="http://schemas.microsoft.com/office/drawing/2014/main" id="{00000000-0008-0000-0D00-00009E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95" name="ZoneTexte 1694" hidden="1">
          <a:extLst>
            <a:ext uri="{FF2B5EF4-FFF2-40B4-BE49-F238E27FC236}">
              <a16:creationId xmlns:a16="http://schemas.microsoft.com/office/drawing/2014/main" id="{00000000-0008-0000-0D00-00009F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96" name="ZoneTexte 1695" hidden="1">
          <a:extLst>
            <a:ext uri="{FF2B5EF4-FFF2-40B4-BE49-F238E27FC236}">
              <a16:creationId xmlns:a16="http://schemas.microsoft.com/office/drawing/2014/main" id="{00000000-0008-0000-0D00-0000A0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213</xdr:row>
      <xdr:rowOff>2412999</xdr:rowOff>
    </xdr:from>
    <xdr:to>
      <xdr:col>2</xdr:col>
      <xdr:colOff>5327402</xdr:colOff>
      <xdr:row>213</xdr:row>
      <xdr:rowOff>2712356</xdr:rowOff>
    </xdr:to>
    <xdr:sp macro="" textlink="">
      <xdr:nvSpPr>
        <xdr:cNvPr id="1697" name="ZoneTexte 1696" hidden="1">
          <a:extLst>
            <a:ext uri="{FF2B5EF4-FFF2-40B4-BE49-F238E27FC236}">
              <a16:creationId xmlns:a16="http://schemas.microsoft.com/office/drawing/2014/main" id="{00000000-0008-0000-0D00-0000A1060000}"/>
            </a:ext>
          </a:extLst>
        </xdr:cNvPr>
        <xdr:cNvSpPr txBox="1"/>
      </xdr:nvSpPr>
      <xdr:spPr>
        <a:xfrm>
          <a:off x="7935349" y="47191456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698" name="ZoneTexte 1697" hidden="1">
          <a:extLst>
            <a:ext uri="{FF2B5EF4-FFF2-40B4-BE49-F238E27FC236}">
              <a16:creationId xmlns:a16="http://schemas.microsoft.com/office/drawing/2014/main" id="{00000000-0008-0000-0D00-0000A2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699" name="ZoneTexte 1698" hidden="1">
          <a:extLst>
            <a:ext uri="{FF2B5EF4-FFF2-40B4-BE49-F238E27FC236}">
              <a16:creationId xmlns:a16="http://schemas.microsoft.com/office/drawing/2014/main" id="{00000000-0008-0000-0D00-0000A3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00" name="ZoneTexte 1699" hidden="1">
          <a:extLst>
            <a:ext uri="{FF2B5EF4-FFF2-40B4-BE49-F238E27FC236}">
              <a16:creationId xmlns:a16="http://schemas.microsoft.com/office/drawing/2014/main" id="{00000000-0008-0000-0D00-0000A4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01" name="ZoneTexte 1700" hidden="1">
          <a:extLst>
            <a:ext uri="{FF2B5EF4-FFF2-40B4-BE49-F238E27FC236}">
              <a16:creationId xmlns:a16="http://schemas.microsoft.com/office/drawing/2014/main" id="{00000000-0008-0000-0D00-0000A5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02" name="ZoneTexte 1701" hidden="1">
          <a:extLst>
            <a:ext uri="{FF2B5EF4-FFF2-40B4-BE49-F238E27FC236}">
              <a16:creationId xmlns:a16="http://schemas.microsoft.com/office/drawing/2014/main" id="{00000000-0008-0000-0D00-0000A6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03" name="ZoneTexte 1702" hidden="1">
          <a:extLst>
            <a:ext uri="{FF2B5EF4-FFF2-40B4-BE49-F238E27FC236}">
              <a16:creationId xmlns:a16="http://schemas.microsoft.com/office/drawing/2014/main" id="{00000000-0008-0000-0D00-0000A7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04" name="ZoneTexte 1703" hidden="1">
          <a:extLst>
            <a:ext uri="{FF2B5EF4-FFF2-40B4-BE49-F238E27FC236}">
              <a16:creationId xmlns:a16="http://schemas.microsoft.com/office/drawing/2014/main" id="{00000000-0008-0000-0D00-0000A8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05" name="ZoneTexte 1704" hidden="1">
          <a:extLst>
            <a:ext uri="{FF2B5EF4-FFF2-40B4-BE49-F238E27FC236}">
              <a16:creationId xmlns:a16="http://schemas.microsoft.com/office/drawing/2014/main" id="{00000000-0008-0000-0D00-0000A9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06" name="ZoneTexte 1705" hidden="1">
          <a:extLst>
            <a:ext uri="{FF2B5EF4-FFF2-40B4-BE49-F238E27FC236}">
              <a16:creationId xmlns:a16="http://schemas.microsoft.com/office/drawing/2014/main" id="{00000000-0008-0000-0D00-0000AA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07" name="ZoneTexte 1706" hidden="1">
          <a:extLst>
            <a:ext uri="{FF2B5EF4-FFF2-40B4-BE49-F238E27FC236}">
              <a16:creationId xmlns:a16="http://schemas.microsoft.com/office/drawing/2014/main" id="{00000000-0008-0000-0D00-0000AB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08" name="ZoneTexte 1707" hidden="1">
          <a:extLst>
            <a:ext uri="{FF2B5EF4-FFF2-40B4-BE49-F238E27FC236}">
              <a16:creationId xmlns:a16="http://schemas.microsoft.com/office/drawing/2014/main" id="{00000000-0008-0000-0D00-0000AC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09" name="ZoneTexte 1708" hidden="1">
          <a:extLst>
            <a:ext uri="{FF2B5EF4-FFF2-40B4-BE49-F238E27FC236}">
              <a16:creationId xmlns:a16="http://schemas.microsoft.com/office/drawing/2014/main" id="{00000000-0008-0000-0D00-0000AD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10" name="ZoneTexte 1709" hidden="1">
          <a:extLst>
            <a:ext uri="{FF2B5EF4-FFF2-40B4-BE49-F238E27FC236}">
              <a16:creationId xmlns:a16="http://schemas.microsoft.com/office/drawing/2014/main" id="{00000000-0008-0000-0D00-0000AE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11" name="ZoneTexte 1710" hidden="1">
          <a:extLst>
            <a:ext uri="{FF2B5EF4-FFF2-40B4-BE49-F238E27FC236}">
              <a16:creationId xmlns:a16="http://schemas.microsoft.com/office/drawing/2014/main" id="{00000000-0008-0000-0D00-0000AF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12" name="ZoneTexte 1711" hidden="1">
          <a:extLst>
            <a:ext uri="{FF2B5EF4-FFF2-40B4-BE49-F238E27FC236}">
              <a16:creationId xmlns:a16="http://schemas.microsoft.com/office/drawing/2014/main" id="{00000000-0008-0000-0D00-0000B0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13" name="ZoneTexte 1712" hidden="1">
          <a:extLst>
            <a:ext uri="{FF2B5EF4-FFF2-40B4-BE49-F238E27FC236}">
              <a16:creationId xmlns:a16="http://schemas.microsoft.com/office/drawing/2014/main" id="{00000000-0008-0000-0D00-0000B1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14" name="ZoneTexte 1713" hidden="1">
          <a:extLst>
            <a:ext uri="{FF2B5EF4-FFF2-40B4-BE49-F238E27FC236}">
              <a16:creationId xmlns:a16="http://schemas.microsoft.com/office/drawing/2014/main" id="{00000000-0008-0000-0D00-0000B2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15" name="ZoneTexte 1714" hidden="1">
          <a:extLst>
            <a:ext uri="{FF2B5EF4-FFF2-40B4-BE49-F238E27FC236}">
              <a16:creationId xmlns:a16="http://schemas.microsoft.com/office/drawing/2014/main" id="{00000000-0008-0000-0D00-0000B3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16" name="ZoneTexte 1715" hidden="1">
          <a:extLst>
            <a:ext uri="{FF2B5EF4-FFF2-40B4-BE49-F238E27FC236}">
              <a16:creationId xmlns:a16="http://schemas.microsoft.com/office/drawing/2014/main" id="{00000000-0008-0000-0D00-0000B4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17" name="ZoneTexte 1716" hidden="1">
          <a:extLst>
            <a:ext uri="{FF2B5EF4-FFF2-40B4-BE49-F238E27FC236}">
              <a16:creationId xmlns:a16="http://schemas.microsoft.com/office/drawing/2014/main" id="{00000000-0008-0000-0D00-0000B5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18" name="ZoneTexte 1717" hidden="1">
          <a:extLst>
            <a:ext uri="{FF2B5EF4-FFF2-40B4-BE49-F238E27FC236}">
              <a16:creationId xmlns:a16="http://schemas.microsoft.com/office/drawing/2014/main" id="{00000000-0008-0000-0D00-0000B6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19" name="ZoneTexte 1718" hidden="1">
          <a:extLst>
            <a:ext uri="{FF2B5EF4-FFF2-40B4-BE49-F238E27FC236}">
              <a16:creationId xmlns:a16="http://schemas.microsoft.com/office/drawing/2014/main" id="{00000000-0008-0000-0D00-0000B7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20" name="ZoneTexte 1719" hidden="1">
          <a:extLst>
            <a:ext uri="{FF2B5EF4-FFF2-40B4-BE49-F238E27FC236}">
              <a16:creationId xmlns:a16="http://schemas.microsoft.com/office/drawing/2014/main" id="{00000000-0008-0000-0D00-0000B8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231</xdr:row>
      <xdr:rowOff>2412999</xdr:rowOff>
    </xdr:from>
    <xdr:to>
      <xdr:col>2</xdr:col>
      <xdr:colOff>5327402</xdr:colOff>
      <xdr:row>231</xdr:row>
      <xdr:rowOff>2712356</xdr:rowOff>
    </xdr:to>
    <xdr:sp macro="" textlink="">
      <xdr:nvSpPr>
        <xdr:cNvPr id="1721" name="ZoneTexte 1720" hidden="1">
          <a:extLst>
            <a:ext uri="{FF2B5EF4-FFF2-40B4-BE49-F238E27FC236}">
              <a16:creationId xmlns:a16="http://schemas.microsoft.com/office/drawing/2014/main" id="{00000000-0008-0000-0D00-0000B9060000}"/>
            </a:ext>
          </a:extLst>
        </xdr:cNvPr>
        <xdr:cNvSpPr txBox="1"/>
      </xdr:nvSpPr>
      <xdr:spPr>
        <a:xfrm>
          <a:off x="7935349" y="51452182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22" name="ZoneTexte 1721" hidden="1">
          <a:extLst>
            <a:ext uri="{FF2B5EF4-FFF2-40B4-BE49-F238E27FC236}">
              <a16:creationId xmlns:a16="http://schemas.microsoft.com/office/drawing/2014/main" id="{00000000-0008-0000-0D00-0000BA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23" name="ZoneTexte 1722" hidden="1">
          <a:extLst>
            <a:ext uri="{FF2B5EF4-FFF2-40B4-BE49-F238E27FC236}">
              <a16:creationId xmlns:a16="http://schemas.microsoft.com/office/drawing/2014/main" id="{00000000-0008-0000-0D00-0000BB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24" name="ZoneTexte 1723" hidden="1">
          <a:extLst>
            <a:ext uri="{FF2B5EF4-FFF2-40B4-BE49-F238E27FC236}">
              <a16:creationId xmlns:a16="http://schemas.microsoft.com/office/drawing/2014/main" id="{00000000-0008-0000-0D00-0000BC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25" name="ZoneTexte 1724" hidden="1">
          <a:extLst>
            <a:ext uri="{FF2B5EF4-FFF2-40B4-BE49-F238E27FC236}">
              <a16:creationId xmlns:a16="http://schemas.microsoft.com/office/drawing/2014/main" id="{00000000-0008-0000-0D00-0000BD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26" name="ZoneTexte 1725" hidden="1">
          <a:extLst>
            <a:ext uri="{FF2B5EF4-FFF2-40B4-BE49-F238E27FC236}">
              <a16:creationId xmlns:a16="http://schemas.microsoft.com/office/drawing/2014/main" id="{00000000-0008-0000-0D00-0000BE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27" name="ZoneTexte 1726" hidden="1">
          <a:extLst>
            <a:ext uri="{FF2B5EF4-FFF2-40B4-BE49-F238E27FC236}">
              <a16:creationId xmlns:a16="http://schemas.microsoft.com/office/drawing/2014/main" id="{00000000-0008-0000-0D00-0000BF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28" name="ZoneTexte 1727" hidden="1">
          <a:extLst>
            <a:ext uri="{FF2B5EF4-FFF2-40B4-BE49-F238E27FC236}">
              <a16:creationId xmlns:a16="http://schemas.microsoft.com/office/drawing/2014/main" id="{00000000-0008-0000-0D00-0000C0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29" name="ZoneTexte 1728" hidden="1">
          <a:extLst>
            <a:ext uri="{FF2B5EF4-FFF2-40B4-BE49-F238E27FC236}">
              <a16:creationId xmlns:a16="http://schemas.microsoft.com/office/drawing/2014/main" id="{00000000-0008-0000-0D00-0000C1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30" name="ZoneTexte 1729" hidden="1">
          <a:extLst>
            <a:ext uri="{FF2B5EF4-FFF2-40B4-BE49-F238E27FC236}">
              <a16:creationId xmlns:a16="http://schemas.microsoft.com/office/drawing/2014/main" id="{00000000-0008-0000-0D00-0000C2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31" name="ZoneTexte 1730" hidden="1">
          <a:extLst>
            <a:ext uri="{FF2B5EF4-FFF2-40B4-BE49-F238E27FC236}">
              <a16:creationId xmlns:a16="http://schemas.microsoft.com/office/drawing/2014/main" id="{00000000-0008-0000-0D00-0000C3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32" name="ZoneTexte 1731" hidden="1">
          <a:extLst>
            <a:ext uri="{FF2B5EF4-FFF2-40B4-BE49-F238E27FC236}">
              <a16:creationId xmlns:a16="http://schemas.microsoft.com/office/drawing/2014/main" id="{00000000-0008-0000-0D00-0000C4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33" name="ZoneTexte 1732" hidden="1">
          <a:extLst>
            <a:ext uri="{FF2B5EF4-FFF2-40B4-BE49-F238E27FC236}">
              <a16:creationId xmlns:a16="http://schemas.microsoft.com/office/drawing/2014/main" id="{00000000-0008-0000-0D00-0000C5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34" name="ZoneTexte 1733" hidden="1">
          <a:extLst>
            <a:ext uri="{FF2B5EF4-FFF2-40B4-BE49-F238E27FC236}">
              <a16:creationId xmlns:a16="http://schemas.microsoft.com/office/drawing/2014/main" id="{00000000-0008-0000-0D00-0000C6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35" name="ZoneTexte 1734" hidden="1">
          <a:extLst>
            <a:ext uri="{FF2B5EF4-FFF2-40B4-BE49-F238E27FC236}">
              <a16:creationId xmlns:a16="http://schemas.microsoft.com/office/drawing/2014/main" id="{00000000-0008-0000-0D00-0000C7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36" name="ZoneTexte 1735" hidden="1">
          <a:extLst>
            <a:ext uri="{FF2B5EF4-FFF2-40B4-BE49-F238E27FC236}">
              <a16:creationId xmlns:a16="http://schemas.microsoft.com/office/drawing/2014/main" id="{00000000-0008-0000-0D00-0000C8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37" name="ZoneTexte 1736" hidden="1">
          <a:extLst>
            <a:ext uri="{FF2B5EF4-FFF2-40B4-BE49-F238E27FC236}">
              <a16:creationId xmlns:a16="http://schemas.microsoft.com/office/drawing/2014/main" id="{00000000-0008-0000-0D00-0000C9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38" name="ZoneTexte 1737" hidden="1">
          <a:extLst>
            <a:ext uri="{FF2B5EF4-FFF2-40B4-BE49-F238E27FC236}">
              <a16:creationId xmlns:a16="http://schemas.microsoft.com/office/drawing/2014/main" id="{00000000-0008-0000-0D00-0000CA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39" name="ZoneTexte 1738" hidden="1">
          <a:extLst>
            <a:ext uri="{FF2B5EF4-FFF2-40B4-BE49-F238E27FC236}">
              <a16:creationId xmlns:a16="http://schemas.microsoft.com/office/drawing/2014/main" id="{00000000-0008-0000-0D00-0000CB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40" name="ZoneTexte 1739" hidden="1">
          <a:extLst>
            <a:ext uri="{FF2B5EF4-FFF2-40B4-BE49-F238E27FC236}">
              <a16:creationId xmlns:a16="http://schemas.microsoft.com/office/drawing/2014/main" id="{00000000-0008-0000-0D00-0000CC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41" name="ZoneTexte 1740" hidden="1">
          <a:extLst>
            <a:ext uri="{FF2B5EF4-FFF2-40B4-BE49-F238E27FC236}">
              <a16:creationId xmlns:a16="http://schemas.microsoft.com/office/drawing/2014/main" id="{00000000-0008-0000-0D00-0000CD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42" name="ZoneTexte 1741" hidden="1">
          <a:extLst>
            <a:ext uri="{FF2B5EF4-FFF2-40B4-BE49-F238E27FC236}">
              <a16:creationId xmlns:a16="http://schemas.microsoft.com/office/drawing/2014/main" id="{00000000-0008-0000-0D00-0000CE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43" name="ZoneTexte 1742" hidden="1">
          <a:extLst>
            <a:ext uri="{FF2B5EF4-FFF2-40B4-BE49-F238E27FC236}">
              <a16:creationId xmlns:a16="http://schemas.microsoft.com/office/drawing/2014/main" id="{00000000-0008-0000-0D00-0000CF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44" name="ZoneTexte 1743" hidden="1">
          <a:extLst>
            <a:ext uri="{FF2B5EF4-FFF2-40B4-BE49-F238E27FC236}">
              <a16:creationId xmlns:a16="http://schemas.microsoft.com/office/drawing/2014/main" id="{00000000-0008-0000-0D00-0000D0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45" name="ZoneTexte 1744" hidden="1">
          <a:extLst>
            <a:ext uri="{FF2B5EF4-FFF2-40B4-BE49-F238E27FC236}">
              <a16:creationId xmlns:a16="http://schemas.microsoft.com/office/drawing/2014/main" id="{00000000-0008-0000-0D00-0000D1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46" name="ZoneTexte 1745" hidden="1">
          <a:extLst>
            <a:ext uri="{FF2B5EF4-FFF2-40B4-BE49-F238E27FC236}">
              <a16:creationId xmlns:a16="http://schemas.microsoft.com/office/drawing/2014/main" id="{00000000-0008-0000-0D00-0000D2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249</xdr:row>
      <xdr:rowOff>2412999</xdr:rowOff>
    </xdr:from>
    <xdr:to>
      <xdr:col>2</xdr:col>
      <xdr:colOff>5327402</xdr:colOff>
      <xdr:row>249</xdr:row>
      <xdr:rowOff>2712356</xdr:rowOff>
    </xdr:to>
    <xdr:sp macro="" textlink="">
      <xdr:nvSpPr>
        <xdr:cNvPr id="1747" name="ZoneTexte 1746" hidden="1">
          <a:extLst>
            <a:ext uri="{FF2B5EF4-FFF2-40B4-BE49-F238E27FC236}">
              <a16:creationId xmlns:a16="http://schemas.microsoft.com/office/drawing/2014/main" id="{00000000-0008-0000-0D00-0000D3060000}"/>
            </a:ext>
          </a:extLst>
        </xdr:cNvPr>
        <xdr:cNvSpPr txBox="1"/>
      </xdr:nvSpPr>
      <xdr:spPr>
        <a:xfrm>
          <a:off x="7935349" y="55395407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48" name="ZoneTexte 1747" hidden="1">
          <a:extLst>
            <a:ext uri="{FF2B5EF4-FFF2-40B4-BE49-F238E27FC236}">
              <a16:creationId xmlns:a16="http://schemas.microsoft.com/office/drawing/2014/main" id="{00000000-0008-0000-0D00-0000D4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49" name="ZoneTexte 1748" hidden="1">
          <a:extLst>
            <a:ext uri="{FF2B5EF4-FFF2-40B4-BE49-F238E27FC236}">
              <a16:creationId xmlns:a16="http://schemas.microsoft.com/office/drawing/2014/main" id="{00000000-0008-0000-0D00-0000D5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50" name="ZoneTexte 1749" hidden="1">
          <a:extLst>
            <a:ext uri="{FF2B5EF4-FFF2-40B4-BE49-F238E27FC236}">
              <a16:creationId xmlns:a16="http://schemas.microsoft.com/office/drawing/2014/main" id="{00000000-0008-0000-0D00-0000D6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51" name="ZoneTexte 1750" hidden="1">
          <a:extLst>
            <a:ext uri="{FF2B5EF4-FFF2-40B4-BE49-F238E27FC236}">
              <a16:creationId xmlns:a16="http://schemas.microsoft.com/office/drawing/2014/main" id="{00000000-0008-0000-0D00-0000D7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52" name="ZoneTexte 1751" hidden="1">
          <a:extLst>
            <a:ext uri="{FF2B5EF4-FFF2-40B4-BE49-F238E27FC236}">
              <a16:creationId xmlns:a16="http://schemas.microsoft.com/office/drawing/2014/main" id="{00000000-0008-0000-0D00-0000D8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53" name="ZoneTexte 1752" hidden="1">
          <a:extLst>
            <a:ext uri="{FF2B5EF4-FFF2-40B4-BE49-F238E27FC236}">
              <a16:creationId xmlns:a16="http://schemas.microsoft.com/office/drawing/2014/main" id="{00000000-0008-0000-0D00-0000D9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54" name="ZoneTexte 1753" hidden="1">
          <a:extLst>
            <a:ext uri="{FF2B5EF4-FFF2-40B4-BE49-F238E27FC236}">
              <a16:creationId xmlns:a16="http://schemas.microsoft.com/office/drawing/2014/main" id="{00000000-0008-0000-0D00-0000DA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55" name="ZoneTexte 1754" hidden="1">
          <a:extLst>
            <a:ext uri="{FF2B5EF4-FFF2-40B4-BE49-F238E27FC236}">
              <a16:creationId xmlns:a16="http://schemas.microsoft.com/office/drawing/2014/main" id="{00000000-0008-0000-0D00-0000DB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56" name="ZoneTexte 1755" hidden="1">
          <a:extLst>
            <a:ext uri="{FF2B5EF4-FFF2-40B4-BE49-F238E27FC236}">
              <a16:creationId xmlns:a16="http://schemas.microsoft.com/office/drawing/2014/main" id="{00000000-0008-0000-0D00-0000DC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57" name="ZoneTexte 1756" hidden="1">
          <a:extLst>
            <a:ext uri="{FF2B5EF4-FFF2-40B4-BE49-F238E27FC236}">
              <a16:creationId xmlns:a16="http://schemas.microsoft.com/office/drawing/2014/main" id="{00000000-0008-0000-0D00-0000DD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58" name="ZoneTexte 1757" hidden="1">
          <a:extLst>
            <a:ext uri="{FF2B5EF4-FFF2-40B4-BE49-F238E27FC236}">
              <a16:creationId xmlns:a16="http://schemas.microsoft.com/office/drawing/2014/main" id="{00000000-0008-0000-0D00-0000DE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59" name="ZoneTexte 1758" hidden="1">
          <a:extLst>
            <a:ext uri="{FF2B5EF4-FFF2-40B4-BE49-F238E27FC236}">
              <a16:creationId xmlns:a16="http://schemas.microsoft.com/office/drawing/2014/main" id="{00000000-0008-0000-0D00-0000DF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60" name="ZoneTexte 1759" hidden="1">
          <a:extLst>
            <a:ext uri="{FF2B5EF4-FFF2-40B4-BE49-F238E27FC236}">
              <a16:creationId xmlns:a16="http://schemas.microsoft.com/office/drawing/2014/main" id="{00000000-0008-0000-0D00-0000E0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61" name="ZoneTexte 1760" hidden="1">
          <a:extLst>
            <a:ext uri="{FF2B5EF4-FFF2-40B4-BE49-F238E27FC236}">
              <a16:creationId xmlns:a16="http://schemas.microsoft.com/office/drawing/2014/main" id="{00000000-0008-0000-0D00-0000E1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62" name="ZoneTexte 1761" hidden="1">
          <a:extLst>
            <a:ext uri="{FF2B5EF4-FFF2-40B4-BE49-F238E27FC236}">
              <a16:creationId xmlns:a16="http://schemas.microsoft.com/office/drawing/2014/main" id="{00000000-0008-0000-0D00-0000E2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63" name="ZoneTexte 1762" hidden="1">
          <a:extLst>
            <a:ext uri="{FF2B5EF4-FFF2-40B4-BE49-F238E27FC236}">
              <a16:creationId xmlns:a16="http://schemas.microsoft.com/office/drawing/2014/main" id="{00000000-0008-0000-0D00-0000E3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64" name="ZoneTexte 1763" hidden="1">
          <a:extLst>
            <a:ext uri="{FF2B5EF4-FFF2-40B4-BE49-F238E27FC236}">
              <a16:creationId xmlns:a16="http://schemas.microsoft.com/office/drawing/2014/main" id="{00000000-0008-0000-0D00-0000E4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65" name="ZoneTexte 1764" hidden="1">
          <a:extLst>
            <a:ext uri="{FF2B5EF4-FFF2-40B4-BE49-F238E27FC236}">
              <a16:creationId xmlns:a16="http://schemas.microsoft.com/office/drawing/2014/main" id="{00000000-0008-0000-0D00-0000E5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66" name="ZoneTexte 1765" hidden="1">
          <a:extLst>
            <a:ext uri="{FF2B5EF4-FFF2-40B4-BE49-F238E27FC236}">
              <a16:creationId xmlns:a16="http://schemas.microsoft.com/office/drawing/2014/main" id="{00000000-0008-0000-0D00-0000E6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67" name="ZoneTexte 1766" hidden="1">
          <a:extLst>
            <a:ext uri="{FF2B5EF4-FFF2-40B4-BE49-F238E27FC236}">
              <a16:creationId xmlns:a16="http://schemas.microsoft.com/office/drawing/2014/main" id="{00000000-0008-0000-0D00-0000E7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68" name="ZoneTexte 1767" hidden="1">
          <a:extLst>
            <a:ext uri="{FF2B5EF4-FFF2-40B4-BE49-F238E27FC236}">
              <a16:creationId xmlns:a16="http://schemas.microsoft.com/office/drawing/2014/main" id="{00000000-0008-0000-0D00-0000E8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69" name="ZoneTexte 1768" hidden="1">
          <a:extLst>
            <a:ext uri="{FF2B5EF4-FFF2-40B4-BE49-F238E27FC236}">
              <a16:creationId xmlns:a16="http://schemas.microsoft.com/office/drawing/2014/main" id="{00000000-0008-0000-0D00-0000E9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70" name="ZoneTexte 1769" hidden="1">
          <a:extLst>
            <a:ext uri="{FF2B5EF4-FFF2-40B4-BE49-F238E27FC236}">
              <a16:creationId xmlns:a16="http://schemas.microsoft.com/office/drawing/2014/main" id="{00000000-0008-0000-0D00-0000EA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71" name="ZoneTexte 1770" hidden="1">
          <a:extLst>
            <a:ext uri="{FF2B5EF4-FFF2-40B4-BE49-F238E27FC236}">
              <a16:creationId xmlns:a16="http://schemas.microsoft.com/office/drawing/2014/main" id="{00000000-0008-0000-0D00-0000EB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72" name="ZoneTexte 1771" hidden="1">
          <a:extLst>
            <a:ext uri="{FF2B5EF4-FFF2-40B4-BE49-F238E27FC236}">
              <a16:creationId xmlns:a16="http://schemas.microsoft.com/office/drawing/2014/main" id="{00000000-0008-0000-0D00-0000EC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73" name="ZoneTexte 1772" hidden="1">
          <a:extLst>
            <a:ext uri="{FF2B5EF4-FFF2-40B4-BE49-F238E27FC236}">
              <a16:creationId xmlns:a16="http://schemas.microsoft.com/office/drawing/2014/main" id="{00000000-0008-0000-0D00-0000ED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74" name="ZoneTexte 1773" hidden="1">
          <a:extLst>
            <a:ext uri="{FF2B5EF4-FFF2-40B4-BE49-F238E27FC236}">
              <a16:creationId xmlns:a16="http://schemas.microsoft.com/office/drawing/2014/main" id="{00000000-0008-0000-0D00-0000EE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267</xdr:row>
      <xdr:rowOff>2412999</xdr:rowOff>
    </xdr:from>
    <xdr:to>
      <xdr:col>2</xdr:col>
      <xdr:colOff>5327402</xdr:colOff>
      <xdr:row>267</xdr:row>
      <xdr:rowOff>2712356</xdr:rowOff>
    </xdr:to>
    <xdr:sp macro="" textlink="">
      <xdr:nvSpPr>
        <xdr:cNvPr id="1775" name="ZoneTexte 1774" hidden="1">
          <a:extLst>
            <a:ext uri="{FF2B5EF4-FFF2-40B4-BE49-F238E27FC236}">
              <a16:creationId xmlns:a16="http://schemas.microsoft.com/office/drawing/2014/main" id="{00000000-0008-0000-0D00-0000EF060000}"/>
            </a:ext>
          </a:extLst>
        </xdr:cNvPr>
        <xdr:cNvSpPr txBox="1"/>
      </xdr:nvSpPr>
      <xdr:spPr>
        <a:xfrm>
          <a:off x="7935349" y="593137313"/>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776" name="ZoneTexte 1775" hidden="1">
          <a:extLst>
            <a:ext uri="{FF2B5EF4-FFF2-40B4-BE49-F238E27FC236}">
              <a16:creationId xmlns:a16="http://schemas.microsoft.com/office/drawing/2014/main" id="{00000000-0008-0000-0D00-0000F006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777" name="ZoneTexte 1776" hidden="1">
          <a:extLst>
            <a:ext uri="{FF2B5EF4-FFF2-40B4-BE49-F238E27FC236}">
              <a16:creationId xmlns:a16="http://schemas.microsoft.com/office/drawing/2014/main" id="{00000000-0008-0000-0D00-0000F106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778" name="ZoneTexte 1777" hidden="1">
          <a:extLst>
            <a:ext uri="{FF2B5EF4-FFF2-40B4-BE49-F238E27FC236}">
              <a16:creationId xmlns:a16="http://schemas.microsoft.com/office/drawing/2014/main" id="{00000000-0008-0000-0D00-0000F206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779" name="ZoneTexte 1778" hidden="1">
          <a:extLst>
            <a:ext uri="{FF2B5EF4-FFF2-40B4-BE49-F238E27FC236}">
              <a16:creationId xmlns:a16="http://schemas.microsoft.com/office/drawing/2014/main" id="{00000000-0008-0000-0D00-0000F306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780" name="ZoneTexte 1779" hidden="1">
          <a:extLst>
            <a:ext uri="{FF2B5EF4-FFF2-40B4-BE49-F238E27FC236}">
              <a16:creationId xmlns:a16="http://schemas.microsoft.com/office/drawing/2014/main" id="{00000000-0008-0000-0D00-0000F406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781" name="ZoneTexte 1780" hidden="1">
          <a:extLst>
            <a:ext uri="{FF2B5EF4-FFF2-40B4-BE49-F238E27FC236}">
              <a16:creationId xmlns:a16="http://schemas.microsoft.com/office/drawing/2014/main" id="{00000000-0008-0000-0D00-0000F506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782" name="ZoneTexte 1781" hidden="1">
          <a:extLst>
            <a:ext uri="{FF2B5EF4-FFF2-40B4-BE49-F238E27FC236}">
              <a16:creationId xmlns:a16="http://schemas.microsoft.com/office/drawing/2014/main" id="{00000000-0008-0000-0D00-0000F606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783" name="ZoneTexte 1782" hidden="1">
          <a:extLst>
            <a:ext uri="{FF2B5EF4-FFF2-40B4-BE49-F238E27FC236}">
              <a16:creationId xmlns:a16="http://schemas.microsoft.com/office/drawing/2014/main" id="{00000000-0008-0000-0D00-0000F706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784" name="ZoneTexte 1783" hidden="1">
          <a:extLst>
            <a:ext uri="{FF2B5EF4-FFF2-40B4-BE49-F238E27FC236}">
              <a16:creationId xmlns:a16="http://schemas.microsoft.com/office/drawing/2014/main" id="{00000000-0008-0000-0D00-0000F806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785" name="ZoneTexte 1784" hidden="1">
          <a:extLst>
            <a:ext uri="{FF2B5EF4-FFF2-40B4-BE49-F238E27FC236}">
              <a16:creationId xmlns:a16="http://schemas.microsoft.com/office/drawing/2014/main" id="{00000000-0008-0000-0D00-0000F906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786" name="ZoneTexte 1785" hidden="1">
          <a:extLst>
            <a:ext uri="{FF2B5EF4-FFF2-40B4-BE49-F238E27FC236}">
              <a16:creationId xmlns:a16="http://schemas.microsoft.com/office/drawing/2014/main" id="{00000000-0008-0000-0D00-0000FA06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787" name="ZoneTexte 1786" hidden="1">
          <a:extLst>
            <a:ext uri="{FF2B5EF4-FFF2-40B4-BE49-F238E27FC236}">
              <a16:creationId xmlns:a16="http://schemas.microsoft.com/office/drawing/2014/main" id="{00000000-0008-0000-0D00-0000FB06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788" name="ZoneTexte 1787" hidden="1">
          <a:extLst>
            <a:ext uri="{FF2B5EF4-FFF2-40B4-BE49-F238E27FC236}">
              <a16:creationId xmlns:a16="http://schemas.microsoft.com/office/drawing/2014/main" id="{00000000-0008-0000-0D00-0000FC06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789" name="ZoneTexte 1788" hidden="1">
          <a:extLst>
            <a:ext uri="{FF2B5EF4-FFF2-40B4-BE49-F238E27FC236}">
              <a16:creationId xmlns:a16="http://schemas.microsoft.com/office/drawing/2014/main" id="{00000000-0008-0000-0D00-0000FD06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790" name="ZoneTexte 1789" hidden="1">
          <a:extLst>
            <a:ext uri="{FF2B5EF4-FFF2-40B4-BE49-F238E27FC236}">
              <a16:creationId xmlns:a16="http://schemas.microsoft.com/office/drawing/2014/main" id="{00000000-0008-0000-0D00-0000FE06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791" name="ZoneTexte 1790" hidden="1">
          <a:extLst>
            <a:ext uri="{FF2B5EF4-FFF2-40B4-BE49-F238E27FC236}">
              <a16:creationId xmlns:a16="http://schemas.microsoft.com/office/drawing/2014/main" id="{00000000-0008-0000-0D00-0000FF06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792" name="ZoneTexte 1791" hidden="1">
          <a:extLst>
            <a:ext uri="{FF2B5EF4-FFF2-40B4-BE49-F238E27FC236}">
              <a16:creationId xmlns:a16="http://schemas.microsoft.com/office/drawing/2014/main" id="{00000000-0008-0000-0D00-000000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793" name="ZoneTexte 1792" hidden="1">
          <a:extLst>
            <a:ext uri="{FF2B5EF4-FFF2-40B4-BE49-F238E27FC236}">
              <a16:creationId xmlns:a16="http://schemas.microsoft.com/office/drawing/2014/main" id="{00000000-0008-0000-0D00-00000107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794" name="ZoneTexte 1793" hidden="1">
          <a:extLst>
            <a:ext uri="{FF2B5EF4-FFF2-40B4-BE49-F238E27FC236}">
              <a16:creationId xmlns:a16="http://schemas.microsoft.com/office/drawing/2014/main" id="{00000000-0008-0000-0D00-000002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795" name="ZoneTexte 1794" hidden="1">
          <a:extLst>
            <a:ext uri="{FF2B5EF4-FFF2-40B4-BE49-F238E27FC236}">
              <a16:creationId xmlns:a16="http://schemas.microsoft.com/office/drawing/2014/main" id="{00000000-0008-0000-0D00-00000307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796" name="ZoneTexte 1795" hidden="1">
          <a:extLst>
            <a:ext uri="{FF2B5EF4-FFF2-40B4-BE49-F238E27FC236}">
              <a16:creationId xmlns:a16="http://schemas.microsoft.com/office/drawing/2014/main" id="{00000000-0008-0000-0D00-000004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797" name="ZoneTexte 1796" hidden="1">
          <a:extLst>
            <a:ext uri="{FF2B5EF4-FFF2-40B4-BE49-F238E27FC236}">
              <a16:creationId xmlns:a16="http://schemas.microsoft.com/office/drawing/2014/main" id="{00000000-0008-0000-0D00-00000507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798" name="ZoneTexte 1797" hidden="1">
          <a:extLst>
            <a:ext uri="{FF2B5EF4-FFF2-40B4-BE49-F238E27FC236}">
              <a16:creationId xmlns:a16="http://schemas.microsoft.com/office/drawing/2014/main" id="{00000000-0008-0000-0D00-000006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799" name="ZoneTexte 1798" hidden="1">
          <a:extLst>
            <a:ext uri="{FF2B5EF4-FFF2-40B4-BE49-F238E27FC236}">
              <a16:creationId xmlns:a16="http://schemas.microsoft.com/office/drawing/2014/main" id="{00000000-0008-0000-0D00-00000707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800" name="ZoneTexte 1799" hidden="1">
          <a:extLst>
            <a:ext uri="{FF2B5EF4-FFF2-40B4-BE49-F238E27FC236}">
              <a16:creationId xmlns:a16="http://schemas.microsoft.com/office/drawing/2014/main" id="{00000000-0008-0000-0D00-000008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801" name="ZoneTexte 1800" hidden="1">
          <a:extLst>
            <a:ext uri="{FF2B5EF4-FFF2-40B4-BE49-F238E27FC236}">
              <a16:creationId xmlns:a16="http://schemas.microsoft.com/office/drawing/2014/main" id="{00000000-0008-0000-0D00-00000907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802" name="ZoneTexte 1801" hidden="1">
          <a:extLst>
            <a:ext uri="{FF2B5EF4-FFF2-40B4-BE49-F238E27FC236}">
              <a16:creationId xmlns:a16="http://schemas.microsoft.com/office/drawing/2014/main" id="{00000000-0008-0000-0D00-00000A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803" name="ZoneTexte 1802" hidden="1">
          <a:extLst>
            <a:ext uri="{FF2B5EF4-FFF2-40B4-BE49-F238E27FC236}">
              <a16:creationId xmlns:a16="http://schemas.microsoft.com/office/drawing/2014/main" id="{00000000-0008-0000-0D00-00000B07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804" name="ZoneTexte 1803" hidden="1">
          <a:extLst>
            <a:ext uri="{FF2B5EF4-FFF2-40B4-BE49-F238E27FC236}">
              <a16:creationId xmlns:a16="http://schemas.microsoft.com/office/drawing/2014/main" id="{00000000-0008-0000-0D00-00000C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805" name="ZoneTexte 1804" hidden="1">
          <a:extLst>
            <a:ext uri="{FF2B5EF4-FFF2-40B4-BE49-F238E27FC236}">
              <a16:creationId xmlns:a16="http://schemas.microsoft.com/office/drawing/2014/main" id="{00000000-0008-0000-0D00-00000D07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806" name="ZoneTexte 1805" hidden="1">
          <a:extLst>
            <a:ext uri="{FF2B5EF4-FFF2-40B4-BE49-F238E27FC236}">
              <a16:creationId xmlns:a16="http://schemas.microsoft.com/office/drawing/2014/main" id="{00000000-0008-0000-0D00-00000E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807" name="ZoneTexte 1806" hidden="1">
          <a:extLst>
            <a:ext uri="{FF2B5EF4-FFF2-40B4-BE49-F238E27FC236}">
              <a16:creationId xmlns:a16="http://schemas.microsoft.com/office/drawing/2014/main" id="{00000000-0008-0000-0D00-00000F07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808" name="ZoneTexte 1807" hidden="1">
          <a:extLst>
            <a:ext uri="{FF2B5EF4-FFF2-40B4-BE49-F238E27FC236}">
              <a16:creationId xmlns:a16="http://schemas.microsoft.com/office/drawing/2014/main" id="{00000000-0008-0000-0D00-000010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809" name="ZoneTexte 1808" hidden="1">
          <a:extLst>
            <a:ext uri="{FF2B5EF4-FFF2-40B4-BE49-F238E27FC236}">
              <a16:creationId xmlns:a16="http://schemas.microsoft.com/office/drawing/2014/main" id="{00000000-0008-0000-0D00-00001107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810" name="ZoneTexte 1809" hidden="1">
          <a:extLst>
            <a:ext uri="{FF2B5EF4-FFF2-40B4-BE49-F238E27FC236}">
              <a16:creationId xmlns:a16="http://schemas.microsoft.com/office/drawing/2014/main" id="{00000000-0008-0000-0D00-000012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811" name="ZoneTexte 1810" hidden="1">
          <a:extLst>
            <a:ext uri="{FF2B5EF4-FFF2-40B4-BE49-F238E27FC236}">
              <a16:creationId xmlns:a16="http://schemas.microsoft.com/office/drawing/2014/main" id="{00000000-0008-0000-0D00-00001307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812" name="ZoneTexte 1811" hidden="1">
          <a:extLst>
            <a:ext uri="{FF2B5EF4-FFF2-40B4-BE49-F238E27FC236}">
              <a16:creationId xmlns:a16="http://schemas.microsoft.com/office/drawing/2014/main" id="{00000000-0008-0000-0D00-000014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813" name="ZoneTexte 1812" hidden="1">
          <a:extLst>
            <a:ext uri="{FF2B5EF4-FFF2-40B4-BE49-F238E27FC236}">
              <a16:creationId xmlns:a16="http://schemas.microsoft.com/office/drawing/2014/main" id="{00000000-0008-0000-0D00-00001507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814" name="ZoneTexte 1813" hidden="1">
          <a:extLst>
            <a:ext uri="{FF2B5EF4-FFF2-40B4-BE49-F238E27FC236}">
              <a16:creationId xmlns:a16="http://schemas.microsoft.com/office/drawing/2014/main" id="{00000000-0008-0000-0D00-000016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279</xdr:row>
      <xdr:rowOff>3706090</xdr:rowOff>
    </xdr:from>
    <xdr:to>
      <xdr:col>2</xdr:col>
      <xdr:colOff>5142675</xdr:colOff>
      <xdr:row>279</xdr:row>
      <xdr:rowOff>4005447</xdr:rowOff>
    </xdr:to>
    <xdr:sp macro="" textlink="">
      <xdr:nvSpPr>
        <xdr:cNvPr id="1815" name="ZoneTexte 1814" hidden="1">
          <a:extLst>
            <a:ext uri="{FF2B5EF4-FFF2-40B4-BE49-F238E27FC236}">
              <a16:creationId xmlns:a16="http://schemas.microsoft.com/office/drawing/2014/main" id="{00000000-0008-0000-0D00-000017070000}"/>
            </a:ext>
          </a:extLst>
        </xdr:cNvPr>
        <xdr:cNvSpPr txBox="1"/>
      </xdr:nvSpPr>
      <xdr:spPr>
        <a:xfrm>
          <a:off x="7766508" y="740679426"/>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816" name="ZoneTexte 1815" hidden="1">
          <a:extLst>
            <a:ext uri="{FF2B5EF4-FFF2-40B4-BE49-F238E27FC236}">
              <a16:creationId xmlns:a16="http://schemas.microsoft.com/office/drawing/2014/main" id="{00000000-0008-0000-0D00-000018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279</xdr:row>
      <xdr:rowOff>2412999</xdr:rowOff>
    </xdr:from>
    <xdr:to>
      <xdr:col>2</xdr:col>
      <xdr:colOff>5327402</xdr:colOff>
      <xdr:row>279</xdr:row>
      <xdr:rowOff>2712356</xdr:rowOff>
    </xdr:to>
    <xdr:sp macro="" textlink="">
      <xdr:nvSpPr>
        <xdr:cNvPr id="1817" name="ZoneTexte 1816" hidden="1">
          <a:extLst>
            <a:ext uri="{FF2B5EF4-FFF2-40B4-BE49-F238E27FC236}">
              <a16:creationId xmlns:a16="http://schemas.microsoft.com/office/drawing/2014/main" id="{00000000-0008-0000-0D00-000019070000}"/>
            </a:ext>
          </a:extLst>
        </xdr:cNvPr>
        <xdr:cNvSpPr txBox="1"/>
      </xdr:nvSpPr>
      <xdr:spPr>
        <a:xfrm>
          <a:off x="7951235" y="7406817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18" name="ZoneTexte 1817" hidden="1">
          <a:extLst>
            <a:ext uri="{FF2B5EF4-FFF2-40B4-BE49-F238E27FC236}">
              <a16:creationId xmlns:a16="http://schemas.microsoft.com/office/drawing/2014/main" id="{00000000-0008-0000-0D00-00001A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19" name="ZoneTexte 1818" hidden="1">
          <a:extLst>
            <a:ext uri="{FF2B5EF4-FFF2-40B4-BE49-F238E27FC236}">
              <a16:creationId xmlns:a16="http://schemas.microsoft.com/office/drawing/2014/main" id="{00000000-0008-0000-0D00-00001B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20" name="ZoneTexte 1819" hidden="1">
          <a:extLst>
            <a:ext uri="{FF2B5EF4-FFF2-40B4-BE49-F238E27FC236}">
              <a16:creationId xmlns:a16="http://schemas.microsoft.com/office/drawing/2014/main" id="{00000000-0008-0000-0D00-00001C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21" name="ZoneTexte 1820" hidden="1">
          <a:extLst>
            <a:ext uri="{FF2B5EF4-FFF2-40B4-BE49-F238E27FC236}">
              <a16:creationId xmlns:a16="http://schemas.microsoft.com/office/drawing/2014/main" id="{00000000-0008-0000-0D00-00001D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22" name="ZoneTexte 1821" hidden="1">
          <a:extLst>
            <a:ext uri="{FF2B5EF4-FFF2-40B4-BE49-F238E27FC236}">
              <a16:creationId xmlns:a16="http://schemas.microsoft.com/office/drawing/2014/main" id="{00000000-0008-0000-0D00-00001E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23" name="ZoneTexte 1822" hidden="1">
          <a:extLst>
            <a:ext uri="{FF2B5EF4-FFF2-40B4-BE49-F238E27FC236}">
              <a16:creationId xmlns:a16="http://schemas.microsoft.com/office/drawing/2014/main" id="{00000000-0008-0000-0D00-00001F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24" name="ZoneTexte 1823" hidden="1">
          <a:extLst>
            <a:ext uri="{FF2B5EF4-FFF2-40B4-BE49-F238E27FC236}">
              <a16:creationId xmlns:a16="http://schemas.microsoft.com/office/drawing/2014/main" id="{00000000-0008-0000-0D00-000020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25" name="ZoneTexte 1824" hidden="1">
          <a:extLst>
            <a:ext uri="{FF2B5EF4-FFF2-40B4-BE49-F238E27FC236}">
              <a16:creationId xmlns:a16="http://schemas.microsoft.com/office/drawing/2014/main" id="{00000000-0008-0000-0D00-000021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26" name="ZoneTexte 1825" hidden="1">
          <a:extLst>
            <a:ext uri="{FF2B5EF4-FFF2-40B4-BE49-F238E27FC236}">
              <a16:creationId xmlns:a16="http://schemas.microsoft.com/office/drawing/2014/main" id="{00000000-0008-0000-0D00-000022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27" name="ZoneTexte 1826" hidden="1">
          <a:extLst>
            <a:ext uri="{FF2B5EF4-FFF2-40B4-BE49-F238E27FC236}">
              <a16:creationId xmlns:a16="http://schemas.microsoft.com/office/drawing/2014/main" id="{00000000-0008-0000-0D00-000023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28" name="ZoneTexte 1827" hidden="1">
          <a:extLst>
            <a:ext uri="{FF2B5EF4-FFF2-40B4-BE49-F238E27FC236}">
              <a16:creationId xmlns:a16="http://schemas.microsoft.com/office/drawing/2014/main" id="{00000000-0008-0000-0D00-000024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29" name="ZoneTexte 1828" hidden="1">
          <a:extLst>
            <a:ext uri="{FF2B5EF4-FFF2-40B4-BE49-F238E27FC236}">
              <a16:creationId xmlns:a16="http://schemas.microsoft.com/office/drawing/2014/main" id="{00000000-0008-0000-0D00-000025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30" name="ZoneTexte 1829" hidden="1">
          <a:extLst>
            <a:ext uri="{FF2B5EF4-FFF2-40B4-BE49-F238E27FC236}">
              <a16:creationId xmlns:a16="http://schemas.microsoft.com/office/drawing/2014/main" id="{00000000-0008-0000-0D00-000026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31" name="ZoneTexte 1830" hidden="1">
          <a:extLst>
            <a:ext uri="{FF2B5EF4-FFF2-40B4-BE49-F238E27FC236}">
              <a16:creationId xmlns:a16="http://schemas.microsoft.com/office/drawing/2014/main" id="{00000000-0008-0000-0D00-000027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32" name="ZoneTexte 1831" hidden="1">
          <a:extLst>
            <a:ext uri="{FF2B5EF4-FFF2-40B4-BE49-F238E27FC236}">
              <a16:creationId xmlns:a16="http://schemas.microsoft.com/office/drawing/2014/main" id="{00000000-0008-0000-0D00-000028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33" name="ZoneTexte 1832" hidden="1">
          <a:extLst>
            <a:ext uri="{FF2B5EF4-FFF2-40B4-BE49-F238E27FC236}">
              <a16:creationId xmlns:a16="http://schemas.microsoft.com/office/drawing/2014/main" id="{00000000-0008-0000-0D00-000029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34" name="ZoneTexte 1833" hidden="1">
          <a:extLst>
            <a:ext uri="{FF2B5EF4-FFF2-40B4-BE49-F238E27FC236}">
              <a16:creationId xmlns:a16="http://schemas.microsoft.com/office/drawing/2014/main" id="{00000000-0008-0000-0D00-00002A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35" name="ZoneTexte 1834" hidden="1">
          <a:extLst>
            <a:ext uri="{FF2B5EF4-FFF2-40B4-BE49-F238E27FC236}">
              <a16:creationId xmlns:a16="http://schemas.microsoft.com/office/drawing/2014/main" id="{00000000-0008-0000-0D00-00002B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36" name="ZoneTexte 1835" hidden="1">
          <a:extLst>
            <a:ext uri="{FF2B5EF4-FFF2-40B4-BE49-F238E27FC236}">
              <a16:creationId xmlns:a16="http://schemas.microsoft.com/office/drawing/2014/main" id="{00000000-0008-0000-0D00-00002C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37" name="ZoneTexte 1836" hidden="1">
          <a:extLst>
            <a:ext uri="{FF2B5EF4-FFF2-40B4-BE49-F238E27FC236}">
              <a16:creationId xmlns:a16="http://schemas.microsoft.com/office/drawing/2014/main" id="{00000000-0008-0000-0D00-00002D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38" name="ZoneTexte 1837" hidden="1">
          <a:extLst>
            <a:ext uri="{FF2B5EF4-FFF2-40B4-BE49-F238E27FC236}">
              <a16:creationId xmlns:a16="http://schemas.microsoft.com/office/drawing/2014/main" id="{00000000-0008-0000-0D00-00002E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39" name="ZoneTexte 1838" hidden="1">
          <a:extLst>
            <a:ext uri="{FF2B5EF4-FFF2-40B4-BE49-F238E27FC236}">
              <a16:creationId xmlns:a16="http://schemas.microsoft.com/office/drawing/2014/main" id="{00000000-0008-0000-0D00-00002F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40" name="ZoneTexte 1839" hidden="1">
          <a:extLst>
            <a:ext uri="{FF2B5EF4-FFF2-40B4-BE49-F238E27FC236}">
              <a16:creationId xmlns:a16="http://schemas.microsoft.com/office/drawing/2014/main" id="{00000000-0008-0000-0D00-000030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41" name="ZoneTexte 1840" hidden="1">
          <a:extLst>
            <a:ext uri="{FF2B5EF4-FFF2-40B4-BE49-F238E27FC236}">
              <a16:creationId xmlns:a16="http://schemas.microsoft.com/office/drawing/2014/main" id="{00000000-0008-0000-0D00-000031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42" name="ZoneTexte 1841" hidden="1">
          <a:extLst>
            <a:ext uri="{FF2B5EF4-FFF2-40B4-BE49-F238E27FC236}">
              <a16:creationId xmlns:a16="http://schemas.microsoft.com/office/drawing/2014/main" id="{00000000-0008-0000-0D00-000032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43" name="ZoneTexte 1842" hidden="1">
          <a:extLst>
            <a:ext uri="{FF2B5EF4-FFF2-40B4-BE49-F238E27FC236}">
              <a16:creationId xmlns:a16="http://schemas.microsoft.com/office/drawing/2014/main" id="{00000000-0008-0000-0D00-000033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44" name="ZoneTexte 1843" hidden="1">
          <a:extLst>
            <a:ext uri="{FF2B5EF4-FFF2-40B4-BE49-F238E27FC236}">
              <a16:creationId xmlns:a16="http://schemas.microsoft.com/office/drawing/2014/main" id="{00000000-0008-0000-0D00-000034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45" name="ZoneTexte 1844" hidden="1">
          <a:extLst>
            <a:ext uri="{FF2B5EF4-FFF2-40B4-BE49-F238E27FC236}">
              <a16:creationId xmlns:a16="http://schemas.microsoft.com/office/drawing/2014/main" id="{00000000-0008-0000-0D00-000035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46" name="ZoneTexte 1845" hidden="1">
          <a:extLst>
            <a:ext uri="{FF2B5EF4-FFF2-40B4-BE49-F238E27FC236}">
              <a16:creationId xmlns:a16="http://schemas.microsoft.com/office/drawing/2014/main" id="{00000000-0008-0000-0D00-000036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47" name="ZoneTexte 1846" hidden="1">
          <a:extLst>
            <a:ext uri="{FF2B5EF4-FFF2-40B4-BE49-F238E27FC236}">
              <a16:creationId xmlns:a16="http://schemas.microsoft.com/office/drawing/2014/main" id="{00000000-0008-0000-0D00-000037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48" name="ZoneTexte 1847" hidden="1">
          <a:extLst>
            <a:ext uri="{FF2B5EF4-FFF2-40B4-BE49-F238E27FC236}">
              <a16:creationId xmlns:a16="http://schemas.microsoft.com/office/drawing/2014/main" id="{00000000-0008-0000-0D00-000038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49" name="ZoneTexte 1848" hidden="1">
          <a:extLst>
            <a:ext uri="{FF2B5EF4-FFF2-40B4-BE49-F238E27FC236}">
              <a16:creationId xmlns:a16="http://schemas.microsoft.com/office/drawing/2014/main" id="{00000000-0008-0000-0D00-000039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50" name="ZoneTexte 1849" hidden="1">
          <a:extLst>
            <a:ext uri="{FF2B5EF4-FFF2-40B4-BE49-F238E27FC236}">
              <a16:creationId xmlns:a16="http://schemas.microsoft.com/office/drawing/2014/main" id="{00000000-0008-0000-0D00-00003A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51" name="ZoneTexte 1850" hidden="1">
          <a:extLst>
            <a:ext uri="{FF2B5EF4-FFF2-40B4-BE49-F238E27FC236}">
              <a16:creationId xmlns:a16="http://schemas.microsoft.com/office/drawing/2014/main" id="{00000000-0008-0000-0D00-00003B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52" name="ZoneTexte 1851" hidden="1">
          <a:extLst>
            <a:ext uri="{FF2B5EF4-FFF2-40B4-BE49-F238E27FC236}">
              <a16:creationId xmlns:a16="http://schemas.microsoft.com/office/drawing/2014/main" id="{00000000-0008-0000-0D00-00003C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53" name="ZoneTexte 1852" hidden="1">
          <a:extLst>
            <a:ext uri="{FF2B5EF4-FFF2-40B4-BE49-F238E27FC236}">
              <a16:creationId xmlns:a16="http://schemas.microsoft.com/office/drawing/2014/main" id="{00000000-0008-0000-0D00-00003D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54" name="ZoneTexte 1853" hidden="1">
          <a:extLst>
            <a:ext uri="{FF2B5EF4-FFF2-40B4-BE49-F238E27FC236}">
              <a16:creationId xmlns:a16="http://schemas.microsoft.com/office/drawing/2014/main" id="{00000000-0008-0000-0D00-00003E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55" name="ZoneTexte 1854" hidden="1">
          <a:extLst>
            <a:ext uri="{FF2B5EF4-FFF2-40B4-BE49-F238E27FC236}">
              <a16:creationId xmlns:a16="http://schemas.microsoft.com/office/drawing/2014/main" id="{00000000-0008-0000-0D00-00003F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56" name="ZoneTexte 1855" hidden="1">
          <a:extLst>
            <a:ext uri="{FF2B5EF4-FFF2-40B4-BE49-F238E27FC236}">
              <a16:creationId xmlns:a16="http://schemas.microsoft.com/office/drawing/2014/main" id="{00000000-0008-0000-0D00-000040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57" name="ZoneTexte 1856" hidden="1">
          <a:extLst>
            <a:ext uri="{FF2B5EF4-FFF2-40B4-BE49-F238E27FC236}">
              <a16:creationId xmlns:a16="http://schemas.microsoft.com/office/drawing/2014/main" id="{00000000-0008-0000-0D00-000041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58" name="ZoneTexte 1857" hidden="1">
          <a:extLst>
            <a:ext uri="{FF2B5EF4-FFF2-40B4-BE49-F238E27FC236}">
              <a16:creationId xmlns:a16="http://schemas.microsoft.com/office/drawing/2014/main" id="{00000000-0008-0000-0D00-000042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59" name="ZoneTexte 1858" hidden="1">
          <a:extLst>
            <a:ext uri="{FF2B5EF4-FFF2-40B4-BE49-F238E27FC236}">
              <a16:creationId xmlns:a16="http://schemas.microsoft.com/office/drawing/2014/main" id="{00000000-0008-0000-0D00-000043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280</xdr:row>
      <xdr:rowOff>2412999</xdr:rowOff>
    </xdr:from>
    <xdr:to>
      <xdr:col>2</xdr:col>
      <xdr:colOff>5327402</xdr:colOff>
      <xdr:row>280</xdr:row>
      <xdr:rowOff>2712356</xdr:rowOff>
    </xdr:to>
    <xdr:sp macro="" textlink="">
      <xdr:nvSpPr>
        <xdr:cNvPr id="1860" name="ZoneTexte 1859" hidden="1">
          <a:extLst>
            <a:ext uri="{FF2B5EF4-FFF2-40B4-BE49-F238E27FC236}">
              <a16:creationId xmlns:a16="http://schemas.microsoft.com/office/drawing/2014/main" id="{00000000-0008-0000-0D00-000044070000}"/>
            </a:ext>
          </a:extLst>
        </xdr:cNvPr>
        <xdr:cNvSpPr txBox="1"/>
      </xdr:nvSpPr>
      <xdr:spPr>
        <a:xfrm>
          <a:off x="7947496" y="860065682"/>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61" name="ZoneTexte 1860" hidden="1">
          <a:extLst>
            <a:ext uri="{FF2B5EF4-FFF2-40B4-BE49-F238E27FC236}">
              <a16:creationId xmlns:a16="http://schemas.microsoft.com/office/drawing/2014/main" id="{00000000-0008-0000-0D00-000045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280</xdr:row>
      <xdr:rowOff>2412999</xdr:rowOff>
    </xdr:from>
    <xdr:to>
      <xdr:col>2</xdr:col>
      <xdr:colOff>5327402</xdr:colOff>
      <xdr:row>280</xdr:row>
      <xdr:rowOff>2712356</xdr:rowOff>
    </xdr:to>
    <xdr:sp macro="" textlink="">
      <xdr:nvSpPr>
        <xdr:cNvPr id="1862" name="ZoneTexte 1861" hidden="1">
          <a:extLst>
            <a:ext uri="{FF2B5EF4-FFF2-40B4-BE49-F238E27FC236}">
              <a16:creationId xmlns:a16="http://schemas.microsoft.com/office/drawing/2014/main" id="{00000000-0008-0000-0D00-000046070000}"/>
            </a:ext>
          </a:extLst>
        </xdr:cNvPr>
        <xdr:cNvSpPr txBox="1"/>
      </xdr:nvSpPr>
      <xdr:spPr>
        <a:xfrm>
          <a:off x="7947496" y="860065682"/>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63" name="ZoneTexte 1862" hidden="1">
          <a:extLst>
            <a:ext uri="{FF2B5EF4-FFF2-40B4-BE49-F238E27FC236}">
              <a16:creationId xmlns:a16="http://schemas.microsoft.com/office/drawing/2014/main" id="{00000000-0008-0000-0D00-000047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64" name="ZoneTexte 1863" hidden="1">
          <a:extLst>
            <a:ext uri="{FF2B5EF4-FFF2-40B4-BE49-F238E27FC236}">
              <a16:creationId xmlns:a16="http://schemas.microsoft.com/office/drawing/2014/main" id="{00000000-0008-0000-0D00-000048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294</xdr:row>
      <xdr:rowOff>2412999</xdr:rowOff>
    </xdr:from>
    <xdr:to>
      <xdr:col>2</xdr:col>
      <xdr:colOff>5327402</xdr:colOff>
      <xdr:row>294</xdr:row>
      <xdr:rowOff>2712356</xdr:rowOff>
    </xdr:to>
    <xdr:sp macro="" textlink="">
      <xdr:nvSpPr>
        <xdr:cNvPr id="1865" name="ZoneTexte 1864" hidden="1">
          <a:extLst>
            <a:ext uri="{FF2B5EF4-FFF2-40B4-BE49-F238E27FC236}">
              <a16:creationId xmlns:a16="http://schemas.microsoft.com/office/drawing/2014/main" id="{00000000-0008-0000-0D00-000049070000}"/>
            </a:ext>
          </a:extLst>
        </xdr:cNvPr>
        <xdr:cNvSpPr txBox="1"/>
      </xdr:nvSpPr>
      <xdr:spPr>
        <a:xfrm>
          <a:off x="7947496" y="90900714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280</xdr:row>
      <xdr:rowOff>2412999</xdr:rowOff>
    </xdr:from>
    <xdr:to>
      <xdr:col>2</xdr:col>
      <xdr:colOff>5327402</xdr:colOff>
      <xdr:row>280</xdr:row>
      <xdr:rowOff>2712356</xdr:rowOff>
    </xdr:to>
    <xdr:sp macro="" textlink="">
      <xdr:nvSpPr>
        <xdr:cNvPr id="1866" name="ZoneTexte 1865" hidden="1">
          <a:extLst>
            <a:ext uri="{FF2B5EF4-FFF2-40B4-BE49-F238E27FC236}">
              <a16:creationId xmlns:a16="http://schemas.microsoft.com/office/drawing/2014/main" id="{00000000-0008-0000-0D00-00004A070000}"/>
            </a:ext>
          </a:extLst>
        </xdr:cNvPr>
        <xdr:cNvSpPr txBox="1"/>
      </xdr:nvSpPr>
      <xdr:spPr>
        <a:xfrm>
          <a:off x="7947496" y="860065682"/>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280</xdr:row>
      <xdr:rowOff>2412999</xdr:rowOff>
    </xdr:from>
    <xdr:to>
      <xdr:col>2</xdr:col>
      <xdr:colOff>5327402</xdr:colOff>
      <xdr:row>280</xdr:row>
      <xdr:rowOff>2712356</xdr:rowOff>
    </xdr:to>
    <xdr:sp macro="" textlink="">
      <xdr:nvSpPr>
        <xdr:cNvPr id="1867" name="ZoneTexte 1866" hidden="1">
          <a:extLst>
            <a:ext uri="{FF2B5EF4-FFF2-40B4-BE49-F238E27FC236}">
              <a16:creationId xmlns:a16="http://schemas.microsoft.com/office/drawing/2014/main" id="{00000000-0008-0000-0D00-00004B070000}"/>
            </a:ext>
          </a:extLst>
        </xdr:cNvPr>
        <xdr:cNvSpPr txBox="1"/>
      </xdr:nvSpPr>
      <xdr:spPr>
        <a:xfrm>
          <a:off x="7947496" y="860065682"/>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280</xdr:row>
      <xdr:rowOff>2412999</xdr:rowOff>
    </xdr:from>
    <xdr:to>
      <xdr:col>2</xdr:col>
      <xdr:colOff>5327402</xdr:colOff>
      <xdr:row>280</xdr:row>
      <xdr:rowOff>2712356</xdr:rowOff>
    </xdr:to>
    <xdr:sp macro="" textlink="">
      <xdr:nvSpPr>
        <xdr:cNvPr id="1868" name="ZoneTexte 1867" hidden="1">
          <a:extLst>
            <a:ext uri="{FF2B5EF4-FFF2-40B4-BE49-F238E27FC236}">
              <a16:creationId xmlns:a16="http://schemas.microsoft.com/office/drawing/2014/main" id="{00000000-0008-0000-0D00-00004C070000}"/>
            </a:ext>
          </a:extLst>
        </xdr:cNvPr>
        <xdr:cNvSpPr txBox="1"/>
      </xdr:nvSpPr>
      <xdr:spPr>
        <a:xfrm>
          <a:off x="7947496" y="860065682"/>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280</xdr:row>
      <xdr:rowOff>2412999</xdr:rowOff>
    </xdr:from>
    <xdr:to>
      <xdr:col>2</xdr:col>
      <xdr:colOff>5327402</xdr:colOff>
      <xdr:row>280</xdr:row>
      <xdr:rowOff>2712356</xdr:rowOff>
    </xdr:to>
    <xdr:sp macro="" textlink="">
      <xdr:nvSpPr>
        <xdr:cNvPr id="1869" name="ZoneTexte 1868" hidden="1">
          <a:extLst>
            <a:ext uri="{FF2B5EF4-FFF2-40B4-BE49-F238E27FC236}">
              <a16:creationId xmlns:a16="http://schemas.microsoft.com/office/drawing/2014/main" id="{00000000-0008-0000-0D00-00004D070000}"/>
            </a:ext>
          </a:extLst>
        </xdr:cNvPr>
        <xdr:cNvSpPr txBox="1"/>
      </xdr:nvSpPr>
      <xdr:spPr>
        <a:xfrm>
          <a:off x="7947496" y="860065682"/>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280</xdr:row>
      <xdr:rowOff>2412999</xdr:rowOff>
    </xdr:from>
    <xdr:to>
      <xdr:col>2</xdr:col>
      <xdr:colOff>5327402</xdr:colOff>
      <xdr:row>280</xdr:row>
      <xdr:rowOff>2712356</xdr:rowOff>
    </xdr:to>
    <xdr:sp macro="" textlink="">
      <xdr:nvSpPr>
        <xdr:cNvPr id="1870" name="ZoneTexte 1869" hidden="1">
          <a:extLst>
            <a:ext uri="{FF2B5EF4-FFF2-40B4-BE49-F238E27FC236}">
              <a16:creationId xmlns:a16="http://schemas.microsoft.com/office/drawing/2014/main" id="{00000000-0008-0000-0D00-00004E070000}"/>
            </a:ext>
          </a:extLst>
        </xdr:cNvPr>
        <xdr:cNvSpPr txBox="1"/>
      </xdr:nvSpPr>
      <xdr:spPr>
        <a:xfrm>
          <a:off x="7947496" y="860065682"/>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280</xdr:row>
      <xdr:rowOff>2412999</xdr:rowOff>
    </xdr:from>
    <xdr:to>
      <xdr:col>2</xdr:col>
      <xdr:colOff>5327402</xdr:colOff>
      <xdr:row>280</xdr:row>
      <xdr:rowOff>2712356</xdr:rowOff>
    </xdr:to>
    <xdr:sp macro="" textlink="">
      <xdr:nvSpPr>
        <xdr:cNvPr id="1871" name="ZoneTexte 1870" hidden="1">
          <a:extLst>
            <a:ext uri="{FF2B5EF4-FFF2-40B4-BE49-F238E27FC236}">
              <a16:creationId xmlns:a16="http://schemas.microsoft.com/office/drawing/2014/main" id="{00000000-0008-0000-0D00-00004F070000}"/>
            </a:ext>
          </a:extLst>
        </xdr:cNvPr>
        <xdr:cNvSpPr txBox="1"/>
      </xdr:nvSpPr>
      <xdr:spPr>
        <a:xfrm>
          <a:off x="7947496" y="860065682"/>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280</xdr:row>
      <xdr:rowOff>2412999</xdr:rowOff>
    </xdr:from>
    <xdr:to>
      <xdr:col>2</xdr:col>
      <xdr:colOff>5327402</xdr:colOff>
      <xdr:row>280</xdr:row>
      <xdr:rowOff>2712356</xdr:rowOff>
    </xdr:to>
    <xdr:sp macro="" textlink="">
      <xdr:nvSpPr>
        <xdr:cNvPr id="1872" name="ZoneTexte 1871" hidden="1">
          <a:extLst>
            <a:ext uri="{FF2B5EF4-FFF2-40B4-BE49-F238E27FC236}">
              <a16:creationId xmlns:a16="http://schemas.microsoft.com/office/drawing/2014/main" id="{00000000-0008-0000-0D00-000050070000}"/>
            </a:ext>
          </a:extLst>
        </xdr:cNvPr>
        <xdr:cNvSpPr txBox="1"/>
      </xdr:nvSpPr>
      <xdr:spPr>
        <a:xfrm>
          <a:off x="7947496" y="860065682"/>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280</xdr:row>
      <xdr:rowOff>2412999</xdr:rowOff>
    </xdr:from>
    <xdr:to>
      <xdr:col>2</xdr:col>
      <xdr:colOff>5327402</xdr:colOff>
      <xdr:row>280</xdr:row>
      <xdr:rowOff>2712356</xdr:rowOff>
    </xdr:to>
    <xdr:sp macro="" textlink="">
      <xdr:nvSpPr>
        <xdr:cNvPr id="1873" name="ZoneTexte 1872" hidden="1">
          <a:extLst>
            <a:ext uri="{FF2B5EF4-FFF2-40B4-BE49-F238E27FC236}">
              <a16:creationId xmlns:a16="http://schemas.microsoft.com/office/drawing/2014/main" id="{00000000-0008-0000-0D00-000051070000}"/>
            </a:ext>
          </a:extLst>
        </xdr:cNvPr>
        <xdr:cNvSpPr txBox="1"/>
      </xdr:nvSpPr>
      <xdr:spPr>
        <a:xfrm>
          <a:off x="7947496" y="860065682"/>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74" name="ZoneTexte 1873" hidden="1">
          <a:extLst>
            <a:ext uri="{FF2B5EF4-FFF2-40B4-BE49-F238E27FC236}">
              <a16:creationId xmlns:a16="http://schemas.microsoft.com/office/drawing/2014/main" id="{00000000-0008-0000-0D00-000052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75" name="ZoneTexte 1874" hidden="1">
          <a:extLst>
            <a:ext uri="{FF2B5EF4-FFF2-40B4-BE49-F238E27FC236}">
              <a16:creationId xmlns:a16="http://schemas.microsoft.com/office/drawing/2014/main" id="{00000000-0008-0000-0D00-000053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76" name="ZoneTexte 1875" hidden="1">
          <a:extLst>
            <a:ext uri="{FF2B5EF4-FFF2-40B4-BE49-F238E27FC236}">
              <a16:creationId xmlns:a16="http://schemas.microsoft.com/office/drawing/2014/main" id="{00000000-0008-0000-0D00-000054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77" name="ZoneTexte 1876" hidden="1">
          <a:extLst>
            <a:ext uri="{FF2B5EF4-FFF2-40B4-BE49-F238E27FC236}">
              <a16:creationId xmlns:a16="http://schemas.microsoft.com/office/drawing/2014/main" id="{00000000-0008-0000-0D00-000055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78" name="ZoneTexte 1877" hidden="1">
          <a:extLst>
            <a:ext uri="{FF2B5EF4-FFF2-40B4-BE49-F238E27FC236}">
              <a16:creationId xmlns:a16="http://schemas.microsoft.com/office/drawing/2014/main" id="{00000000-0008-0000-0D00-000056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79" name="ZoneTexte 1878" hidden="1">
          <a:extLst>
            <a:ext uri="{FF2B5EF4-FFF2-40B4-BE49-F238E27FC236}">
              <a16:creationId xmlns:a16="http://schemas.microsoft.com/office/drawing/2014/main" id="{00000000-0008-0000-0D00-000057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80" name="ZoneTexte 1879" hidden="1">
          <a:extLst>
            <a:ext uri="{FF2B5EF4-FFF2-40B4-BE49-F238E27FC236}">
              <a16:creationId xmlns:a16="http://schemas.microsoft.com/office/drawing/2014/main" id="{00000000-0008-0000-0D00-000058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81" name="ZoneTexte 1880" hidden="1">
          <a:extLst>
            <a:ext uri="{FF2B5EF4-FFF2-40B4-BE49-F238E27FC236}">
              <a16:creationId xmlns:a16="http://schemas.microsoft.com/office/drawing/2014/main" id="{00000000-0008-0000-0D00-000059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82" name="ZoneTexte 1881" hidden="1">
          <a:extLst>
            <a:ext uri="{FF2B5EF4-FFF2-40B4-BE49-F238E27FC236}">
              <a16:creationId xmlns:a16="http://schemas.microsoft.com/office/drawing/2014/main" id="{00000000-0008-0000-0D00-00005A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83" name="ZoneTexte 1882" hidden="1">
          <a:extLst>
            <a:ext uri="{FF2B5EF4-FFF2-40B4-BE49-F238E27FC236}">
              <a16:creationId xmlns:a16="http://schemas.microsoft.com/office/drawing/2014/main" id="{00000000-0008-0000-0D00-00005B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84" name="ZoneTexte 1883" hidden="1">
          <a:extLst>
            <a:ext uri="{FF2B5EF4-FFF2-40B4-BE49-F238E27FC236}">
              <a16:creationId xmlns:a16="http://schemas.microsoft.com/office/drawing/2014/main" id="{00000000-0008-0000-0D00-00005C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85" name="ZoneTexte 1884" hidden="1">
          <a:extLst>
            <a:ext uri="{FF2B5EF4-FFF2-40B4-BE49-F238E27FC236}">
              <a16:creationId xmlns:a16="http://schemas.microsoft.com/office/drawing/2014/main" id="{00000000-0008-0000-0D00-00005D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86" name="ZoneTexte 1885" hidden="1">
          <a:extLst>
            <a:ext uri="{FF2B5EF4-FFF2-40B4-BE49-F238E27FC236}">
              <a16:creationId xmlns:a16="http://schemas.microsoft.com/office/drawing/2014/main" id="{00000000-0008-0000-0D00-00005E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87" name="ZoneTexte 1886" hidden="1">
          <a:extLst>
            <a:ext uri="{FF2B5EF4-FFF2-40B4-BE49-F238E27FC236}">
              <a16:creationId xmlns:a16="http://schemas.microsoft.com/office/drawing/2014/main" id="{00000000-0008-0000-0D00-00005F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88" name="ZoneTexte 1887" hidden="1">
          <a:extLst>
            <a:ext uri="{FF2B5EF4-FFF2-40B4-BE49-F238E27FC236}">
              <a16:creationId xmlns:a16="http://schemas.microsoft.com/office/drawing/2014/main" id="{00000000-0008-0000-0D00-000060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89" name="ZoneTexte 1888" hidden="1">
          <a:extLst>
            <a:ext uri="{FF2B5EF4-FFF2-40B4-BE49-F238E27FC236}">
              <a16:creationId xmlns:a16="http://schemas.microsoft.com/office/drawing/2014/main" id="{00000000-0008-0000-0D00-000061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90" name="ZoneTexte 1889" hidden="1">
          <a:extLst>
            <a:ext uri="{FF2B5EF4-FFF2-40B4-BE49-F238E27FC236}">
              <a16:creationId xmlns:a16="http://schemas.microsoft.com/office/drawing/2014/main" id="{00000000-0008-0000-0D00-000062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91" name="ZoneTexte 1890" hidden="1">
          <a:extLst>
            <a:ext uri="{FF2B5EF4-FFF2-40B4-BE49-F238E27FC236}">
              <a16:creationId xmlns:a16="http://schemas.microsoft.com/office/drawing/2014/main" id="{00000000-0008-0000-0D00-000063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92" name="ZoneTexte 1891" hidden="1">
          <a:extLst>
            <a:ext uri="{FF2B5EF4-FFF2-40B4-BE49-F238E27FC236}">
              <a16:creationId xmlns:a16="http://schemas.microsoft.com/office/drawing/2014/main" id="{00000000-0008-0000-0D00-000064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93" name="ZoneTexte 1892" hidden="1">
          <a:extLst>
            <a:ext uri="{FF2B5EF4-FFF2-40B4-BE49-F238E27FC236}">
              <a16:creationId xmlns:a16="http://schemas.microsoft.com/office/drawing/2014/main" id="{00000000-0008-0000-0D00-000065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94" name="ZoneTexte 1893" hidden="1">
          <a:extLst>
            <a:ext uri="{FF2B5EF4-FFF2-40B4-BE49-F238E27FC236}">
              <a16:creationId xmlns:a16="http://schemas.microsoft.com/office/drawing/2014/main" id="{00000000-0008-0000-0D00-000066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95" name="ZoneTexte 1894" hidden="1">
          <a:extLst>
            <a:ext uri="{FF2B5EF4-FFF2-40B4-BE49-F238E27FC236}">
              <a16:creationId xmlns:a16="http://schemas.microsoft.com/office/drawing/2014/main" id="{00000000-0008-0000-0D00-000067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96" name="ZoneTexte 1895" hidden="1">
          <a:extLst>
            <a:ext uri="{FF2B5EF4-FFF2-40B4-BE49-F238E27FC236}">
              <a16:creationId xmlns:a16="http://schemas.microsoft.com/office/drawing/2014/main" id="{00000000-0008-0000-0D00-000068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97" name="ZoneTexte 1896" hidden="1">
          <a:extLst>
            <a:ext uri="{FF2B5EF4-FFF2-40B4-BE49-F238E27FC236}">
              <a16:creationId xmlns:a16="http://schemas.microsoft.com/office/drawing/2014/main" id="{00000000-0008-0000-0D00-000069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98" name="ZoneTexte 1897" hidden="1">
          <a:extLst>
            <a:ext uri="{FF2B5EF4-FFF2-40B4-BE49-F238E27FC236}">
              <a16:creationId xmlns:a16="http://schemas.microsoft.com/office/drawing/2014/main" id="{00000000-0008-0000-0D00-00006A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899" name="ZoneTexte 1898" hidden="1">
          <a:extLst>
            <a:ext uri="{FF2B5EF4-FFF2-40B4-BE49-F238E27FC236}">
              <a16:creationId xmlns:a16="http://schemas.microsoft.com/office/drawing/2014/main" id="{00000000-0008-0000-0D00-00006B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900" name="ZoneTexte 1899" hidden="1">
          <a:extLst>
            <a:ext uri="{FF2B5EF4-FFF2-40B4-BE49-F238E27FC236}">
              <a16:creationId xmlns:a16="http://schemas.microsoft.com/office/drawing/2014/main" id="{00000000-0008-0000-0D00-00006C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901" name="ZoneTexte 1900" hidden="1">
          <a:extLst>
            <a:ext uri="{FF2B5EF4-FFF2-40B4-BE49-F238E27FC236}">
              <a16:creationId xmlns:a16="http://schemas.microsoft.com/office/drawing/2014/main" id="{00000000-0008-0000-0D00-00006D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902" name="ZoneTexte 1901" hidden="1">
          <a:extLst>
            <a:ext uri="{FF2B5EF4-FFF2-40B4-BE49-F238E27FC236}">
              <a16:creationId xmlns:a16="http://schemas.microsoft.com/office/drawing/2014/main" id="{00000000-0008-0000-0D00-00006E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285</xdr:row>
      <xdr:rowOff>2412999</xdr:rowOff>
    </xdr:from>
    <xdr:to>
      <xdr:col>2</xdr:col>
      <xdr:colOff>5327402</xdr:colOff>
      <xdr:row>285</xdr:row>
      <xdr:rowOff>2712356</xdr:rowOff>
    </xdr:to>
    <xdr:sp macro="" textlink="">
      <xdr:nvSpPr>
        <xdr:cNvPr id="1903" name="ZoneTexte 1902" hidden="1">
          <a:extLst>
            <a:ext uri="{FF2B5EF4-FFF2-40B4-BE49-F238E27FC236}">
              <a16:creationId xmlns:a16="http://schemas.microsoft.com/office/drawing/2014/main" id="{00000000-0008-0000-0D00-00006F070000}"/>
            </a:ext>
          </a:extLst>
        </xdr:cNvPr>
        <xdr:cNvSpPr txBox="1"/>
      </xdr:nvSpPr>
      <xdr:spPr>
        <a:xfrm>
          <a:off x="7947496" y="879595804"/>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04" name="ZoneTexte 1903" hidden="1">
          <a:extLst>
            <a:ext uri="{FF2B5EF4-FFF2-40B4-BE49-F238E27FC236}">
              <a16:creationId xmlns:a16="http://schemas.microsoft.com/office/drawing/2014/main" id="{00000000-0008-0000-0D00-000070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05" name="ZoneTexte 1904" hidden="1">
          <a:extLst>
            <a:ext uri="{FF2B5EF4-FFF2-40B4-BE49-F238E27FC236}">
              <a16:creationId xmlns:a16="http://schemas.microsoft.com/office/drawing/2014/main" id="{00000000-0008-0000-0D00-000071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06" name="ZoneTexte 1905" hidden="1">
          <a:extLst>
            <a:ext uri="{FF2B5EF4-FFF2-40B4-BE49-F238E27FC236}">
              <a16:creationId xmlns:a16="http://schemas.microsoft.com/office/drawing/2014/main" id="{00000000-0008-0000-0D00-000072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07" name="ZoneTexte 1906" hidden="1">
          <a:extLst>
            <a:ext uri="{FF2B5EF4-FFF2-40B4-BE49-F238E27FC236}">
              <a16:creationId xmlns:a16="http://schemas.microsoft.com/office/drawing/2014/main" id="{00000000-0008-0000-0D00-000073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08" name="ZoneTexte 1907" hidden="1">
          <a:extLst>
            <a:ext uri="{FF2B5EF4-FFF2-40B4-BE49-F238E27FC236}">
              <a16:creationId xmlns:a16="http://schemas.microsoft.com/office/drawing/2014/main" id="{00000000-0008-0000-0D00-000074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09" name="ZoneTexte 1908" hidden="1">
          <a:extLst>
            <a:ext uri="{FF2B5EF4-FFF2-40B4-BE49-F238E27FC236}">
              <a16:creationId xmlns:a16="http://schemas.microsoft.com/office/drawing/2014/main" id="{00000000-0008-0000-0D00-000075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10" name="ZoneTexte 1909" hidden="1">
          <a:extLst>
            <a:ext uri="{FF2B5EF4-FFF2-40B4-BE49-F238E27FC236}">
              <a16:creationId xmlns:a16="http://schemas.microsoft.com/office/drawing/2014/main" id="{00000000-0008-0000-0D00-000076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11" name="ZoneTexte 1910" hidden="1">
          <a:extLst>
            <a:ext uri="{FF2B5EF4-FFF2-40B4-BE49-F238E27FC236}">
              <a16:creationId xmlns:a16="http://schemas.microsoft.com/office/drawing/2014/main" id="{00000000-0008-0000-0D00-000077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12" name="ZoneTexte 1911" hidden="1">
          <a:extLst>
            <a:ext uri="{FF2B5EF4-FFF2-40B4-BE49-F238E27FC236}">
              <a16:creationId xmlns:a16="http://schemas.microsoft.com/office/drawing/2014/main" id="{00000000-0008-0000-0D00-000078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13" name="ZoneTexte 1912" hidden="1">
          <a:extLst>
            <a:ext uri="{FF2B5EF4-FFF2-40B4-BE49-F238E27FC236}">
              <a16:creationId xmlns:a16="http://schemas.microsoft.com/office/drawing/2014/main" id="{00000000-0008-0000-0D00-000079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14" name="ZoneTexte 1913" hidden="1">
          <a:extLst>
            <a:ext uri="{FF2B5EF4-FFF2-40B4-BE49-F238E27FC236}">
              <a16:creationId xmlns:a16="http://schemas.microsoft.com/office/drawing/2014/main" id="{00000000-0008-0000-0D00-00007A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15" name="ZoneTexte 1914" hidden="1">
          <a:extLst>
            <a:ext uri="{FF2B5EF4-FFF2-40B4-BE49-F238E27FC236}">
              <a16:creationId xmlns:a16="http://schemas.microsoft.com/office/drawing/2014/main" id="{00000000-0008-0000-0D00-00007B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16" name="ZoneTexte 1915" hidden="1">
          <a:extLst>
            <a:ext uri="{FF2B5EF4-FFF2-40B4-BE49-F238E27FC236}">
              <a16:creationId xmlns:a16="http://schemas.microsoft.com/office/drawing/2014/main" id="{00000000-0008-0000-0D00-00007C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17" name="ZoneTexte 1916" hidden="1">
          <a:extLst>
            <a:ext uri="{FF2B5EF4-FFF2-40B4-BE49-F238E27FC236}">
              <a16:creationId xmlns:a16="http://schemas.microsoft.com/office/drawing/2014/main" id="{00000000-0008-0000-0D00-00007D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18" name="ZoneTexte 1917" hidden="1">
          <a:extLst>
            <a:ext uri="{FF2B5EF4-FFF2-40B4-BE49-F238E27FC236}">
              <a16:creationId xmlns:a16="http://schemas.microsoft.com/office/drawing/2014/main" id="{00000000-0008-0000-0D00-00007E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19" name="ZoneTexte 1918" hidden="1">
          <a:extLst>
            <a:ext uri="{FF2B5EF4-FFF2-40B4-BE49-F238E27FC236}">
              <a16:creationId xmlns:a16="http://schemas.microsoft.com/office/drawing/2014/main" id="{00000000-0008-0000-0D00-00007F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20" name="ZoneTexte 1919" hidden="1">
          <a:extLst>
            <a:ext uri="{FF2B5EF4-FFF2-40B4-BE49-F238E27FC236}">
              <a16:creationId xmlns:a16="http://schemas.microsoft.com/office/drawing/2014/main" id="{00000000-0008-0000-0D00-000080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21" name="ZoneTexte 1920" hidden="1">
          <a:extLst>
            <a:ext uri="{FF2B5EF4-FFF2-40B4-BE49-F238E27FC236}">
              <a16:creationId xmlns:a16="http://schemas.microsoft.com/office/drawing/2014/main" id="{00000000-0008-0000-0D00-000081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22" name="ZoneTexte 1921" hidden="1">
          <a:extLst>
            <a:ext uri="{FF2B5EF4-FFF2-40B4-BE49-F238E27FC236}">
              <a16:creationId xmlns:a16="http://schemas.microsoft.com/office/drawing/2014/main" id="{00000000-0008-0000-0D00-000082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23" name="ZoneTexte 1922" hidden="1">
          <a:extLst>
            <a:ext uri="{FF2B5EF4-FFF2-40B4-BE49-F238E27FC236}">
              <a16:creationId xmlns:a16="http://schemas.microsoft.com/office/drawing/2014/main" id="{00000000-0008-0000-0D00-000083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24" name="ZoneTexte 1923" hidden="1">
          <a:extLst>
            <a:ext uri="{FF2B5EF4-FFF2-40B4-BE49-F238E27FC236}">
              <a16:creationId xmlns:a16="http://schemas.microsoft.com/office/drawing/2014/main" id="{00000000-0008-0000-0D00-000084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25" name="ZoneTexte 1924" hidden="1">
          <a:extLst>
            <a:ext uri="{FF2B5EF4-FFF2-40B4-BE49-F238E27FC236}">
              <a16:creationId xmlns:a16="http://schemas.microsoft.com/office/drawing/2014/main" id="{00000000-0008-0000-0D00-000085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26" name="ZoneTexte 1925" hidden="1">
          <a:extLst>
            <a:ext uri="{FF2B5EF4-FFF2-40B4-BE49-F238E27FC236}">
              <a16:creationId xmlns:a16="http://schemas.microsoft.com/office/drawing/2014/main" id="{00000000-0008-0000-0D00-000086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27" name="ZoneTexte 1926" hidden="1">
          <a:extLst>
            <a:ext uri="{FF2B5EF4-FFF2-40B4-BE49-F238E27FC236}">
              <a16:creationId xmlns:a16="http://schemas.microsoft.com/office/drawing/2014/main" id="{00000000-0008-0000-0D00-000087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28" name="ZoneTexte 1927" hidden="1">
          <a:extLst>
            <a:ext uri="{FF2B5EF4-FFF2-40B4-BE49-F238E27FC236}">
              <a16:creationId xmlns:a16="http://schemas.microsoft.com/office/drawing/2014/main" id="{00000000-0008-0000-0D00-000088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29" name="ZoneTexte 1928" hidden="1">
          <a:extLst>
            <a:ext uri="{FF2B5EF4-FFF2-40B4-BE49-F238E27FC236}">
              <a16:creationId xmlns:a16="http://schemas.microsoft.com/office/drawing/2014/main" id="{00000000-0008-0000-0D00-000089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30" name="ZoneTexte 1929" hidden="1">
          <a:extLst>
            <a:ext uri="{FF2B5EF4-FFF2-40B4-BE49-F238E27FC236}">
              <a16:creationId xmlns:a16="http://schemas.microsoft.com/office/drawing/2014/main" id="{00000000-0008-0000-0D00-00008A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31" name="ZoneTexte 1930" hidden="1">
          <a:extLst>
            <a:ext uri="{FF2B5EF4-FFF2-40B4-BE49-F238E27FC236}">
              <a16:creationId xmlns:a16="http://schemas.microsoft.com/office/drawing/2014/main" id="{00000000-0008-0000-0D00-00008B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32" name="ZoneTexte 1931" hidden="1">
          <a:extLst>
            <a:ext uri="{FF2B5EF4-FFF2-40B4-BE49-F238E27FC236}">
              <a16:creationId xmlns:a16="http://schemas.microsoft.com/office/drawing/2014/main" id="{00000000-0008-0000-0D00-00008C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33" name="ZoneTexte 1932" hidden="1">
          <a:extLst>
            <a:ext uri="{FF2B5EF4-FFF2-40B4-BE49-F238E27FC236}">
              <a16:creationId xmlns:a16="http://schemas.microsoft.com/office/drawing/2014/main" id="{00000000-0008-0000-0D00-00008D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34" name="ZoneTexte 1933" hidden="1">
          <a:extLst>
            <a:ext uri="{FF2B5EF4-FFF2-40B4-BE49-F238E27FC236}">
              <a16:creationId xmlns:a16="http://schemas.microsoft.com/office/drawing/2014/main" id="{00000000-0008-0000-0D00-00008E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35" name="ZoneTexte 1934" hidden="1">
          <a:extLst>
            <a:ext uri="{FF2B5EF4-FFF2-40B4-BE49-F238E27FC236}">
              <a16:creationId xmlns:a16="http://schemas.microsoft.com/office/drawing/2014/main" id="{00000000-0008-0000-0D00-00008F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36" name="ZoneTexte 1935" hidden="1">
          <a:extLst>
            <a:ext uri="{FF2B5EF4-FFF2-40B4-BE49-F238E27FC236}">
              <a16:creationId xmlns:a16="http://schemas.microsoft.com/office/drawing/2014/main" id="{00000000-0008-0000-0D00-000090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37" name="ZoneTexte 1936" hidden="1">
          <a:extLst>
            <a:ext uri="{FF2B5EF4-FFF2-40B4-BE49-F238E27FC236}">
              <a16:creationId xmlns:a16="http://schemas.microsoft.com/office/drawing/2014/main" id="{00000000-0008-0000-0D00-000091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38" name="ZoneTexte 1937" hidden="1">
          <a:extLst>
            <a:ext uri="{FF2B5EF4-FFF2-40B4-BE49-F238E27FC236}">
              <a16:creationId xmlns:a16="http://schemas.microsoft.com/office/drawing/2014/main" id="{00000000-0008-0000-0D00-000092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39" name="ZoneTexte 1938" hidden="1">
          <a:extLst>
            <a:ext uri="{FF2B5EF4-FFF2-40B4-BE49-F238E27FC236}">
              <a16:creationId xmlns:a16="http://schemas.microsoft.com/office/drawing/2014/main" id="{00000000-0008-0000-0D00-000093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40" name="ZoneTexte 1939" hidden="1">
          <a:extLst>
            <a:ext uri="{FF2B5EF4-FFF2-40B4-BE49-F238E27FC236}">
              <a16:creationId xmlns:a16="http://schemas.microsoft.com/office/drawing/2014/main" id="{00000000-0008-0000-0D00-000094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41" name="ZoneTexte 1940" hidden="1">
          <a:extLst>
            <a:ext uri="{FF2B5EF4-FFF2-40B4-BE49-F238E27FC236}">
              <a16:creationId xmlns:a16="http://schemas.microsoft.com/office/drawing/2014/main" id="{00000000-0008-0000-0D00-000095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42" name="ZoneTexte 1941" hidden="1">
          <a:extLst>
            <a:ext uri="{FF2B5EF4-FFF2-40B4-BE49-F238E27FC236}">
              <a16:creationId xmlns:a16="http://schemas.microsoft.com/office/drawing/2014/main" id="{00000000-0008-0000-0D00-000096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297</xdr:row>
      <xdr:rowOff>3706090</xdr:rowOff>
    </xdr:from>
    <xdr:to>
      <xdr:col>2</xdr:col>
      <xdr:colOff>5142675</xdr:colOff>
      <xdr:row>297</xdr:row>
      <xdr:rowOff>4005447</xdr:rowOff>
    </xdr:to>
    <xdr:sp macro="" textlink="">
      <xdr:nvSpPr>
        <xdr:cNvPr id="1943" name="ZoneTexte 1942" hidden="1">
          <a:extLst>
            <a:ext uri="{FF2B5EF4-FFF2-40B4-BE49-F238E27FC236}">
              <a16:creationId xmlns:a16="http://schemas.microsoft.com/office/drawing/2014/main" id="{00000000-0008-0000-0D00-000097070000}"/>
            </a:ext>
          </a:extLst>
        </xdr:cNvPr>
        <xdr:cNvSpPr txBox="1"/>
      </xdr:nvSpPr>
      <xdr:spPr>
        <a:xfrm>
          <a:off x="7762769" y="914566352"/>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44" name="ZoneTexte 1943" hidden="1">
          <a:extLst>
            <a:ext uri="{FF2B5EF4-FFF2-40B4-BE49-F238E27FC236}">
              <a16:creationId xmlns:a16="http://schemas.microsoft.com/office/drawing/2014/main" id="{00000000-0008-0000-0D00-000098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297</xdr:row>
      <xdr:rowOff>2412999</xdr:rowOff>
    </xdr:from>
    <xdr:to>
      <xdr:col>2</xdr:col>
      <xdr:colOff>5327402</xdr:colOff>
      <xdr:row>297</xdr:row>
      <xdr:rowOff>2712356</xdr:rowOff>
    </xdr:to>
    <xdr:sp macro="" textlink="">
      <xdr:nvSpPr>
        <xdr:cNvPr id="1945" name="ZoneTexte 1944" hidden="1">
          <a:extLst>
            <a:ext uri="{FF2B5EF4-FFF2-40B4-BE49-F238E27FC236}">
              <a16:creationId xmlns:a16="http://schemas.microsoft.com/office/drawing/2014/main" id="{00000000-0008-0000-0D00-000099070000}"/>
            </a:ext>
          </a:extLst>
        </xdr:cNvPr>
        <xdr:cNvSpPr txBox="1"/>
      </xdr:nvSpPr>
      <xdr:spPr>
        <a:xfrm>
          <a:off x="7947496" y="914568661"/>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46" name="ZoneTexte 1945" hidden="1">
          <a:extLst>
            <a:ext uri="{FF2B5EF4-FFF2-40B4-BE49-F238E27FC236}">
              <a16:creationId xmlns:a16="http://schemas.microsoft.com/office/drawing/2014/main" id="{00000000-0008-0000-0D00-00009A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47" name="ZoneTexte 1946" hidden="1">
          <a:extLst>
            <a:ext uri="{FF2B5EF4-FFF2-40B4-BE49-F238E27FC236}">
              <a16:creationId xmlns:a16="http://schemas.microsoft.com/office/drawing/2014/main" id="{00000000-0008-0000-0D00-00009B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48" name="ZoneTexte 1947" hidden="1">
          <a:extLst>
            <a:ext uri="{FF2B5EF4-FFF2-40B4-BE49-F238E27FC236}">
              <a16:creationId xmlns:a16="http://schemas.microsoft.com/office/drawing/2014/main" id="{00000000-0008-0000-0D00-00009C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49" name="ZoneTexte 1948" hidden="1">
          <a:extLst>
            <a:ext uri="{FF2B5EF4-FFF2-40B4-BE49-F238E27FC236}">
              <a16:creationId xmlns:a16="http://schemas.microsoft.com/office/drawing/2014/main" id="{00000000-0008-0000-0D00-00009D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50" name="ZoneTexte 1949" hidden="1">
          <a:extLst>
            <a:ext uri="{FF2B5EF4-FFF2-40B4-BE49-F238E27FC236}">
              <a16:creationId xmlns:a16="http://schemas.microsoft.com/office/drawing/2014/main" id="{00000000-0008-0000-0D00-00009E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51" name="ZoneTexte 1950" hidden="1">
          <a:extLst>
            <a:ext uri="{FF2B5EF4-FFF2-40B4-BE49-F238E27FC236}">
              <a16:creationId xmlns:a16="http://schemas.microsoft.com/office/drawing/2014/main" id="{00000000-0008-0000-0D00-00009F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52" name="ZoneTexte 1951" hidden="1">
          <a:extLst>
            <a:ext uri="{FF2B5EF4-FFF2-40B4-BE49-F238E27FC236}">
              <a16:creationId xmlns:a16="http://schemas.microsoft.com/office/drawing/2014/main" id="{00000000-0008-0000-0D00-0000A0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53" name="ZoneTexte 1952" hidden="1">
          <a:extLst>
            <a:ext uri="{FF2B5EF4-FFF2-40B4-BE49-F238E27FC236}">
              <a16:creationId xmlns:a16="http://schemas.microsoft.com/office/drawing/2014/main" id="{00000000-0008-0000-0D00-0000A1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54" name="ZoneTexte 1953" hidden="1">
          <a:extLst>
            <a:ext uri="{FF2B5EF4-FFF2-40B4-BE49-F238E27FC236}">
              <a16:creationId xmlns:a16="http://schemas.microsoft.com/office/drawing/2014/main" id="{00000000-0008-0000-0D00-0000A2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55" name="ZoneTexte 1954" hidden="1">
          <a:extLst>
            <a:ext uri="{FF2B5EF4-FFF2-40B4-BE49-F238E27FC236}">
              <a16:creationId xmlns:a16="http://schemas.microsoft.com/office/drawing/2014/main" id="{00000000-0008-0000-0D00-0000A3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56" name="ZoneTexte 1955" hidden="1">
          <a:extLst>
            <a:ext uri="{FF2B5EF4-FFF2-40B4-BE49-F238E27FC236}">
              <a16:creationId xmlns:a16="http://schemas.microsoft.com/office/drawing/2014/main" id="{00000000-0008-0000-0D00-0000A4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57" name="ZoneTexte 1956" hidden="1">
          <a:extLst>
            <a:ext uri="{FF2B5EF4-FFF2-40B4-BE49-F238E27FC236}">
              <a16:creationId xmlns:a16="http://schemas.microsoft.com/office/drawing/2014/main" id="{00000000-0008-0000-0D00-0000A5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58" name="ZoneTexte 1957" hidden="1">
          <a:extLst>
            <a:ext uri="{FF2B5EF4-FFF2-40B4-BE49-F238E27FC236}">
              <a16:creationId xmlns:a16="http://schemas.microsoft.com/office/drawing/2014/main" id="{00000000-0008-0000-0D00-0000A6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59" name="ZoneTexte 1958" hidden="1">
          <a:extLst>
            <a:ext uri="{FF2B5EF4-FFF2-40B4-BE49-F238E27FC236}">
              <a16:creationId xmlns:a16="http://schemas.microsoft.com/office/drawing/2014/main" id="{00000000-0008-0000-0D00-0000A7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60" name="ZoneTexte 1959" hidden="1">
          <a:extLst>
            <a:ext uri="{FF2B5EF4-FFF2-40B4-BE49-F238E27FC236}">
              <a16:creationId xmlns:a16="http://schemas.microsoft.com/office/drawing/2014/main" id="{00000000-0008-0000-0D00-0000A8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61" name="ZoneTexte 1960" hidden="1">
          <a:extLst>
            <a:ext uri="{FF2B5EF4-FFF2-40B4-BE49-F238E27FC236}">
              <a16:creationId xmlns:a16="http://schemas.microsoft.com/office/drawing/2014/main" id="{00000000-0008-0000-0D00-0000A9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62" name="ZoneTexte 1961" hidden="1">
          <a:extLst>
            <a:ext uri="{FF2B5EF4-FFF2-40B4-BE49-F238E27FC236}">
              <a16:creationId xmlns:a16="http://schemas.microsoft.com/office/drawing/2014/main" id="{00000000-0008-0000-0D00-0000AA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63" name="ZoneTexte 1962" hidden="1">
          <a:extLst>
            <a:ext uri="{FF2B5EF4-FFF2-40B4-BE49-F238E27FC236}">
              <a16:creationId xmlns:a16="http://schemas.microsoft.com/office/drawing/2014/main" id="{00000000-0008-0000-0D00-0000AB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64" name="ZoneTexte 1963" hidden="1">
          <a:extLst>
            <a:ext uri="{FF2B5EF4-FFF2-40B4-BE49-F238E27FC236}">
              <a16:creationId xmlns:a16="http://schemas.microsoft.com/office/drawing/2014/main" id="{00000000-0008-0000-0D00-0000AC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65" name="ZoneTexte 1964" hidden="1">
          <a:extLst>
            <a:ext uri="{FF2B5EF4-FFF2-40B4-BE49-F238E27FC236}">
              <a16:creationId xmlns:a16="http://schemas.microsoft.com/office/drawing/2014/main" id="{00000000-0008-0000-0D00-0000AD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66" name="ZoneTexte 1965" hidden="1">
          <a:extLst>
            <a:ext uri="{FF2B5EF4-FFF2-40B4-BE49-F238E27FC236}">
              <a16:creationId xmlns:a16="http://schemas.microsoft.com/office/drawing/2014/main" id="{00000000-0008-0000-0D00-0000AE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67" name="ZoneTexte 1966" hidden="1">
          <a:extLst>
            <a:ext uri="{FF2B5EF4-FFF2-40B4-BE49-F238E27FC236}">
              <a16:creationId xmlns:a16="http://schemas.microsoft.com/office/drawing/2014/main" id="{00000000-0008-0000-0D00-0000AF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68" name="ZoneTexte 1967" hidden="1">
          <a:extLst>
            <a:ext uri="{FF2B5EF4-FFF2-40B4-BE49-F238E27FC236}">
              <a16:creationId xmlns:a16="http://schemas.microsoft.com/office/drawing/2014/main" id="{00000000-0008-0000-0D00-0000B0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69" name="ZoneTexte 1968" hidden="1">
          <a:extLst>
            <a:ext uri="{FF2B5EF4-FFF2-40B4-BE49-F238E27FC236}">
              <a16:creationId xmlns:a16="http://schemas.microsoft.com/office/drawing/2014/main" id="{00000000-0008-0000-0D00-0000B1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70" name="ZoneTexte 1969" hidden="1">
          <a:extLst>
            <a:ext uri="{FF2B5EF4-FFF2-40B4-BE49-F238E27FC236}">
              <a16:creationId xmlns:a16="http://schemas.microsoft.com/office/drawing/2014/main" id="{00000000-0008-0000-0D00-0000B2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71" name="ZoneTexte 1970" hidden="1">
          <a:extLst>
            <a:ext uri="{FF2B5EF4-FFF2-40B4-BE49-F238E27FC236}">
              <a16:creationId xmlns:a16="http://schemas.microsoft.com/office/drawing/2014/main" id="{00000000-0008-0000-0D00-0000B3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72" name="ZoneTexte 1971" hidden="1">
          <a:extLst>
            <a:ext uri="{FF2B5EF4-FFF2-40B4-BE49-F238E27FC236}">
              <a16:creationId xmlns:a16="http://schemas.microsoft.com/office/drawing/2014/main" id="{00000000-0008-0000-0D00-0000B4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73" name="ZoneTexte 1972" hidden="1">
          <a:extLst>
            <a:ext uri="{FF2B5EF4-FFF2-40B4-BE49-F238E27FC236}">
              <a16:creationId xmlns:a16="http://schemas.microsoft.com/office/drawing/2014/main" id="{00000000-0008-0000-0D00-0000B5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74" name="ZoneTexte 1973" hidden="1">
          <a:extLst>
            <a:ext uri="{FF2B5EF4-FFF2-40B4-BE49-F238E27FC236}">
              <a16:creationId xmlns:a16="http://schemas.microsoft.com/office/drawing/2014/main" id="{00000000-0008-0000-0D00-0000B6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75" name="ZoneTexte 1974" hidden="1">
          <a:extLst>
            <a:ext uri="{FF2B5EF4-FFF2-40B4-BE49-F238E27FC236}">
              <a16:creationId xmlns:a16="http://schemas.microsoft.com/office/drawing/2014/main" id="{00000000-0008-0000-0D00-0000B7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76" name="ZoneTexte 1975" hidden="1">
          <a:extLst>
            <a:ext uri="{FF2B5EF4-FFF2-40B4-BE49-F238E27FC236}">
              <a16:creationId xmlns:a16="http://schemas.microsoft.com/office/drawing/2014/main" id="{00000000-0008-0000-0D00-0000B8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77" name="ZoneTexte 1976" hidden="1">
          <a:extLst>
            <a:ext uri="{FF2B5EF4-FFF2-40B4-BE49-F238E27FC236}">
              <a16:creationId xmlns:a16="http://schemas.microsoft.com/office/drawing/2014/main" id="{00000000-0008-0000-0D00-0000B9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78" name="ZoneTexte 1977" hidden="1">
          <a:extLst>
            <a:ext uri="{FF2B5EF4-FFF2-40B4-BE49-F238E27FC236}">
              <a16:creationId xmlns:a16="http://schemas.microsoft.com/office/drawing/2014/main" id="{00000000-0008-0000-0D00-0000BA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79" name="ZoneTexte 1978" hidden="1">
          <a:extLst>
            <a:ext uri="{FF2B5EF4-FFF2-40B4-BE49-F238E27FC236}">
              <a16:creationId xmlns:a16="http://schemas.microsoft.com/office/drawing/2014/main" id="{00000000-0008-0000-0D00-0000BB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80" name="ZoneTexte 1979" hidden="1">
          <a:extLst>
            <a:ext uri="{FF2B5EF4-FFF2-40B4-BE49-F238E27FC236}">
              <a16:creationId xmlns:a16="http://schemas.microsoft.com/office/drawing/2014/main" id="{00000000-0008-0000-0D00-0000BC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81" name="ZoneTexte 1980" hidden="1">
          <a:extLst>
            <a:ext uri="{FF2B5EF4-FFF2-40B4-BE49-F238E27FC236}">
              <a16:creationId xmlns:a16="http://schemas.microsoft.com/office/drawing/2014/main" id="{00000000-0008-0000-0D00-0000BD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82" name="ZoneTexte 1981" hidden="1">
          <a:extLst>
            <a:ext uri="{FF2B5EF4-FFF2-40B4-BE49-F238E27FC236}">
              <a16:creationId xmlns:a16="http://schemas.microsoft.com/office/drawing/2014/main" id="{00000000-0008-0000-0D00-0000BE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83" name="ZoneTexte 1982" hidden="1">
          <a:extLst>
            <a:ext uri="{FF2B5EF4-FFF2-40B4-BE49-F238E27FC236}">
              <a16:creationId xmlns:a16="http://schemas.microsoft.com/office/drawing/2014/main" id="{00000000-0008-0000-0D00-0000BF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84" name="ZoneTexte 1983" hidden="1">
          <a:extLst>
            <a:ext uri="{FF2B5EF4-FFF2-40B4-BE49-F238E27FC236}">
              <a16:creationId xmlns:a16="http://schemas.microsoft.com/office/drawing/2014/main" id="{00000000-0008-0000-0D00-0000C0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85" name="ZoneTexte 1984" hidden="1">
          <a:extLst>
            <a:ext uri="{FF2B5EF4-FFF2-40B4-BE49-F238E27FC236}">
              <a16:creationId xmlns:a16="http://schemas.microsoft.com/office/drawing/2014/main" id="{00000000-0008-0000-0D00-0000C1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86" name="ZoneTexte 1985" hidden="1">
          <a:extLst>
            <a:ext uri="{FF2B5EF4-FFF2-40B4-BE49-F238E27FC236}">
              <a16:creationId xmlns:a16="http://schemas.microsoft.com/office/drawing/2014/main" id="{00000000-0008-0000-0D00-0000C2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87" name="ZoneTexte 1986" hidden="1">
          <a:extLst>
            <a:ext uri="{FF2B5EF4-FFF2-40B4-BE49-F238E27FC236}">
              <a16:creationId xmlns:a16="http://schemas.microsoft.com/office/drawing/2014/main" id="{00000000-0008-0000-0D00-0000C3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298</xdr:row>
      <xdr:rowOff>2412999</xdr:rowOff>
    </xdr:from>
    <xdr:to>
      <xdr:col>2</xdr:col>
      <xdr:colOff>5327402</xdr:colOff>
      <xdr:row>298</xdr:row>
      <xdr:rowOff>2712356</xdr:rowOff>
    </xdr:to>
    <xdr:sp macro="" textlink="">
      <xdr:nvSpPr>
        <xdr:cNvPr id="1988" name="ZoneTexte 1987" hidden="1">
          <a:extLst>
            <a:ext uri="{FF2B5EF4-FFF2-40B4-BE49-F238E27FC236}">
              <a16:creationId xmlns:a16="http://schemas.microsoft.com/office/drawing/2014/main" id="{00000000-0008-0000-0D00-0000C4070000}"/>
            </a:ext>
          </a:extLst>
        </xdr:cNvPr>
        <xdr:cNvSpPr txBox="1"/>
      </xdr:nvSpPr>
      <xdr:spPr>
        <a:xfrm>
          <a:off x="7947496" y="91698336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89" name="ZoneTexte 1988" hidden="1">
          <a:extLst>
            <a:ext uri="{FF2B5EF4-FFF2-40B4-BE49-F238E27FC236}">
              <a16:creationId xmlns:a16="http://schemas.microsoft.com/office/drawing/2014/main" id="{00000000-0008-0000-0D00-0000C5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298</xdr:row>
      <xdr:rowOff>2412999</xdr:rowOff>
    </xdr:from>
    <xdr:to>
      <xdr:col>2</xdr:col>
      <xdr:colOff>5327402</xdr:colOff>
      <xdr:row>298</xdr:row>
      <xdr:rowOff>2712356</xdr:rowOff>
    </xdr:to>
    <xdr:sp macro="" textlink="">
      <xdr:nvSpPr>
        <xdr:cNvPr id="1990" name="ZoneTexte 1989" hidden="1">
          <a:extLst>
            <a:ext uri="{FF2B5EF4-FFF2-40B4-BE49-F238E27FC236}">
              <a16:creationId xmlns:a16="http://schemas.microsoft.com/office/drawing/2014/main" id="{00000000-0008-0000-0D00-0000C6070000}"/>
            </a:ext>
          </a:extLst>
        </xdr:cNvPr>
        <xdr:cNvSpPr txBox="1"/>
      </xdr:nvSpPr>
      <xdr:spPr>
        <a:xfrm>
          <a:off x="7947496" y="91698336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91" name="ZoneTexte 1990" hidden="1">
          <a:extLst>
            <a:ext uri="{FF2B5EF4-FFF2-40B4-BE49-F238E27FC236}">
              <a16:creationId xmlns:a16="http://schemas.microsoft.com/office/drawing/2014/main" id="{00000000-0008-0000-0D00-0000C7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92" name="ZoneTexte 1991" hidden="1">
          <a:extLst>
            <a:ext uri="{FF2B5EF4-FFF2-40B4-BE49-F238E27FC236}">
              <a16:creationId xmlns:a16="http://schemas.microsoft.com/office/drawing/2014/main" id="{00000000-0008-0000-0D00-0000C8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312</xdr:row>
      <xdr:rowOff>2412999</xdr:rowOff>
    </xdr:from>
    <xdr:to>
      <xdr:col>2</xdr:col>
      <xdr:colOff>5327402</xdr:colOff>
      <xdr:row>312</xdr:row>
      <xdr:rowOff>2712356</xdr:rowOff>
    </xdr:to>
    <xdr:sp macro="" textlink="">
      <xdr:nvSpPr>
        <xdr:cNvPr id="1993" name="ZoneTexte 1992" hidden="1">
          <a:extLst>
            <a:ext uri="{FF2B5EF4-FFF2-40B4-BE49-F238E27FC236}">
              <a16:creationId xmlns:a16="http://schemas.microsoft.com/office/drawing/2014/main" id="{00000000-0008-0000-0D00-0000C9070000}"/>
            </a:ext>
          </a:extLst>
        </xdr:cNvPr>
        <xdr:cNvSpPr txBox="1"/>
      </xdr:nvSpPr>
      <xdr:spPr>
        <a:xfrm>
          <a:off x="7947496" y="96592482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298</xdr:row>
      <xdr:rowOff>2412999</xdr:rowOff>
    </xdr:from>
    <xdr:to>
      <xdr:col>2</xdr:col>
      <xdr:colOff>5327402</xdr:colOff>
      <xdr:row>298</xdr:row>
      <xdr:rowOff>2712356</xdr:rowOff>
    </xdr:to>
    <xdr:sp macro="" textlink="">
      <xdr:nvSpPr>
        <xdr:cNvPr id="1994" name="ZoneTexte 1993" hidden="1">
          <a:extLst>
            <a:ext uri="{FF2B5EF4-FFF2-40B4-BE49-F238E27FC236}">
              <a16:creationId xmlns:a16="http://schemas.microsoft.com/office/drawing/2014/main" id="{00000000-0008-0000-0D00-0000CA070000}"/>
            </a:ext>
          </a:extLst>
        </xdr:cNvPr>
        <xdr:cNvSpPr txBox="1"/>
      </xdr:nvSpPr>
      <xdr:spPr>
        <a:xfrm>
          <a:off x="7947496" y="91698336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298</xdr:row>
      <xdr:rowOff>2412999</xdr:rowOff>
    </xdr:from>
    <xdr:to>
      <xdr:col>2</xdr:col>
      <xdr:colOff>5327402</xdr:colOff>
      <xdr:row>298</xdr:row>
      <xdr:rowOff>2712356</xdr:rowOff>
    </xdr:to>
    <xdr:sp macro="" textlink="">
      <xdr:nvSpPr>
        <xdr:cNvPr id="1995" name="ZoneTexte 1994" hidden="1">
          <a:extLst>
            <a:ext uri="{FF2B5EF4-FFF2-40B4-BE49-F238E27FC236}">
              <a16:creationId xmlns:a16="http://schemas.microsoft.com/office/drawing/2014/main" id="{00000000-0008-0000-0D00-0000CB070000}"/>
            </a:ext>
          </a:extLst>
        </xdr:cNvPr>
        <xdr:cNvSpPr txBox="1"/>
      </xdr:nvSpPr>
      <xdr:spPr>
        <a:xfrm>
          <a:off x="7947496" y="91698336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298</xdr:row>
      <xdr:rowOff>2412999</xdr:rowOff>
    </xdr:from>
    <xdr:to>
      <xdr:col>2</xdr:col>
      <xdr:colOff>5327402</xdr:colOff>
      <xdr:row>298</xdr:row>
      <xdr:rowOff>2712356</xdr:rowOff>
    </xdr:to>
    <xdr:sp macro="" textlink="">
      <xdr:nvSpPr>
        <xdr:cNvPr id="1996" name="ZoneTexte 1995" hidden="1">
          <a:extLst>
            <a:ext uri="{FF2B5EF4-FFF2-40B4-BE49-F238E27FC236}">
              <a16:creationId xmlns:a16="http://schemas.microsoft.com/office/drawing/2014/main" id="{00000000-0008-0000-0D00-0000CC070000}"/>
            </a:ext>
          </a:extLst>
        </xdr:cNvPr>
        <xdr:cNvSpPr txBox="1"/>
      </xdr:nvSpPr>
      <xdr:spPr>
        <a:xfrm>
          <a:off x="7947496" y="91698336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298</xdr:row>
      <xdr:rowOff>2412999</xdr:rowOff>
    </xdr:from>
    <xdr:to>
      <xdr:col>2</xdr:col>
      <xdr:colOff>5327402</xdr:colOff>
      <xdr:row>298</xdr:row>
      <xdr:rowOff>2712356</xdr:rowOff>
    </xdr:to>
    <xdr:sp macro="" textlink="">
      <xdr:nvSpPr>
        <xdr:cNvPr id="1997" name="ZoneTexte 1996" hidden="1">
          <a:extLst>
            <a:ext uri="{FF2B5EF4-FFF2-40B4-BE49-F238E27FC236}">
              <a16:creationId xmlns:a16="http://schemas.microsoft.com/office/drawing/2014/main" id="{00000000-0008-0000-0D00-0000CD070000}"/>
            </a:ext>
          </a:extLst>
        </xdr:cNvPr>
        <xdr:cNvSpPr txBox="1"/>
      </xdr:nvSpPr>
      <xdr:spPr>
        <a:xfrm>
          <a:off x="7947496" y="91698336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298</xdr:row>
      <xdr:rowOff>2412999</xdr:rowOff>
    </xdr:from>
    <xdr:to>
      <xdr:col>2</xdr:col>
      <xdr:colOff>5327402</xdr:colOff>
      <xdr:row>298</xdr:row>
      <xdr:rowOff>2712356</xdr:rowOff>
    </xdr:to>
    <xdr:sp macro="" textlink="">
      <xdr:nvSpPr>
        <xdr:cNvPr id="1998" name="ZoneTexte 1997" hidden="1">
          <a:extLst>
            <a:ext uri="{FF2B5EF4-FFF2-40B4-BE49-F238E27FC236}">
              <a16:creationId xmlns:a16="http://schemas.microsoft.com/office/drawing/2014/main" id="{00000000-0008-0000-0D00-0000CE070000}"/>
            </a:ext>
          </a:extLst>
        </xdr:cNvPr>
        <xdr:cNvSpPr txBox="1"/>
      </xdr:nvSpPr>
      <xdr:spPr>
        <a:xfrm>
          <a:off x="7947496" y="91698336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298</xdr:row>
      <xdr:rowOff>2412999</xdr:rowOff>
    </xdr:from>
    <xdr:to>
      <xdr:col>2</xdr:col>
      <xdr:colOff>5327402</xdr:colOff>
      <xdr:row>298</xdr:row>
      <xdr:rowOff>2712356</xdr:rowOff>
    </xdr:to>
    <xdr:sp macro="" textlink="">
      <xdr:nvSpPr>
        <xdr:cNvPr id="1999" name="ZoneTexte 1998" hidden="1">
          <a:extLst>
            <a:ext uri="{FF2B5EF4-FFF2-40B4-BE49-F238E27FC236}">
              <a16:creationId xmlns:a16="http://schemas.microsoft.com/office/drawing/2014/main" id="{00000000-0008-0000-0D00-0000CF070000}"/>
            </a:ext>
          </a:extLst>
        </xdr:cNvPr>
        <xdr:cNvSpPr txBox="1"/>
      </xdr:nvSpPr>
      <xdr:spPr>
        <a:xfrm>
          <a:off x="7947496" y="91698336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298</xdr:row>
      <xdr:rowOff>2412999</xdr:rowOff>
    </xdr:from>
    <xdr:to>
      <xdr:col>2</xdr:col>
      <xdr:colOff>5327402</xdr:colOff>
      <xdr:row>298</xdr:row>
      <xdr:rowOff>2712356</xdr:rowOff>
    </xdr:to>
    <xdr:sp macro="" textlink="">
      <xdr:nvSpPr>
        <xdr:cNvPr id="2000" name="ZoneTexte 1999" hidden="1">
          <a:extLst>
            <a:ext uri="{FF2B5EF4-FFF2-40B4-BE49-F238E27FC236}">
              <a16:creationId xmlns:a16="http://schemas.microsoft.com/office/drawing/2014/main" id="{00000000-0008-0000-0D00-0000D0070000}"/>
            </a:ext>
          </a:extLst>
        </xdr:cNvPr>
        <xdr:cNvSpPr txBox="1"/>
      </xdr:nvSpPr>
      <xdr:spPr>
        <a:xfrm>
          <a:off x="7947496" y="91698336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298</xdr:row>
      <xdr:rowOff>2412999</xdr:rowOff>
    </xdr:from>
    <xdr:to>
      <xdr:col>2</xdr:col>
      <xdr:colOff>5327402</xdr:colOff>
      <xdr:row>298</xdr:row>
      <xdr:rowOff>2712356</xdr:rowOff>
    </xdr:to>
    <xdr:sp macro="" textlink="">
      <xdr:nvSpPr>
        <xdr:cNvPr id="2001" name="ZoneTexte 2000" hidden="1">
          <a:extLst>
            <a:ext uri="{FF2B5EF4-FFF2-40B4-BE49-F238E27FC236}">
              <a16:creationId xmlns:a16="http://schemas.microsoft.com/office/drawing/2014/main" id="{00000000-0008-0000-0D00-0000D1070000}"/>
            </a:ext>
          </a:extLst>
        </xdr:cNvPr>
        <xdr:cNvSpPr txBox="1"/>
      </xdr:nvSpPr>
      <xdr:spPr>
        <a:xfrm>
          <a:off x="7947496" y="916983365"/>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02" name="ZoneTexte 2001" hidden="1">
          <a:extLst>
            <a:ext uri="{FF2B5EF4-FFF2-40B4-BE49-F238E27FC236}">
              <a16:creationId xmlns:a16="http://schemas.microsoft.com/office/drawing/2014/main" id="{00000000-0008-0000-0D00-0000D2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03" name="ZoneTexte 2002" hidden="1">
          <a:extLst>
            <a:ext uri="{FF2B5EF4-FFF2-40B4-BE49-F238E27FC236}">
              <a16:creationId xmlns:a16="http://schemas.microsoft.com/office/drawing/2014/main" id="{00000000-0008-0000-0D00-0000D3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04" name="ZoneTexte 2003" hidden="1">
          <a:extLst>
            <a:ext uri="{FF2B5EF4-FFF2-40B4-BE49-F238E27FC236}">
              <a16:creationId xmlns:a16="http://schemas.microsoft.com/office/drawing/2014/main" id="{00000000-0008-0000-0D00-0000D4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05" name="ZoneTexte 2004" hidden="1">
          <a:extLst>
            <a:ext uri="{FF2B5EF4-FFF2-40B4-BE49-F238E27FC236}">
              <a16:creationId xmlns:a16="http://schemas.microsoft.com/office/drawing/2014/main" id="{00000000-0008-0000-0D00-0000D5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06" name="ZoneTexte 2005" hidden="1">
          <a:extLst>
            <a:ext uri="{FF2B5EF4-FFF2-40B4-BE49-F238E27FC236}">
              <a16:creationId xmlns:a16="http://schemas.microsoft.com/office/drawing/2014/main" id="{00000000-0008-0000-0D00-0000D6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07" name="ZoneTexte 2006" hidden="1">
          <a:extLst>
            <a:ext uri="{FF2B5EF4-FFF2-40B4-BE49-F238E27FC236}">
              <a16:creationId xmlns:a16="http://schemas.microsoft.com/office/drawing/2014/main" id="{00000000-0008-0000-0D00-0000D7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08" name="ZoneTexte 2007" hidden="1">
          <a:extLst>
            <a:ext uri="{FF2B5EF4-FFF2-40B4-BE49-F238E27FC236}">
              <a16:creationId xmlns:a16="http://schemas.microsoft.com/office/drawing/2014/main" id="{00000000-0008-0000-0D00-0000D8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09" name="ZoneTexte 2008" hidden="1">
          <a:extLst>
            <a:ext uri="{FF2B5EF4-FFF2-40B4-BE49-F238E27FC236}">
              <a16:creationId xmlns:a16="http://schemas.microsoft.com/office/drawing/2014/main" id="{00000000-0008-0000-0D00-0000D9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10" name="ZoneTexte 2009" hidden="1">
          <a:extLst>
            <a:ext uri="{FF2B5EF4-FFF2-40B4-BE49-F238E27FC236}">
              <a16:creationId xmlns:a16="http://schemas.microsoft.com/office/drawing/2014/main" id="{00000000-0008-0000-0D00-0000DA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11" name="ZoneTexte 2010" hidden="1">
          <a:extLst>
            <a:ext uri="{FF2B5EF4-FFF2-40B4-BE49-F238E27FC236}">
              <a16:creationId xmlns:a16="http://schemas.microsoft.com/office/drawing/2014/main" id="{00000000-0008-0000-0D00-0000DB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12" name="ZoneTexte 2011" hidden="1">
          <a:extLst>
            <a:ext uri="{FF2B5EF4-FFF2-40B4-BE49-F238E27FC236}">
              <a16:creationId xmlns:a16="http://schemas.microsoft.com/office/drawing/2014/main" id="{00000000-0008-0000-0D00-0000DC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13" name="ZoneTexte 2012" hidden="1">
          <a:extLst>
            <a:ext uri="{FF2B5EF4-FFF2-40B4-BE49-F238E27FC236}">
              <a16:creationId xmlns:a16="http://schemas.microsoft.com/office/drawing/2014/main" id="{00000000-0008-0000-0D00-0000DD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14" name="ZoneTexte 2013" hidden="1">
          <a:extLst>
            <a:ext uri="{FF2B5EF4-FFF2-40B4-BE49-F238E27FC236}">
              <a16:creationId xmlns:a16="http://schemas.microsoft.com/office/drawing/2014/main" id="{00000000-0008-0000-0D00-0000DE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15" name="ZoneTexte 2014" hidden="1">
          <a:extLst>
            <a:ext uri="{FF2B5EF4-FFF2-40B4-BE49-F238E27FC236}">
              <a16:creationId xmlns:a16="http://schemas.microsoft.com/office/drawing/2014/main" id="{00000000-0008-0000-0D00-0000DF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16" name="ZoneTexte 2015" hidden="1">
          <a:extLst>
            <a:ext uri="{FF2B5EF4-FFF2-40B4-BE49-F238E27FC236}">
              <a16:creationId xmlns:a16="http://schemas.microsoft.com/office/drawing/2014/main" id="{00000000-0008-0000-0D00-0000E0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17" name="ZoneTexte 2016" hidden="1">
          <a:extLst>
            <a:ext uri="{FF2B5EF4-FFF2-40B4-BE49-F238E27FC236}">
              <a16:creationId xmlns:a16="http://schemas.microsoft.com/office/drawing/2014/main" id="{00000000-0008-0000-0D00-0000E1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18" name="ZoneTexte 2017" hidden="1">
          <a:extLst>
            <a:ext uri="{FF2B5EF4-FFF2-40B4-BE49-F238E27FC236}">
              <a16:creationId xmlns:a16="http://schemas.microsoft.com/office/drawing/2014/main" id="{00000000-0008-0000-0D00-0000E2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19" name="ZoneTexte 2018" hidden="1">
          <a:extLst>
            <a:ext uri="{FF2B5EF4-FFF2-40B4-BE49-F238E27FC236}">
              <a16:creationId xmlns:a16="http://schemas.microsoft.com/office/drawing/2014/main" id="{00000000-0008-0000-0D00-0000E3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20" name="ZoneTexte 2019" hidden="1">
          <a:extLst>
            <a:ext uri="{FF2B5EF4-FFF2-40B4-BE49-F238E27FC236}">
              <a16:creationId xmlns:a16="http://schemas.microsoft.com/office/drawing/2014/main" id="{00000000-0008-0000-0D00-0000E4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21" name="ZoneTexte 2020" hidden="1">
          <a:extLst>
            <a:ext uri="{FF2B5EF4-FFF2-40B4-BE49-F238E27FC236}">
              <a16:creationId xmlns:a16="http://schemas.microsoft.com/office/drawing/2014/main" id="{00000000-0008-0000-0D00-0000E5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22" name="ZoneTexte 2021" hidden="1">
          <a:extLst>
            <a:ext uri="{FF2B5EF4-FFF2-40B4-BE49-F238E27FC236}">
              <a16:creationId xmlns:a16="http://schemas.microsoft.com/office/drawing/2014/main" id="{00000000-0008-0000-0D00-0000E6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23" name="ZoneTexte 2022" hidden="1">
          <a:extLst>
            <a:ext uri="{FF2B5EF4-FFF2-40B4-BE49-F238E27FC236}">
              <a16:creationId xmlns:a16="http://schemas.microsoft.com/office/drawing/2014/main" id="{00000000-0008-0000-0D00-0000E7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24" name="ZoneTexte 2023" hidden="1">
          <a:extLst>
            <a:ext uri="{FF2B5EF4-FFF2-40B4-BE49-F238E27FC236}">
              <a16:creationId xmlns:a16="http://schemas.microsoft.com/office/drawing/2014/main" id="{00000000-0008-0000-0D00-0000E8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25" name="ZoneTexte 2024" hidden="1">
          <a:extLst>
            <a:ext uri="{FF2B5EF4-FFF2-40B4-BE49-F238E27FC236}">
              <a16:creationId xmlns:a16="http://schemas.microsoft.com/office/drawing/2014/main" id="{00000000-0008-0000-0D00-0000E9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26" name="ZoneTexte 2025" hidden="1">
          <a:extLst>
            <a:ext uri="{FF2B5EF4-FFF2-40B4-BE49-F238E27FC236}">
              <a16:creationId xmlns:a16="http://schemas.microsoft.com/office/drawing/2014/main" id="{00000000-0008-0000-0D00-0000EA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27" name="ZoneTexte 2026" hidden="1">
          <a:extLst>
            <a:ext uri="{FF2B5EF4-FFF2-40B4-BE49-F238E27FC236}">
              <a16:creationId xmlns:a16="http://schemas.microsoft.com/office/drawing/2014/main" id="{00000000-0008-0000-0D00-0000EB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28" name="ZoneTexte 2027" hidden="1">
          <a:extLst>
            <a:ext uri="{FF2B5EF4-FFF2-40B4-BE49-F238E27FC236}">
              <a16:creationId xmlns:a16="http://schemas.microsoft.com/office/drawing/2014/main" id="{00000000-0008-0000-0D00-0000EC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29" name="ZoneTexte 2028" hidden="1">
          <a:extLst>
            <a:ext uri="{FF2B5EF4-FFF2-40B4-BE49-F238E27FC236}">
              <a16:creationId xmlns:a16="http://schemas.microsoft.com/office/drawing/2014/main" id="{00000000-0008-0000-0D00-0000ED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30" name="ZoneTexte 2029" hidden="1">
          <a:extLst>
            <a:ext uri="{FF2B5EF4-FFF2-40B4-BE49-F238E27FC236}">
              <a16:creationId xmlns:a16="http://schemas.microsoft.com/office/drawing/2014/main" id="{00000000-0008-0000-0D00-0000EE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303</xdr:row>
      <xdr:rowOff>2412999</xdr:rowOff>
    </xdr:from>
    <xdr:to>
      <xdr:col>2</xdr:col>
      <xdr:colOff>5327402</xdr:colOff>
      <xdr:row>303</xdr:row>
      <xdr:rowOff>2712356</xdr:rowOff>
    </xdr:to>
    <xdr:sp macro="" textlink="">
      <xdr:nvSpPr>
        <xdr:cNvPr id="2031" name="ZoneTexte 2030" hidden="1">
          <a:extLst>
            <a:ext uri="{FF2B5EF4-FFF2-40B4-BE49-F238E27FC236}">
              <a16:creationId xmlns:a16="http://schemas.microsoft.com/office/drawing/2014/main" id="{00000000-0008-0000-0D00-0000EF070000}"/>
            </a:ext>
          </a:extLst>
        </xdr:cNvPr>
        <xdr:cNvSpPr txBox="1"/>
      </xdr:nvSpPr>
      <xdr:spPr>
        <a:xfrm>
          <a:off x="7947496" y="936513487"/>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32" name="ZoneTexte 2031" hidden="1">
          <a:extLst>
            <a:ext uri="{FF2B5EF4-FFF2-40B4-BE49-F238E27FC236}">
              <a16:creationId xmlns:a16="http://schemas.microsoft.com/office/drawing/2014/main" id="{00000000-0008-0000-0D00-0000F007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33" name="ZoneTexte 2032" hidden="1">
          <a:extLst>
            <a:ext uri="{FF2B5EF4-FFF2-40B4-BE49-F238E27FC236}">
              <a16:creationId xmlns:a16="http://schemas.microsoft.com/office/drawing/2014/main" id="{00000000-0008-0000-0D00-0000F107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34" name="ZoneTexte 2033" hidden="1">
          <a:extLst>
            <a:ext uri="{FF2B5EF4-FFF2-40B4-BE49-F238E27FC236}">
              <a16:creationId xmlns:a16="http://schemas.microsoft.com/office/drawing/2014/main" id="{00000000-0008-0000-0D00-0000F207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35" name="ZoneTexte 2034" hidden="1">
          <a:extLst>
            <a:ext uri="{FF2B5EF4-FFF2-40B4-BE49-F238E27FC236}">
              <a16:creationId xmlns:a16="http://schemas.microsoft.com/office/drawing/2014/main" id="{00000000-0008-0000-0D00-0000F307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36" name="ZoneTexte 2035" hidden="1">
          <a:extLst>
            <a:ext uri="{FF2B5EF4-FFF2-40B4-BE49-F238E27FC236}">
              <a16:creationId xmlns:a16="http://schemas.microsoft.com/office/drawing/2014/main" id="{00000000-0008-0000-0D00-0000F407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37" name="ZoneTexte 2036" hidden="1">
          <a:extLst>
            <a:ext uri="{FF2B5EF4-FFF2-40B4-BE49-F238E27FC236}">
              <a16:creationId xmlns:a16="http://schemas.microsoft.com/office/drawing/2014/main" id="{00000000-0008-0000-0D00-0000F507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38" name="ZoneTexte 2037" hidden="1">
          <a:extLst>
            <a:ext uri="{FF2B5EF4-FFF2-40B4-BE49-F238E27FC236}">
              <a16:creationId xmlns:a16="http://schemas.microsoft.com/office/drawing/2014/main" id="{00000000-0008-0000-0D00-0000F607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39" name="ZoneTexte 2038" hidden="1">
          <a:extLst>
            <a:ext uri="{FF2B5EF4-FFF2-40B4-BE49-F238E27FC236}">
              <a16:creationId xmlns:a16="http://schemas.microsoft.com/office/drawing/2014/main" id="{00000000-0008-0000-0D00-0000F707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40" name="ZoneTexte 2039" hidden="1">
          <a:extLst>
            <a:ext uri="{FF2B5EF4-FFF2-40B4-BE49-F238E27FC236}">
              <a16:creationId xmlns:a16="http://schemas.microsoft.com/office/drawing/2014/main" id="{00000000-0008-0000-0D00-0000F807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41" name="ZoneTexte 2040" hidden="1">
          <a:extLst>
            <a:ext uri="{FF2B5EF4-FFF2-40B4-BE49-F238E27FC236}">
              <a16:creationId xmlns:a16="http://schemas.microsoft.com/office/drawing/2014/main" id="{00000000-0008-0000-0D00-0000F907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42" name="ZoneTexte 2041" hidden="1">
          <a:extLst>
            <a:ext uri="{FF2B5EF4-FFF2-40B4-BE49-F238E27FC236}">
              <a16:creationId xmlns:a16="http://schemas.microsoft.com/office/drawing/2014/main" id="{00000000-0008-0000-0D00-0000FA07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43" name="ZoneTexte 2042" hidden="1">
          <a:extLst>
            <a:ext uri="{FF2B5EF4-FFF2-40B4-BE49-F238E27FC236}">
              <a16:creationId xmlns:a16="http://schemas.microsoft.com/office/drawing/2014/main" id="{00000000-0008-0000-0D00-0000FB07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44" name="ZoneTexte 2043" hidden="1">
          <a:extLst>
            <a:ext uri="{FF2B5EF4-FFF2-40B4-BE49-F238E27FC236}">
              <a16:creationId xmlns:a16="http://schemas.microsoft.com/office/drawing/2014/main" id="{00000000-0008-0000-0D00-0000FC07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45" name="ZoneTexte 2044" hidden="1">
          <a:extLst>
            <a:ext uri="{FF2B5EF4-FFF2-40B4-BE49-F238E27FC236}">
              <a16:creationId xmlns:a16="http://schemas.microsoft.com/office/drawing/2014/main" id="{00000000-0008-0000-0D00-0000FD07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46" name="ZoneTexte 2045" hidden="1">
          <a:extLst>
            <a:ext uri="{FF2B5EF4-FFF2-40B4-BE49-F238E27FC236}">
              <a16:creationId xmlns:a16="http://schemas.microsoft.com/office/drawing/2014/main" id="{00000000-0008-0000-0D00-0000FE07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47" name="ZoneTexte 2046" hidden="1">
          <a:extLst>
            <a:ext uri="{FF2B5EF4-FFF2-40B4-BE49-F238E27FC236}">
              <a16:creationId xmlns:a16="http://schemas.microsoft.com/office/drawing/2014/main" id="{00000000-0008-0000-0D00-0000FF07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48" name="ZoneTexte 2047" hidden="1">
          <a:extLst>
            <a:ext uri="{FF2B5EF4-FFF2-40B4-BE49-F238E27FC236}">
              <a16:creationId xmlns:a16="http://schemas.microsoft.com/office/drawing/2014/main" id="{00000000-0008-0000-0D00-000000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49" name="ZoneTexte 2048" hidden="1">
          <a:extLst>
            <a:ext uri="{FF2B5EF4-FFF2-40B4-BE49-F238E27FC236}">
              <a16:creationId xmlns:a16="http://schemas.microsoft.com/office/drawing/2014/main" id="{00000000-0008-0000-0D00-00000108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50" name="ZoneTexte 2049" hidden="1">
          <a:extLst>
            <a:ext uri="{FF2B5EF4-FFF2-40B4-BE49-F238E27FC236}">
              <a16:creationId xmlns:a16="http://schemas.microsoft.com/office/drawing/2014/main" id="{00000000-0008-0000-0D00-000002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51" name="ZoneTexte 2050" hidden="1">
          <a:extLst>
            <a:ext uri="{FF2B5EF4-FFF2-40B4-BE49-F238E27FC236}">
              <a16:creationId xmlns:a16="http://schemas.microsoft.com/office/drawing/2014/main" id="{00000000-0008-0000-0D00-00000308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52" name="ZoneTexte 2051" hidden="1">
          <a:extLst>
            <a:ext uri="{FF2B5EF4-FFF2-40B4-BE49-F238E27FC236}">
              <a16:creationId xmlns:a16="http://schemas.microsoft.com/office/drawing/2014/main" id="{00000000-0008-0000-0D00-000004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53" name="ZoneTexte 2052" hidden="1">
          <a:extLst>
            <a:ext uri="{FF2B5EF4-FFF2-40B4-BE49-F238E27FC236}">
              <a16:creationId xmlns:a16="http://schemas.microsoft.com/office/drawing/2014/main" id="{00000000-0008-0000-0D00-00000508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54" name="ZoneTexte 2053" hidden="1">
          <a:extLst>
            <a:ext uri="{FF2B5EF4-FFF2-40B4-BE49-F238E27FC236}">
              <a16:creationId xmlns:a16="http://schemas.microsoft.com/office/drawing/2014/main" id="{00000000-0008-0000-0D00-000006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55" name="ZoneTexte 2054" hidden="1">
          <a:extLst>
            <a:ext uri="{FF2B5EF4-FFF2-40B4-BE49-F238E27FC236}">
              <a16:creationId xmlns:a16="http://schemas.microsoft.com/office/drawing/2014/main" id="{00000000-0008-0000-0D00-00000708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56" name="ZoneTexte 2055" hidden="1">
          <a:extLst>
            <a:ext uri="{FF2B5EF4-FFF2-40B4-BE49-F238E27FC236}">
              <a16:creationId xmlns:a16="http://schemas.microsoft.com/office/drawing/2014/main" id="{00000000-0008-0000-0D00-000008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57" name="ZoneTexte 2056" hidden="1">
          <a:extLst>
            <a:ext uri="{FF2B5EF4-FFF2-40B4-BE49-F238E27FC236}">
              <a16:creationId xmlns:a16="http://schemas.microsoft.com/office/drawing/2014/main" id="{00000000-0008-0000-0D00-00000908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58" name="ZoneTexte 2057" hidden="1">
          <a:extLst>
            <a:ext uri="{FF2B5EF4-FFF2-40B4-BE49-F238E27FC236}">
              <a16:creationId xmlns:a16="http://schemas.microsoft.com/office/drawing/2014/main" id="{00000000-0008-0000-0D00-00000A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59" name="ZoneTexte 2058" hidden="1">
          <a:extLst>
            <a:ext uri="{FF2B5EF4-FFF2-40B4-BE49-F238E27FC236}">
              <a16:creationId xmlns:a16="http://schemas.microsoft.com/office/drawing/2014/main" id="{00000000-0008-0000-0D00-00000B08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60" name="ZoneTexte 2059" hidden="1">
          <a:extLst>
            <a:ext uri="{FF2B5EF4-FFF2-40B4-BE49-F238E27FC236}">
              <a16:creationId xmlns:a16="http://schemas.microsoft.com/office/drawing/2014/main" id="{00000000-0008-0000-0D00-00000C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61" name="ZoneTexte 2060" hidden="1">
          <a:extLst>
            <a:ext uri="{FF2B5EF4-FFF2-40B4-BE49-F238E27FC236}">
              <a16:creationId xmlns:a16="http://schemas.microsoft.com/office/drawing/2014/main" id="{00000000-0008-0000-0D00-00000D08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62" name="ZoneTexte 2061" hidden="1">
          <a:extLst>
            <a:ext uri="{FF2B5EF4-FFF2-40B4-BE49-F238E27FC236}">
              <a16:creationId xmlns:a16="http://schemas.microsoft.com/office/drawing/2014/main" id="{00000000-0008-0000-0D00-00000E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63" name="ZoneTexte 2062" hidden="1">
          <a:extLst>
            <a:ext uri="{FF2B5EF4-FFF2-40B4-BE49-F238E27FC236}">
              <a16:creationId xmlns:a16="http://schemas.microsoft.com/office/drawing/2014/main" id="{00000000-0008-0000-0D00-00000F08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64" name="ZoneTexte 2063" hidden="1">
          <a:extLst>
            <a:ext uri="{FF2B5EF4-FFF2-40B4-BE49-F238E27FC236}">
              <a16:creationId xmlns:a16="http://schemas.microsoft.com/office/drawing/2014/main" id="{00000000-0008-0000-0D00-000010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65" name="ZoneTexte 2064" hidden="1">
          <a:extLst>
            <a:ext uri="{FF2B5EF4-FFF2-40B4-BE49-F238E27FC236}">
              <a16:creationId xmlns:a16="http://schemas.microsoft.com/office/drawing/2014/main" id="{00000000-0008-0000-0D00-00001108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66" name="ZoneTexte 2065" hidden="1">
          <a:extLst>
            <a:ext uri="{FF2B5EF4-FFF2-40B4-BE49-F238E27FC236}">
              <a16:creationId xmlns:a16="http://schemas.microsoft.com/office/drawing/2014/main" id="{00000000-0008-0000-0D00-000012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67" name="ZoneTexte 2066" hidden="1">
          <a:extLst>
            <a:ext uri="{FF2B5EF4-FFF2-40B4-BE49-F238E27FC236}">
              <a16:creationId xmlns:a16="http://schemas.microsoft.com/office/drawing/2014/main" id="{00000000-0008-0000-0D00-00001308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68" name="ZoneTexte 2067" hidden="1">
          <a:extLst>
            <a:ext uri="{FF2B5EF4-FFF2-40B4-BE49-F238E27FC236}">
              <a16:creationId xmlns:a16="http://schemas.microsoft.com/office/drawing/2014/main" id="{00000000-0008-0000-0D00-000014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69" name="ZoneTexte 2068" hidden="1">
          <a:extLst>
            <a:ext uri="{FF2B5EF4-FFF2-40B4-BE49-F238E27FC236}">
              <a16:creationId xmlns:a16="http://schemas.microsoft.com/office/drawing/2014/main" id="{00000000-0008-0000-0D00-00001508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70" name="ZoneTexte 2069" hidden="1">
          <a:extLst>
            <a:ext uri="{FF2B5EF4-FFF2-40B4-BE49-F238E27FC236}">
              <a16:creationId xmlns:a16="http://schemas.microsoft.com/office/drawing/2014/main" id="{00000000-0008-0000-0D00-000016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315</xdr:row>
      <xdr:rowOff>3706090</xdr:rowOff>
    </xdr:from>
    <xdr:to>
      <xdr:col>2</xdr:col>
      <xdr:colOff>5142675</xdr:colOff>
      <xdr:row>315</xdr:row>
      <xdr:rowOff>4005447</xdr:rowOff>
    </xdr:to>
    <xdr:sp macro="" textlink="">
      <xdr:nvSpPr>
        <xdr:cNvPr id="2071" name="ZoneTexte 2070" hidden="1">
          <a:extLst>
            <a:ext uri="{FF2B5EF4-FFF2-40B4-BE49-F238E27FC236}">
              <a16:creationId xmlns:a16="http://schemas.microsoft.com/office/drawing/2014/main" id="{00000000-0008-0000-0D00-000017080000}"/>
            </a:ext>
          </a:extLst>
        </xdr:cNvPr>
        <xdr:cNvSpPr txBox="1"/>
      </xdr:nvSpPr>
      <xdr:spPr>
        <a:xfrm>
          <a:off x="7762769" y="971484035"/>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72" name="ZoneTexte 2071" hidden="1">
          <a:extLst>
            <a:ext uri="{FF2B5EF4-FFF2-40B4-BE49-F238E27FC236}">
              <a16:creationId xmlns:a16="http://schemas.microsoft.com/office/drawing/2014/main" id="{00000000-0008-0000-0D00-000018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315</xdr:row>
      <xdr:rowOff>2412999</xdr:rowOff>
    </xdr:from>
    <xdr:to>
      <xdr:col>2</xdr:col>
      <xdr:colOff>5327402</xdr:colOff>
      <xdr:row>315</xdr:row>
      <xdr:rowOff>2712356</xdr:rowOff>
    </xdr:to>
    <xdr:sp macro="" textlink="">
      <xdr:nvSpPr>
        <xdr:cNvPr id="2073" name="ZoneTexte 2072" hidden="1">
          <a:extLst>
            <a:ext uri="{FF2B5EF4-FFF2-40B4-BE49-F238E27FC236}">
              <a16:creationId xmlns:a16="http://schemas.microsoft.com/office/drawing/2014/main" id="{00000000-0008-0000-0D00-000019080000}"/>
            </a:ext>
          </a:extLst>
        </xdr:cNvPr>
        <xdr:cNvSpPr txBox="1"/>
      </xdr:nvSpPr>
      <xdr:spPr>
        <a:xfrm>
          <a:off x="7947496" y="971486344"/>
          <a:ext cx="61685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74" name="ZoneTexte 2073" hidden="1">
          <a:extLst>
            <a:ext uri="{FF2B5EF4-FFF2-40B4-BE49-F238E27FC236}">
              <a16:creationId xmlns:a16="http://schemas.microsoft.com/office/drawing/2014/main" id="{00000000-0008-0000-0D00-00001A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75" name="ZoneTexte 2074" hidden="1">
          <a:extLst>
            <a:ext uri="{FF2B5EF4-FFF2-40B4-BE49-F238E27FC236}">
              <a16:creationId xmlns:a16="http://schemas.microsoft.com/office/drawing/2014/main" id="{00000000-0008-0000-0D00-00001B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76" name="ZoneTexte 2075" hidden="1">
          <a:extLst>
            <a:ext uri="{FF2B5EF4-FFF2-40B4-BE49-F238E27FC236}">
              <a16:creationId xmlns:a16="http://schemas.microsoft.com/office/drawing/2014/main" id="{00000000-0008-0000-0D00-00001C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77" name="ZoneTexte 2076" hidden="1">
          <a:extLst>
            <a:ext uri="{FF2B5EF4-FFF2-40B4-BE49-F238E27FC236}">
              <a16:creationId xmlns:a16="http://schemas.microsoft.com/office/drawing/2014/main" id="{00000000-0008-0000-0D00-00001D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78" name="ZoneTexte 2077" hidden="1">
          <a:extLst>
            <a:ext uri="{FF2B5EF4-FFF2-40B4-BE49-F238E27FC236}">
              <a16:creationId xmlns:a16="http://schemas.microsoft.com/office/drawing/2014/main" id="{00000000-0008-0000-0D00-00001E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79" name="ZoneTexte 2078" hidden="1">
          <a:extLst>
            <a:ext uri="{FF2B5EF4-FFF2-40B4-BE49-F238E27FC236}">
              <a16:creationId xmlns:a16="http://schemas.microsoft.com/office/drawing/2014/main" id="{00000000-0008-0000-0D00-00001F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80" name="ZoneTexte 2079" hidden="1">
          <a:extLst>
            <a:ext uri="{FF2B5EF4-FFF2-40B4-BE49-F238E27FC236}">
              <a16:creationId xmlns:a16="http://schemas.microsoft.com/office/drawing/2014/main" id="{00000000-0008-0000-0D00-000020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81" name="ZoneTexte 2080" hidden="1">
          <a:extLst>
            <a:ext uri="{FF2B5EF4-FFF2-40B4-BE49-F238E27FC236}">
              <a16:creationId xmlns:a16="http://schemas.microsoft.com/office/drawing/2014/main" id="{00000000-0008-0000-0D00-000021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82" name="ZoneTexte 2081" hidden="1">
          <a:extLst>
            <a:ext uri="{FF2B5EF4-FFF2-40B4-BE49-F238E27FC236}">
              <a16:creationId xmlns:a16="http://schemas.microsoft.com/office/drawing/2014/main" id="{00000000-0008-0000-0D00-000022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83" name="ZoneTexte 2082" hidden="1">
          <a:extLst>
            <a:ext uri="{FF2B5EF4-FFF2-40B4-BE49-F238E27FC236}">
              <a16:creationId xmlns:a16="http://schemas.microsoft.com/office/drawing/2014/main" id="{00000000-0008-0000-0D00-000023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84" name="ZoneTexte 2083" hidden="1">
          <a:extLst>
            <a:ext uri="{FF2B5EF4-FFF2-40B4-BE49-F238E27FC236}">
              <a16:creationId xmlns:a16="http://schemas.microsoft.com/office/drawing/2014/main" id="{00000000-0008-0000-0D00-000024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85" name="ZoneTexte 2084" hidden="1">
          <a:extLst>
            <a:ext uri="{FF2B5EF4-FFF2-40B4-BE49-F238E27FC236}">
              <a16:creationId xmlns:a16="http://schemas.microsoft.com/office/drawing/2014/main" id="{00000000-0008-0000-0D00-000025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86" name="ZoneTexte 2085" hidden="1">
          <a:extLst>
            <a:ext uri="{FF2B5EF4-FFF2-40B4-BE49-F238E27FC236}">
              <a16:creationId xmlns:a16="http://schemas.microsoft.com/office/drawing/2014/main" id="{00000000-0008-0000-0D00-000026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87" name="ZoneTexte 2086" hidden="1">
          <a:extLst>
            <a:ext uri="{FF2B5EF4-FFF2-40B4-BE49-F238E27FC236}">
              <a16:creationId xmlns:a16="http://schemas.microsoft.com/office/drawing/2014/main" id="{00000000-0008-0000-0D00-000027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88" name="ZoneTexte 2087" hidden="1">
          <a:extLst>
            <a:ext uri="{FF2B5EF4-FFF2-40B4-BE49-F238E27FC236}">
              <a16:creationId xmlns:a16="http://schemas.microsoft.com/office/drawing/2014/main" id="{00000000-0008-0000-0D00-000028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89" name="ZoneTexte 2088" hidden="1">
          <a:extLst>
            <a:ext uri="{FF2B5EF4-FFF2-40B4-BE49-F238E27FC236}">
              <a16:creationId xmlns:a16="http://schemas.microsoft.com/office/drawing/2014/main" id="{00000000-0008-0000-0D00-000029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90" name="ZoneTexte 2089" hidden="1">
          <a:extLst>
            <a:ext uri="{FF2B5EF4-FFF2-40B4-BE49-F238E27FC236}">
              <a16:creationId xmlns:a16="http://schemas.microsoft.com/office/drawing/2014/main" id="{00000000-0008-0000-0D00-00002A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91" name="ZoneTexte 2090" hidden="1">
          <a:extLst>
            <a:ext uri="{FF2B5EF4-FFF2-40B4-BE49-F238E27FC236}">
              <a16:creationId xmlns:a16="http://schemas.microsoft.com/office/drawing/2014/main" id="{00000000-0008-0000-0D00-00002B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92" name="ZoneTexte 2091" hidden="1">
          <a:extLst>
            <a:ext uri="{FF2B5EF4-FFF2-40B4-BE49-F238E27FC236}">
              <a16:creationId xmlns:a16="http://schemas.microsoft.com/office/drawing/2014/main" id="{00000000-0008-0000-0D00-00002C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93" name="ZoneTexte 2092" hidden="1">
          <a:extLst>
            <a:ext uri="{FF2B5EF4-FFF2-40B4-BE49-F238E27FC236}">
              <a16:creationId xmlns:a16="http://schemas.microsoft.com/office/drawing/2014/main" id="{00000000-0008-0000-0D00-00002D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94" name="ZoneTexte 2093" hidden="1">
          <a:extLst>
            <a:ext uri="{FF2B5EF4-FFF2-40B4-BE49-F238E27FC236}">
              <a16:creationId xmlns:a16="http://schemas.microsoft.com/office/drawing/2014/main" id="{00000000-0008-0000-0D00-00002E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95" name="ZoneTexte 2094" hidden="1">
          <a:extLst>
            <a:ext uri="{FF2B5EF4-FFF2-40B4-BE49-F238E27FC236}">
              <a16:creationId xmlns:a16="http://schemas.microsoft.com/office/drawing/2014/main" id="{00000000-0008-0000-0D00-00002F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96" name="ZoneTexte 2095" hidden="1">
          <a:extLst>
            <a:ext uri="{FF2B5EF4-FFF2-40B4-BE49-F238E27FC236}">
              <a16:creationId xmlns:a16="http://schemas.microsoft.com/office/drawing/2014/main" id="{00000000-0008-0000-0D00-000030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97" name="ZoneTexte 2096" hidden="1">
          <a:extLst>
            <a:ext uri="{FF2B5EF4-FFF2-40B4-BE49-F238E27FC236}">
              <a16:creationId xmlns:a16="http://schemas.microsoft.com/office/drawing/2014/main" id="{00000000-0008-0000-0D00-000031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98" name="ZoneTexte 2097" hidden="1">
          <a:extLst>
            <a:ext uri="{FF2B5EF4-FFF2-40B4-BE49-F238E27FC236}">
              <a16:creationId xmlns:a16="http://schemas.microsoft.com/office/drawing/2014/main" id="{00000000-0008-0000-0D00-000032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099" name="ZoneTexte 2098" hidden="1">
          <a:extLst>
            <a:ext uri="{FF2B5EF4-FFF2-40B4-BE49-F238E27FC236}">
              <a16:creationId xmlns:a16="http://schemas.microsoft.com/office/drawing/2014/main" id="{00000000-0008-0000-0D00-000033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00" name="ZoneTexte 2099" hidden="1">
          <a:extLst>
            <a:ext uri="{FF2B5EF4-FFF2-40B4-BE49-F238E27FC236}">
              <a16:creationId xmlns:a16="http://schemas.microsoft.com/office/drawing/2014/main" id="{00000000-0008-0000-0D00-000034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01" name="ZoneTexte 2100" hidden="1">
          <a:extLst>
            <a:ext uri="{FF2B5EF4-FFF2-40B4-BE49-F238E27FC236}">
              <a16:creationId xmlns:a16="http://schemas.microsoft.com/office/drawing/2014/main" id="{00000000-0008-0000-0D00-000035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02" name="ZoneTexte 2101" hidden="1">
          <a:extLst>
            <a:ext uri="{FF2B5EF4-FFF2-40B4-BE49-F238E27FC236}">
              <a16:creationId xmlns:a16="http://schemas.microsoft.com/office/drawing/2014/main" id="{00000000-0008-0000-0D00-000036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03" name="ZoneTexte 2102" hidden="1">
          <a:extLst>
            <a:ext uri="{FF2B5EF4-FFF2-40B4-BE49-F238E27FC236}">
              <a16:creationId xmlns:a16="http://schemas.microsoft.com/office/drawing/2014/main" id="{00000000-0008-0000-0D00-000037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04" name="ZoneTexte 2103" hidden="1">
          <a:extLst>
            <a:ext uri="{FF2B5EF4-FFF2-40B4-BE49-F238E27FC236}">
              <a16:creationId xmlns:a16="http://schemas.microsoft.com/office/drawing/2014/main" id="{00000000-0008-0000-0D00-000038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05" name="ZoneTexte 2104" hidden="1">
          <a:extLst>
            <a:ext uri="{FF2B5EF4-FFF2-40B4-BE49-F238E27FC236}">
              <a16:creationId xmlns:a16="http://schemas.microsoft.com/office/drawing/2014/main" id="{00000000-0008-0000-0D00-000039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06" name="ZoneTexte 2105" hidden="1">
          <a:extLst>
            <a:ext uri="{FF2B5EF4-FFF2-40B4-BE49-F238E27FC236}">
              <a16:creationId xmlns:a16="http://schemas.microsoft.com/office/drawing/2014/main" id="{00000000-0008-0000-0D00-00003A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07" name="ZoneTexte 2106" hidden="1">
          <a:extLst>
            <a:ext uri="{FF2B5EF4-FFF2-40B4-BE49-F238E27FC236}">
              <a16:creationId xmlns:a16="http://schemas.microsoft.com/office/drawing/2014/main" id="{00000000-0008-0000-0D00-00003B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08" name="ZoneTexte 2107" hidden="1">
          <a:extLst>
            <a:ext uri="{FF2B5EF4-FFF2-40B4-BE49-F238E27FC236}">
              <a16:creationId xmlns:a16="http://schemas.microsoft.com/office/drawing/2014/main" id="{00000000-0008-0000-0D00-00003C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09" name="ZoneTexte 2108" hidden="1">
          <a:extLst>
            <a:ext uri="{FF2B5EF4-FFF2-40B4-BE49-F238E27FC236}">
              <a16:creationId xmlns:a16="http://schemas.microsoft.com/office/drawing/2014/main" id="{00000000-0008-0000-0D00-00003D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10" name="ZoneTexte 2109" hidden="1">
          <a:extLst>
            <a:ext uri="{FF2B5EF4-FFF2-40B4-BE49-F238E27FC236}">
              <a16:creationId xmlns:a16="http://schemas.microsoft.com/office/drawing/2014/main" id="{00000000-0008-0000-0D00-00003E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11" name="ZoneTexte 2110" hidden="1">
          <a:extLst>
            <a:ext uri="{FF2B5EF4-FFF2-40B4-BE49-F238E27FC236}">
              <a16:creationId xmlns:a16="http://schemas.microsoft.com/office/drawing/2014/main" id="{00000000-0008-0000-0D00-00003F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12" name="ZoneTexte 2111" hidden="1">
          <a:extLst>
            <a:ext uri="{FF2B5EF4-FFF2-40B4-BE49-F238E27FC236}">
              <a16:creationId xmlns:a16="http://schemas.microsoft.com/office/drawing/2014/main" id="{00000000-0008-0000-0D00-000040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13" name="ZoneTexte 2112" hidden="1">
          <a:extLst>
            <a:ext uri="{FF2B5EF4-FFF2-40B4-BE49-F238E27FC236}">
              <a16:creationId xmlns:a16="http://schemas.microsoft.com/office/drawing/2014/main" id="{00000000-0008-0000-0D00-000041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14" name="ZoneTexte 2113" hidden="1">
          <a:extLst>
            <a:ext uri="{FF2B5EF4-FFF2-40B4-BE49-F238E27FC236}">
              <a16:creationId xmlns:a16="http://schemas.microsoft.com/office/drawing/2014/main" id="{00000000-0008-0000-0D00-000042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15" name="ZoneTexte 2114" hidden="1">
          <a:extLst>
            <a:ext uri="{FF2B5EF4-FFF2-40B4-BE49-F238E27FC236}">
              <a16:creationId xmlns:a16="http://schemas.microsoft.com/office/drawing/2014/main" id="{00000000-0008-0000-0D00-000043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316</xdr:row>
      <xdr:rowOff>2412999</xdr:rowOff>
    </xdr:from>
    <xdr:to>
      <xdr:col>2</xdr:col>
      <xdr:colOff>5327402</xdr:colOff>
      <xdr:row>316</xdr:row>
      <xdr:rowOff>2712356</xdr:rowOff>
    </xdr:to>
    <xdr:sp macro="" textlink="">
      <xdr:nvSpPr>
        <xdr:cNvPr id="2116" name="ZoneTexte 2115" hidden="1">
          <a:extLst>
            <a:ext uri="{FF2B5EF4-FFF2-40B4-BE49-F238E27FC236}">
              <a16:creationId xmlns:a16="http://schemas.microsoft.com/office/drawing/2014/main" id="{00000000-0008-0000-0D00-000044080000}"/>
            </a:ext>
          </a:extLst>
        </xdr:cNvPr>
        <xdr:cNvSpPr txBox="1"/>
      </xdr:nvSpPr>
      <xdr:spPr>
        <a:xfrm>
          <a:off x="7947496" y="97390104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17" name="ZoneTexte 2116" hidden="1">
          <a:extLst>
            <a:ext uri="{FF2B5EF4-FFF2-40B4-BE49-F238E27FC236}">
              <a16:creationId xmlns:a16="http://schemas.microsoft.com/office/drawing/2014/main" id="{00000000-0008-0000-0D00-000045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316</xdr:row>
      <xdr:rowOff>2412999</xdr:rowOff>
    </xdr:from>
    <xdr:to>
      <xdr:col>2</xdr:col>
      <xdr:colOff>5327402</xdr:colOff>
      <xdr:row>316</xdr:row>
      <xdr:rowOff>2712356</xdr:rowOff>
    </xdr:to>
    <xdr:sp macro="" textlink="">
      <xdr:nvSpPr>
        <xdr:cNvPr id="2118" name="ZoneTexte 2117" hidden="1">
          <a:extLst>
            <a:ext uri="{FF2B5EF4-FFF2-40B4-BE49-F238E27FC236}">
              <a16:creationId xmlns:a16="http://schemas.microsoft.com/office/drawing/2014/main" id="{00000000-0008-0000-0D00-000046080000}"/>
            </a:ext>
          </a:extLst>
        </xdr:cNvPr>
        <xdr:cNvSpPr txBox="1"/>
      </xdr:nvSpPr>
      <xdr:spPr>
        <a:xfrm>
          <a:off x="7947496" y="97390104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19" name="ZoneTexte 2118" hidden="1">
          <a:extLst>
            <a:ext uri="{FF2B5EF4-FFF2-40B4-BE49-F238E27FC236}">
              <a16:creationId xmlns:a16="http://schemas.microsoft.com/office/drawing/2014/main" id="{00000000-0008-0000-0D00-000047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20" name="ZoneTexte 2119" hidden="1">
          <a:extLst>
            <a:ext uri="{FF2B5EF4-FFF2-40B4-BE49-F238E27FC236}">
              <a16:creationId xmlns:a16="http://schemas.microsoft.com/office/drawing/2014/main" id="{00000000-0008-0000-0D00-000048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330</xdr:row>
      <xdr:rowOff>2412999</xdr:rowOff>
    </xdr:from>
    <xdr:to>
      <xdr:col>2</xdr:col>
      <xdr:colOff>5327402</xdr:colOff>
      <xdr:row>330</xdr:row>
      <xdr:rowOff>2712356</xdr:rowOff>
    </xdr:to>
    <xdr:sp macro="" textlink="">
      <xdr:nvSpPr>
        <xdr:cNvPr id="2121" name="ZoneTexte 2120" hidden="1">
          <a:extLst>
            <a:ext uri="{FF2B5EF4-FFF2-40B4-BE49-F238E27FC236}">
              <a16:creationId xmlns:a16="http://schemas.microsoft.com/office/drawing/2014/main" id="{00000000-0008-0000-0D00-000049080000}"/>
            </a:ext>
          </a:extLst>
        </xdr:cNvPr>
        <xdr:cNvSpPr txBox="1"/>
      </xdr:nvSpPr>
      <xdr:spPr>
        <a:xfrm>
          <a:off x="7947496" y="1022842511"/>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316</xdr:row>
      <xdr:rowOff>2412999</xdr:rowOff>
    </xdr:from>
    <xdr:to>
      <xdr:col>2</xdr:col>
      <xdr:colOff>5327402</xdr:colOff>
      <xdr:row>316</xdr:row>
      <xdr:rowOff>2712356</xdr:rowOff>
    </xdr:to>
    <xdr:sp macro="" textlink="">
      <xdr:nvSpPr>
        <xdr:cNvPr id="2122" name="ZoneTexte 2121" hidden="1">
          <a:extLst>
            <a:ext uri="{FF2B5EF4-FFF2-40B4-BE49-F238E27FC236}">
              <a16:creationId xmlns:a16="http://schemas.microsoft.com/office/drawing/2014/main" id="{00000000-0008-0000-0D00-00004A080000}"/>
            </a:ext>
          </a:extLst>
        </xdr:cNvPr>
        <xdr:cNvSpPr txBox="1"/>
      </xdr:nvSpPr>
      <xdr:spPr>
        <a:xfrm>
          <a:off x="7947496" y="97390104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316</xdr:row>
      <xdr:rowOff>2412999</xdr:rowOff>
    </xdr:from>
    <xdr:to>
      <xdr:col>2</xdr:col>
      <xdr:colOff>5327402</xdr:colOff>
      <xdr:row>316</xdr:row>
      <xdr:rowOff>2712356</xdr:rowOff>
    </xdr:to>
    <xdr:sp macro="" textlink="">
      <xdr:nvSpPr>
        <xdr:cNvPr id="2123" name="ZoneTexte 2122" hidden="1">
          <a:extLst>
            <a:ext uri="{FF2B5EF4-FFF2-40B4-BE49-F238E27FC236}">
              <a16:creationId xmlns:a16="http://schemas.microsoft.com/office/drawing/2014/main" id="{00000000-0008-0000-0D00-00004B080000}"/>
            </a:ext>
          </a:extLst>
        </xdr:cNvPr>
        <xdr:cNvSpPr txBox="1"/>
      </xdr:nvSpPr>
      <xdr:spPr>
        <a:xfrm>
          <a:off x="7947496" y="97390104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316</xdr:row>
      <xdr:rowOff>2412999</xdr:rowOff>
    </xdr:from>
    <xdr:to>
      <xdr:col>2</xdr:col>
      <xdr:colOff>5327402</xdr:colOff>
      <xdr:row>316</xdr:row>
      <xdr:rowOff>2712356</xdr:rowOff>
    </xdr:to>
    <xdr:sp macro="" textlink="">
      <xdr:nvSpPr>
        <xdr:cNvPr id="2124" name="ZoneTexte 2123" hidden="1">
          <a:extLst>
            <a:ext uri="{FF2B5EF4-FFF2-40B4-BE49-F238E27FC236}">
              <a16:creationId xmlns:a16="http://schemas.microsoft.com/office/drawing/2014/main" id="{00000000-0008-0000-0D00-00004C080000}"/>
            </a:ext>
          </a:extLst>
        </xdr:cNvPr>
        <xdr:cNvSpPr txBox="1"/>
      </xdr:nvSpPr>
      <xdr:spPr>
        <a:xfrm>
          <a:off x="7947496" y="97390104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316</xdr:row>
      <xdr:rowOff>2412999</xdr:rowOff>
    </xdr:from>
    <xdr:to>
      <xdr:col>2</xdr:col>
      <xdr:colOff>5327402</xdr:colOff>
      <xdr:row>316</xdr:row>
      <xdr:rowOff>2712356</xdr:rowOff>
    </xdr:to>
    <xdr:sp macro="" textlink="">
      <xdr:nvSpPr>
        <xdr:cNvPr id="2125" name="ZoneTexte 2124" hidden="1">
          <a:extLst>
            <a:ext uri="{FF2B5EF4-FFF2-40B4-BE49-F238E27FC236}">
              <a16:creationId xmlns:a16="http://schemas.microsoft.com/office/drawing/2014/main" id="{00000000-0008-0000-0D00-00004D080000}"/>
            </a:ext>
          </a:extLst>
        </xdr:cNvPr>
        <xdr:cNvSpPr txBox="1"/>
      </xdr:nvSpPr>
      <xdr:spPr>
        <a:xfrm>
          <a:off x="7947496" y="97390104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316</xdr:row>
      <xdr:rowOff>2412999</xdr:rowOff>
    </xdr:from>
    <xdr:to>
      <xdr:col>2</xdr:col>
      <xdr:colOff>5327402</xdr:colOff>
      <xdr:row>316</xdr:row>
      <xdr:rowOff>2712356</xdr:rowOff>
    </xdr:to>
    <xdr:sp macro="" textlink="">
      <xdr:nvSpPr>
        <xdr:cNvPr id="2126" name="ZoneTexte 2125" hidden="1">
          <a:extLst>
            <a:ext uri="{FF2B5EF4-FFF2-40B4-BE49-F238E27FC236}">
              <a16:creationId xmlns:a16="http://schemas.microsoft.com/office/drawing/2014/main" id="{00000000-0008-0000-0D00-00004E080000}"/>
            </a:ext>
          </a:extLst>
        </xdr:cNvPr>
        <xdr:cNvSpPr txBox="1"/>
      </xdr:nvSpPr>
      <xdr:spPr>
        <a:xfrm>
          <a:off x="7947496" y="97390104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316</xdr:row>
      <xdr:rowOff>2412999</xdr:rowOff>
    </xdr:from>
    <xdr:to>
      <xdr:col>2</xdr:col>
      <xdr:colOff>5327402</xdr:colOff>
      <xdr:row>316</xdr:row>
      <xdr:rowOff>2712356</xdr:rowOff>
    </xdr:to>
    <xdr:sp macro="" textlink="">
      <xdr:nvSpPr>
        <xdr:cNvPr id="2127" name="ZoneTexte 2126" hidden="1">
          <a:extLst>
            <a:ext uri="{FF2B5EF4-FFF2-40B4-BE49-F238E27FC236}">
              <a16:creationId xmlns:a16="http://schemas.microsoft.com/office/drawing/2014/main" id="{00000000-0008-0000-0D00-00004F080000}"/>
            </a:ext>
          </a:extLst>
        </xdr:cNvPr>
        <xdr:cNvSpPr txBox="1"/>
      </xdr:nvSpPr>
      <xdr:spPr>
        <a:xfrm>
          <a:off x="7947496" y="97390104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316</xdr:row>
      <xdr:rowOff>2412999</xdr:rowOff>
    </xdr:from>
    <xdr:to>
      <xdr:col>2</xdr:col>
      <xdr:colOff>5327402</xdr:colOff>
      <xdr:row>316</xdr:row>
      <xdr:rowOff>2712356</xdr:rowOff>
    </xdr:to>
    <xdr:sp macro="" textlink="">
      <xdr:nvSpPr>
        <xdr:cNvPr id="2128" name="ZoneTexte 2127" hidden="1">
          <a:extLst>
            <a:ext uri="{FF2B5EF4-FFF2-40B4-BE49-F238E27FC236}">
              <a16:creationId xmlns:a16="http://schemas.microsoft.com/office/drawing/2014/main" id="{00000000-0008-0000-0D00-000050080000}"/>
            </a:ext>
          </a:extLst>
        </xdr:cNvPr>
        <xdr:cNvSpPr txBox="1"/>
      </xdr:nvSpPr>
      <xdr:spPr>
        <a:xfrm>
          <a:off x="7947496" y="97390104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316</xdr:row>
      <xdr:rowOff>2412999</xdr:rowOff>
    </xdr:from>
    <xdr:to>
      <xdr:col>2</xdr:col>
      <xdr:colOff>5327402</xdr:colOff>
      <xdr:row>316</xdr:row>
      <xdr:rowOff>2712356</xdr:rowOff>
    </xdr:to>
    <xdr:sp macro="" textlink="">
      <xdr:nvSpPr>
        <xdr:cNvPr id="2129" name="ZoneTexte 2128" hidden="1">
          <a:extLst>
            <a:ext uri="{FF2B5EF4-FFF2-40B4-BE49-F238E27FC236}">
              <a16:creationId xmlns:a16="http://schemas.microsoft.com/office/drawing/2014/main" id="{00000000-0008-0000-0D00-000051080000}"/>
            </a:ext>
          </a:extLst>
        </xdr:cNvPr>
        <xdr:cNvSpPr txBox="1"/>
      </xdr:nvSpPr>
      <xdr:spPr>
        <a:xfrm>
          <a:off x="7947496" y="973901048"/>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30" name="ZoneTexte 2129" hidden="1">
          <a:extLst>
            <a:ext uri="{FF2B5EF4-FFF2-40B4-BE49-F238E27FC236}">
              <a16:creationId xmlns:a16="http://schemas.microsoft.com/office/drawing/2014/main" id="{00000000-0008-0000-0D00-000052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31" name="ZoneTexte 2130" hidden="1">
          <a:extLst>
            <a:ext uri="{FF2B5EF4-FFF2-40B4-BE49-F238E27FC236}">
              <a16:creationId xmlns:a16="http://schemas.microsoft.com/office/drawing/2014/main" id="{00000000-0008-0000-0D00-000053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32" name="ZoneTexte 2131" hidden="1">
          <a:extLst>
            <a:ext uri="{FF2B5EF4-FFF2-40B4-BE49-F238E27FC236}">
              <a16:creationId xmlns:a16="http://schemas.microsoft.com/office/drawing/2014/main" id="{00000000-0008-0000-0D00-000054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33" name="ZoneTexte 2132" hidden="1">
          <a:extLst>
            <a:ext uri="{FF2B5EF4-FFF2-40B4-BE49-F238E27FC236}">
              <a16:creationId xmlns:a16="http://schemas.microsoft.com/office/drawing/2014/main" id="{00000000-0008-0000-0D00-000055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34" name="ZoneTexte 2133" hidden="1">
          <a:extLst>
            <a:ext uri="{FF2B5EF4-FFF2-40B4-BE49-F238E27FC236}">
              <a16:creationId xmlns:a16="http://schemas.microsoft.com/office/drawing/2014/main" id="{00000000-0008-0000-0D00-000056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35" name="ZoneTexte 2134" hidden="1">
          <a:extLst>
            <a:ext uri="{FF2B5EF4-FFF2-40B4-BE49-F238E27FC236}">
              <a16:creationId xmlns:a16="http://schemas.microsoft.com/office/drawing/2014/main" id="{00000000-0008-0000-0D00-000057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36" name="ZoneTexte 2135" hidden="1">
          <a:extLst>
            <a:ext uri="{FF2B5EF4-FFF2-40B4-BE49-F238E27FC236}">
              <a16:creationId xmlns:a16="http://schemas.microsoft.com/office/drawing/2014/main" id="{00000000-0008-0000-0D00-000058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37" name="ZoneTexte 2136" hidden="1">
          <a:extLst>
            <a:ext uri="{FF2B5EF4-FFF2-40B4-BE49-F238E27FC236}">
              <a16:creationId xmlns:a16="http://schemas.microsoft.com/office/drawing/2014/main" id="{00000000-0008-0000-0D00-000059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38" name="ZoneTexte 2137" hidden="1">
          <a:extLst>
            <a:ext uri="{FF2B5EF4-FFF2-40B4-BE49-F238E27FC236}">
              <a16:creationId xmlns:a16="http://schemas.microsoft.com/office/drawing/2014/main" id="{00000000-0008-0000-0D00-00005A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39" name="ZoneTexte 2138" hidden="1">
          <a:extLst>
            <a:ext uri="{FF2B5EF4-FFF2-40B4-BE49-F238E27FC236}">
              <a16:creationId xmlns:a16="http://schemas.microsoft.com/office/drawing/2014/main" id="{00000000-0008-0000-0D00-00005B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40" name="ZoneTexte 2139" hidden="1">
          <a:extLst>
            <a:ext uri="{FF2B5EF4-FFF2-40B4-BE49-F238E27FC236}">
              <a16:creationId xmlns:a16="http://schemas.microsoft.com/office/drawing/2014/main" id="{00000000-0008-0000-0D00-00005C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41" name="ZoneTexte 2140" hidden="1">
          <a:extLst>
            <a:ext uri="{FF2B5EF4-FFF2-40B4-BE49-F238E27FC236}">
              <a16:creationId xmlns:a16="http://schemas.microsoft.com/office/drawing/2014/main" id="{00000000-0008-0000-0D00-00005D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42" name="ZoneTexte 2141" hidden="1">
          <a:extLst>
            <a:ext uri="{FF2B5EF4-FFF2-40B4-BE49-F238E27FC236}">
              <a16:creationId xmlns:a16="http://schemas.microsoft.com/office/drawing/2014/main" id="{00000000-0008-0000-0D00-00005E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43" name="ZoneTexte 2142" hidden="1">
          <a:extLst>
            <a:ext uri="{FF2B5EF4-FFF2-40B4-BE49-F238E27FC236}">
              <a16:creationId xmlns:a16="http://schemas.microsoft.com/office/drawing/2014/main" id="{00000000-0008-0000-0D00-00005F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44" name="ZoneTexte 2143" hidden="1">
          <a:extLst>
            <a:ext uri="{FF2B5EF4-FFF2-40B4-BE49-F238E27FC236}">
              <a16:creationId xmlns:a16="http://schemas.microsoft.com/office/drawing/2014/main" id="{00000000-0008-0000-0D00-000060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45" name="ZoneTexte 2144" hidden="1">
          <a:extLst>
            <a:ext uri="{FF2B5EF4-FFF2-40B4-BE49-F238E27FC236}">
              <a16:creationId xmlns:a16="http://schemas.microsoft.com/office/drawing/2014/main" id="{00000000-0008-0000-0D00-000061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46" name="ZoneTexte 2145" hidden="1">
          <a:extLst>
            <a:ext uri="{FF2B5EF4-FFF2-40B4-BE49-F238E27FC236}">
              <a16:creationId xmlns:a16="http://schemas.microsoft.com/office/drawing/2014/main" id="{00000000-0008-0000-0D00-000062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47" name="ZoneTexte 2146" hidden="1">
          <a:extLst>
            <a:ext uri="{FF2B5EF4-FFF2-40B4-BE49-F238E27FC236}">
              <a16:creationId xmlns:a16="http://schemas.microsoft.com/office/drawing/2014/main" id="{00000000-0008-0000-0D00-000063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48" name="ZoneTexte 2147" hidden="1">
          <a:extLst>
            <a:ext uri="{FF2B5EF4-FFF2-40B4-BE49-F238E27FC236}">
              <a16:creationId xmlns:a16="http://schemas.microsoft.com/office/drawing/2014/main" id="{00000000-0008-0000-0D00-000064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49" name="ZoneTexte 2148" hidden="1">
          <a:extLst>
            <a:ext uri="{FF2B5EF4-FFF2-40B4-BE49-F238E27FC236}">
              <a16:creationId xmlns:a16="http://schemas.microsoft.com/office/drawing/2014/main" id="{00000000-0008-0000-0D00-000065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50" name="ZoneTexte 2149" hidden="1">
          <a:extLst>
            <a:ext uri="{FF2B5EF4-FFF2-40B4-BE49-F238E27FC236}">
              <a16:creationId xmlns:a16="http://schemas.microsoft.com/office/drawing/2014/main" id="{00000000-0008-0000-0D00-000066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51" name="ZoneTexte 2150" hidden="1">
          <a:extLst>
            <a:ext uri="{FF2B5EF4-FFF2-40B4-BE49-F238E27FC236}">
              <a16:creationId xmlns:a16="http://schemas.microsoft.com/office/drawing/2014/main" id="{00000000-0008-0000-0D00-000067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52" name="ZoneTexte 2151" hidden="1">
          <a:extLst>
            <a:ext uri="{FF2B5EF4-FFF2-40B4-BE49-F238E27FC236}">
              <a16:creationId xmlns:a16="http://schemas.microsoft.com/office/drawing/2014/main" id="{00000000-0008-0000-0D00-000068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53" name="ZoneTexte 2152" hidden="1">
          <a:extLst>
            <a:ext uri="{FF2B5EF4-FFF2-40B4-BE49-F238E27FC236}">
              <a16:creationId xmlns:a16="http://schemas.microsoft.com/office/drawing/2014/main" id="{00000000-0008-0000-0D00-000069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54" name="ZoneTexte 2153" hidden="1">
          <a:extLst>
            <a:ext uri="{FF2B5EF4-FFF2-40B4-BE49-F238E27FC236}">
              <a16:creationId xmlns:a16="http://schemas.microsoft.com/office/drawing/2014/main" id="{00000000-0008-0000-0D00-00006A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55" name="ZoneTexte 2154" hidden="1">
          <a:extLst>
            <a:ext uri="{FF2B5EF4-FFF2-40B4-BE49-F238E27FC236}">
              <a16:creationId xmlns:a16="http://schemas.microsoft.com/office/drawing/2014/main" id="{00000000-0008-0000-0D00-00006B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56" name="ZoneTexte 2155" hidden="1">
          <a:extLst>
            <a:ext uri="{FF2B5EF4-FFF2-40B4-BE49-F238E27FC236}">
              <a16:creationId xmlns:a16="http://schemas.microsoft.com/office/drawing/2014/main" id="{00000000-0008-0000-0D00-00006C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57" name="ZoneTexte 2156" hidden="1">
          <a:extLst>
            <a:ext uri="{FF2B5EF4-FFF2-40B4-BE49-F238E27FC236}">
              <a16:creationId xmlns:a16="http://schemas.microsoft.com/office/drawing/2014/main" id="{00000000-0008-0000-0D00-00006D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58" name="ZoneTexte 2157" hidden="1">
          <a:extLst>
            <a:ext uri="{FF2B5EF4-FFF2-40B4-BE49-F238E27FC236}">
              <a16:creationId xmlns:a16="http://schemas.microsoft.com/office/drawing/2014/main" id="{00000000-0008-0000-0D00-00006E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321</xdr:row>
      <xdr:rowOff>2412999</xdr:rowOff>
    </xdr:from>
    <xdr:to>
      <xdr:col>2</xdr:col>
      <xdr:colOff>5327402</xdr:colOff>
      <xdr:row>321</xdr:row>
      <xdr:rowOff>2712356</xdr:rowOff>
    </xdr:to>
    <xdr:sp macro="" textlink="">
      <xdr:nvSpPr>
        <xdr:cNvPr id="2159" name="ZoneTexte 2158" hidden="1">
          <a:extLst>
            <a:ext uri="{FF2B5EF4-FFF2-40B4-BE49-F238E27FC236}">
              <a16:creationId xmlns:a16="http://schemas.microsoft.com/office/drawing/2014/main" id="{00000000-0008-0000-0D00-00006F080000}"/>
            </a:ext>
          </a:extLst>
        </xdr:cNvPr>
        <xdr:cNvSpPr txBox="1"/>
      </xdr:nvSpPr>
      <xdr:spPr>
        <a:xfrm>
          <a:off x="7947496" y="993431170"/>
          <a:ext cx="616857" cy="29935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333</xdr:row>
      <xdr:rowOff>2412999</xdr:rowOff>
    </xdr:from>
    <xdr:to>
      <xdr:col>2</xdr:col>
      <xdr:colOff>5327402</xdr:colOff>
      <xdr:row>333</xdr:row>
      <xdr:rowOff>2712356</xdr:rowOff>
    </xdr:to>
    <xdr:sp macro="" textlink="">
      <xdr:nvSpPr>
        <xdr:cNvPr id="8" name="ZoneTexte 7">
          <a:extLst>
            <a:ext uri="{FF2B5EF4-FFF2-40B4-BE49-F238E27FC236}">
              <a16:creationId xmlns:a16="http://schemas.microsoft.com/office/drawing/2014/main" id="{EE12FD44-B213-4D3B-BD39-15B7F63700E7}"/>
            </a:ext>
          </a:extLst>
        </xdr:cNvPr>
        <xdr:cNvSpPr txBox="1"/>
      </xdr:nvSpPr>
      <xdr:spPr>
        <a:xfrm>
          <a:off x="6202795" y="4806949"/>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333</xdr:row>
      <xdr:rowOff>3706090</xdr:rowOff>
    </xdr:from>
    <xdr:to>
      <xdr:col>2</xdr:col>
      <xdr:colOff>5142675</xdr:colOff>
      <xdr:row>333</xdr:row>
      <xdr:rowOff>4005447</xdr:rowOff>
    </xdr:to>
    <xdr:sp macro="" textlink="">
      <xdr:nvSpPr>
        <xdr:cNvPr id="9" name="ZoneTexte 8">
          <a:extLst>
            <a:ext uri="{FF2B5EF4-FFF2-40B4-BE49-F238E27FC236}">
              <a16:creationId xmlns:a16="http://schemas.microsoft.com/office/drawing/2014/main" id="{1CD9D0E3-ACB6-42CE-91F3-64372CAF09E0}"/>
            </a:ext>
          </a:extLst>
        </xdr:cNvPr>
        <xdr:cNvSpPr txBox="1"/>
      </xdr:nvSpPr>
      <xdr:spPr>
        <a:xfrm>
          <a:off x="6202218" y="4804640"/>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333</xdr:row>
      <xdr:rowOff>2412999</xdr:rowOff>
    </xdr:from>
    <xdr:to>
      <xdr:col>2</xdr:col>
      <xdr:colOff>5327402</xdr:colOff>
      <xdr:row>333</xdr:row>
      <xdr:rowOff>2712356</xdr:rowOff>
    </xdr:to>
    <xdr:sp macro="" textlink="">
      <xdr:nvSpPr>
        <xdr:cNvPr id="16" name="ZoneTexte 15">
          <a:extLst>
            <a:ext uri="{FF2B5EF4-FFF2-40B4-BE49-F238E27FC236}">
              <a16:creationId xmlns:a16="http://schemas.microsoft.com/office/drawing/2014/main" id="{1EBFBDF4-9382-405A-9675-BF22B3A55F4F}"/>
            </a:ext>
          </a:extLst>
        </xdr:cNvPr>
        <xdr:cNvSpPr txBox="1"/>
      </xdr:nvSpPr>
      <xdr:spPr>
        <a:xfrm>
          <a:off x="6202795" y="4806949"/>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333</xdr:row>
      <xdr:rowOff>2412999</xdr:rowOff>
    </xdr:from>
    <xdr:to>
      <xdr:col>2</xdr:col>
      <xdr:colOff>5327402</xdr:colOff>
      <xdr:row>333</xdr:row>
      <xdr:rowOff>2712356</xdr:rowOff>
    </xdr:to>
    <xdr:sp macro="" textlink="">
      <xdr:nvSpPr>
        <xdr:cNvPr id="17" name="ZoneTexte 16">
          <a:extLst>
            <a:ext uri="{FF2B5EF4-FFF2-40B4-BE49-F238E27FC236}">
              <a16:creationId xmlns:a16="http://schemas.microsoft.com/office/drawing/2014/main" id="{B094EAE3-D09C-44EB-9E86-3812C9EB839A}"/>
            </a:ext>
          </a:extLst>
        </xdr:cNvPr>
        <xdr:cNvSpPr txBox="1"/>
      </xdr:nvSpPr>
      <xdr:spPr>
        <a:xfrm>
          <a:off x="6202795" y="4806949"/>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333</xdr:row>
      <xdr:rowOff>3706090</xdr:rowOff>
    </xdr:from>
    <xdr:to>
      <xdr:col>2</xdr:col>
      <xdr:colOff>5142675</xdr:colOff>
      <xdr:row>333</xdr:row>
      <xdr:rowOff>4005447</xdr:rowOff>
    </xdr:to>
    <xdr:sp macro="" textlink="">
      <xdr:nvSpPr>
        <xdr:cNvPr id="18" name="ZoneTexte 17">
          <a:extLst>
            <a:ext uri="{FF2B5EF4-FFF2-40B4-BE49-F238E27FC236}">
              <a16:creationId xmlns:a16="http://schemas.microsoft.com/office/drawing/2014/main" id="{52D3B99C-78B8-403D-80D7-C2792DBFEEF0}"/>
            </a:ext>
          </a:extLst>
        </xdr:cNvPr>
        <xdr:cNvSpPr txBox="1"/>
      </xdr:nvSpPr>
      <xdr:spPr>
        <a:xfrm>
          <a:off x="6202218" y="4804640"/>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333</xdr:row>
      <xdr:rowOff>2412999</xdr:rowOff>
    </xdr:from>
    <xdr:to>
      <xdr:col>2</xdr:col>
      <xdr:colOff>5327402</xdr:colOff>
      <xdr:row>333</xdr:row>
      <xdr:rowOff>2712356</xdr:rowOff>
    </xdr:to>
    <xdr:sp macro="" textlink="">
      <xdr:nvSpPr>
        <xdr:cNvPr id="22" name="ZoneTexte 21">
          <a:extLst>
            <a:ext uri="{FF2B5EF4-FFF2-40B4-BE49-F238E27FC236}">
              <a16:creationId xmlns:a16="http://schemas.microsoft.com/office/drawing/2014/main" id="{CB0F2E5B-3478-4A7E-8B0C-3EB00AC8023A}"/>
            </a:ext>
          </a:extLst>
        </xdr:cNvPr>
        <xdr:cNvSpPr txBox="1"/>
      </xdr:nvSpPr>
      <xdr:spPr>
        <a:xfrm>
          <a:off x="6202795" y="4806949"/>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4710545</xdr:colOff>
      <xdr:row>132</xdr:row>
      <xdr:rowOff>0</xdr:rowOff>
    </xdr:from>
    <xdr:to>
      <xdr:col>2</xdr:col>
      <xdr:colOff>5327402</xdr:colOff>
      <xdr:row>132</xdr:row>
      <xdr:rowOff>0</xdr:rowOff>
    </xdr:to>
    <xdr:sp macro="" textlink="">
      <xdr:nvSpPr>
        <xdr:cNvPr id="44" name="ZoneTexte 43">
          <a:extLst>
            <a:ext uri="{FF2B5EF4-FFF2-40B4-BE49-F238E27FC236}">
              <a16:creationId xmlns:a16="http://schemas.microsoft.com/office/drawing/2014/main" id="{00000000-0008-0000-0E00-00002C000000}"/>
            </a:ext>
          </a:extLst>
        </xdr:cNvPr>
        <xdr:cNvSpPr txBox="1"/>
      </xdr:nvSpPr>
      <xdr:spPr>
        <a:xfrm>
          <a:off x="7632251" y="4437238"/>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132</xdr:row>
      <xdr:rowOff>0</xdr:rowOff>
    </xdr:from>
    <xdr:to>
      <xdr:col>2</xdr:col>
      <xdr:colOff>5327402</xdr:colOff>
      <xdr:row>132</xdr:row>
      <xdr:rowOff>0</xdr:rowOff>
    </xdr:to>
    <xdr:sp macro="" textlink="">
      <xdr:nvSpPr>
        <xdr:cNvPr id="46" name="ZoneTexte 45">
          <a:extLst>
            <a:ext uri="{FF2B5EF4-FFF2-40B4-BE49-F238E27FC236}">
              <a16:creationId xmlns:a16="http://schemas.microsoft.com/office/drawing/2014/main" id="{00000000-0008-0000-0E00-00002E000000}"/>
            </a:ext>
          </a:extLst>
        </xdr:cNvPr>
        <xdr:cNvSpPr txBox="1"/>
      </xdr:nvSpPr>
      <xdr:spPr>
        <a:xfrm>
          <a:off x="7632251" y="4437238"/>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132</xdr:row>
      <xdr:rowOff>0</xdr:rowOff>
    </xdr:from>
    <xdr:to>
      <xdr:col>2</xdr:col>
      <xdr:colOff>5327402</xdr:colOff>
      <xdr:row>132</xdr:row>
      <xdr:rowOff>0</xdr:rowOff>
    </xdr:to>
    <xdr:sp macro="" textlink="">
      <xdr:nvSpPr>
        <xdr:cNvPr id="47" name="ZoneTexte 46">
          <a:extLst>
            <a:ext uri="{FF2B5EF4-FFF2-40B4-BE49-F238E27FC236}">
              <a16:creationId xmlns:a16="http://schemas.microsoft.com/office/drawing/2014/main" id="{00000000-0008-0000-0E00-00002F000000}"/>
            </a:ext>
          </a:extLst>
        </xdr:cNvPr>
        <xdr:cNvSpPr txBox="1"/>
      </xdr:nvSpPr>
      <xdr:spPr>
        <a:xfrm>
          <a:off x="7632251" y="4437238"/>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132</xdr:row>
      <xdr:rowOff>0</xdr:rowOff>
    </xdr:from>
    <xdr:to>
      <xdr:col>2</xdr:col>
      <xdr:colOff>5327402</xdr:colOff>
      <xdr:row>132</xdr:row>
      <xdr:rowOff>0</xdr:rowOff>
    </xdr:to>
    <xdr:sp macro="" textlink="">
      <xdr:nvSpPr>
        <xdr:cNvPr id="49" name="ZoneTexte 48">
          <a:extLst>
            <a:ext uri="{FF2B5EF4-FFF2-40B4-BE49-F238E27FC236}">
              <a16:creationId xmlns:a16="http://schemas.microsoft.com/office/drawing/2014/main" id="{00000000-0008-0000-0E00-000031000000}"/>
            </a:ext>
          </a:extLst>
        </xdr:cNvPr>
        <xdr:cNvSpPr txBox="1"/>
      </xdr:nvSpPr>
      <xdr:spPr>
        <a:xfrm>
          <a:off x="7632251" y="4437238"/>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xdr:row>
      <xdr:rowOff>0</xdr:rowOff>
    </xdr:from>
    <xdr:to>
      <xdr:col>2</xdr:col>
      <xdr:colOff>5327402</xdr:colOff>
      <xdr:row>5</xdr:row>
      <xdr:rowOff>0</xdr:rowOff>
    </xdr:to>
    <xdr:sp macro="" textlink="">
      <xdr:nvSpPr>
        <xdr:cNvPr id="66" name="ZoneTexte 65">
          <a:extLst>
            <a:ext uri="{FF2B5EF4-FFF2-40B4-BE49-F238E27FC236}">
              <a16:creationId xmlns:a16="http://schemas.microsoft.com/office/drawing/2014/main" id="{00000000-0008-0000-0E00-000042000000}"/>
            </a:ext>
          </a:extLst>
        </xdr:cNvPr>
        <xdr:cNvSpPr txBox="1"/>
      </xdr:nvSpPr>
      <xdr:spPr>
        <a:xfrm>
          <a:off x="7625195" y="3517899"/>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xdr:row>
      <xdr:rowOff>0</xdr:rowOff>
    </xdr:from>
    <xdr:to>
      <xdr:col>2</xdr:col>
      <xdr:colOff>5142675</xdr:colOff>
      <xdr:row>5</xdr:row>
      <xdr:rowOff>0</xdr:rowOff>
    </xdr:to>
    <xdr:sp macro="" textlink="">
      <xdr:nvSpPr>
        <xdr:cNvPr id="67" name="ZoneTexte 66">
          <a:extLst>
            <a:ext uri="{FF2B5EF4-FFF2-40B4-BE49-F238E27FC236}">
              <a16:creationId xmlns:a16="http://schemas.microsoft.com/office/drawing/2014/main" id="{00000000-0008-0000-0E00-000043000000}"/>
            </a:ext>
          </a:extLst>
        </xdr:cNvPr>
        <xdr:cNvSpPr txBox="1"/>
      </xdr:nvSpPr>
      <xdr:spPr>
        <a:xfrm>
          <a:off x="7624618" y="3515590"/>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xdr:row>
      <xdr:rowOff>0</xdr:rowOff>
    </xdr:from>
    <xdr:to>
      <xdr:col>2</xdr:col>
      <xdr:colOff>5327402</xdr:colOff>
      <xdr:row>5</xdr:row>
      <xdr:rowOff>0</xdr:rowOff>
    </xdr:to>
    <xdr:sp macro="" textlink="">
      <xdr:nvSpPr>
        <xdr:cNvPr id="68" name="ZoneTexte 67">
          <a:extLst>
            <a:ext uri="{FF2B5EF4-FFF2-40B4-BE49-F238E27FC236}">
              <a16:creationId xmlns:a16="http://schemas.microsoft.com/office/drawing/2014/main" id="{00000000-0008-0000-0E00-000044000000}"/>
            </a:ext>
          </a:extLst>
        </xdr:cNvPr>
        <xdr:cNvSpPr txBox="1"/>
      </xdr:nvSpPr>
      <xdr:spPr>
        <a:xfrm>
          <a:off x="7625195" y="3517899"/>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xdr:row>
      <xdr:rowOff>0</xdr:rowOff>
    </xdr:from>
    <xdr:to>
      <xdr:col>2</xdr:col>
      <xdr:colOff>5327402</xdr:colOff>
      <xdr:row>5</xdr:row>
      <xdr:rowOff>0</xdr:rowOff>
    </xdr:to>
    <xdr:sp macro="" textlink="">
      <xdr:nvSpPr>
        <xdr:cNvPr id="69" name="ZoneTexte 68">
          <a:extLst>
            <a:ext uri="{FF2B5EF4-FFF2-40B4-BE49-F238E27FC236}">
              <a16:creationId xmlns:a16="http://schemas.microsoft.com/office/drawing/2014/main" id="{00000000-0008-0000-0E00-000045000000}"/>
            </a:ext>
          </a:extLst>
        </xdr:cNvPr>
        <xdr:cNvSpPr txBox="1"/>
      </xdr:nvSpPr>
      <xdr:spPr>
        <a:xfrm>
          <a:off x="7625195" y="3517899"/>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xdr:row>
      <xdr:rowOff>0</xdr:rowOff>
    </xdr:from>
    <xdr:to>
      <xdr:col>2</xdr:col>
      <xdr:colOff>5142675</xdr:colOff>
      <xdr:row>5</xdr:row>
      <xdr:rowOff>0</xdr:rowOff>
    </xdr:to>
    <xdr:sp macro="" textlink="">
      <xdr:nvSpPr>
        <xdr:cNvPr id="70" name="ZoneTexte 69">
          <a:extLst>
            <a:ext uri="{FF2B5EF4-FFF2-40B4-BE49-F238E27FC236}">
              <a16:creationId xmlns:a16="http://schemas.microsoft.com/office/drawing/2014/main" id="{00000000-0008-0000-0E00-000046000000}"/>
            </a:ext>
          </a:extLst>
        </xdr:cNvPr>
        <xdr:cNvSpPr txBox="1"/>
      </xdr:nvSpPr>
      <xdr:spPr>
        <a:xfrm>
          <a:off x="7624618" y="3515590"/>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xdr:row>
      <xdr:rowOff>0</xdr:rowOff>
    </xdr:from>
    <xdr:to>
      <xdr:col>2</xdr:col>
      <xdr:colOff>5327402</xdr:colOff>
      <xdr:row>5</xdr:row>
      <xdr:rowOff>0</xdr:rowOff>
    </xdr:to>
    <xdr:sp macro="" textlink="">
      <xdr:nvSpPr>
        <xdr:cNvPr id="71" name="ZoneTexte 70">
          <a:extLst>
            <a:ext uri="{FF2B5EF4-FFF2-40B4-BE49-F238E27FC236}">
              <a16:creationId xmlns:a16="http://schemas.microsoft.com/office/drawing/2014/main" id="{00000000-0008-0000-0E00-000047000000}"/>
            </a:ext>
          </a:extLst>
        </xdr:cNvPr>
        <xdr:cNvSpPr txBox="1"/>
      </xdr:nvSpPr>
      <xdr:spPr>
        <a:xfrm>
          <a:off x="7625195" y="3517899"/>
          <a:ext cx="907" cy="907"/>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1136" name="ZoneTexte 1135">
          <a:extLst>
            <a:ext uri="{FF2B5EF4-FFF2-40B4-BE49-F238E27FC236}">
              <a16:creationId xmlns:a16="http://schemas.microsoft.com/office/drawing/2014/main" id="{00000000-0008-0000-0E00-000070040000}"/>
            </a:ext>
          </a:extLst>
        </xdr:cNvPr>
        <xdr:cNvSpPr txBox="1"/>
      </xdr:nvSpPr>
      <xdr:spPr>
        <a:xfrm>
          <a:off x="7272770" y="7242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xdr:row>
      <xdr:rowOff>3706090</xdr:rowOff>
    </xdr:from>
    <xdr:to>
      <xdr:col>2</xdr:col>
      <xdr:colOff>5142675</xdr:colOff>
      <xdr:row>24</xdr:row>
      <xdr:rowOff>4005447</xdr:rowOff>
    </xdr:to>
    <xdr:sp macro="" textlink="">
      <xdr:nvSpPr>
        <xdr:cNvPr id="1137" name="ZoneTexte 1136">
          <a:extLst>
            <a:ext uri="{FF2B5EF4-FFF2-40B4-BE49-F238E27FC236}">
              <a16:creationId xmlns:a16="http://schemas.microsoft.com/office/drawing/2014/main" id="{00000000-0008-0000-0E00-000071040000}"/>
            </a:ext>
          </a:extLst>
        </xdr:cNvPr>
        <xdr:cNvSpPr txBox="1"/>
      </xdr:nvSpPr>
      <xdr:spPr>
        <a:xfrm>
          <a:off x="7278543" y="7239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xdr:row>
      <xdr:rowOff>0</xdr:rowOff>
    </xdr:from>
    <xdr:to>
      <xdr:col>2</xdr:col>
      <xdr:colOff>5327402</xdr:colOff>
      <xdr:row>30</xdr:row>
      <xdr:rowOff>0</xdr:rowOff>
    </xdr:to>
    <xdr:sp macro="" textlink="">
      <xdr:nvSpPr>
        <xdr:cNvPr id="1140" name="ZoneTexte 1139">
          <a:extLst>
            <a:ext uri="{FF2B5EF4-FFF2-40B4-BE49-F238E27FC236}">
              <a16:creationId xmlns:a16="http://schemas.microsoft.com/office/drawing/2014/main" id="{00000000-0008-0000-0E00-000074040000}"/>
            </a:ext>
          </a:extLst>
        </xdr:cNvPr>
        <xdr:cNvSpPr txBox="1"/>
      </xdr:nvSpPr>
      <xdr:spPr>
        <a:xfrm>
          <a:off x="7272770" y="81915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1141" name="ZoneTexte 1140">
          <a:extLst>
            <a:ext uri="{FF2B5EF4-FFF2-40B4-BE49-F238E27FC236}">
              <a16:creationId xmlns:a16="http://schemas.microsoft.com/office/drawing/2014/main" id="{00000000-0008-0000-0E00-000075040000}"/>
            </a:ext>
          </a:extLst>
        </xdr:cNvPr>
        <xdr:cNvSpPr txBox="1"/>
      </xdr:nvSpPr>
      <xdr:spPr>
        <a:xfrm>
          <a:off x="7272770" y="11061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46</xdr:row>
      <xdr:rowOff>0</xdr:rowOff>
    </xdr:from>
    <xdr:to>
      <xdr:col>2</xdr:col>
      <xdr:colOff>5327402</xdr:colOff>
      <xdr:row>46</xdr:row>
      <xdr:rowOff>0</xdr:rowOff>
    </xdr:to>
    <xdr:sp macro="" textlink="">
      <xdr:nvSpPr>
        <xdr:cNvPr id="1142" name="ZoneTexte 1141">
          <a:extLst>
            <a:ext uri="{FF2B5EF4-FFF2-40B4-BE49-F238E27FC236}">
              <a16:creationId xmlns:a16="http://schemas.microsoft.com/office/drawing/2014/main" id="{00000000-0008-0000-0E00-000076040000}"/>
            </a:ext>
          </a:extLst>
        </xdr:cNvPr>
        <xdr:cNvSpPr txBox="1"/>
      </xdr:nvSpPr>
      <xdr:spPr>
        <a:xfrm>
          <a:off x="7272770" y="12392025"/>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1143" name="ZoneTexte 1142">
          <a:extLst>
            <a:ext uri="{FF2B5EF4-FFF2-40B4-BE49-F238E27FC236}">
              <a16:creationId xmlns:a16="http://schemas.microsoft.com/office/drawing/2014/main" id="{00000000-0008-0000-0E00-000077040000}"/>
            </a:ext>
          </a:extLst>
        </xdr:cNvPr>
        <xdr:cNvSpPr txBox="1"/>
      </xdr:nvSpPr>
      <xdr:spPr>
        <a:xfrm>
          <a:off x="7272770" y="7242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xdr:row>
      <xdr:rowOff>3706090</xdr:rowOff>
    </xdr:from>
    <xdr:to>
      <xdr:col>2</xdr:col>
      <xdr:colOff>5142675</xdr:colOff>
      <xdr:row>24</xdr:row>
      <xdr:rowOff>4005447</xdr:rowOff>
    </xdr:to>
    <xdr:sp macro="" textlink="">
      <xdr:nvSpPr>
        <xdr:cNvPr id="1144" name="ZoneTexte 1143">
          <a:extLst>
            <a:ext uri="{FF2B5EF4-FFF2-40B4-BE49-F238E27FC236}">
              <a16:creationId xmlns:a16="http://schemas.microsoft.com/office/drawing/2014/main" id="{00000000-0008-0000-0E00-000078040000}"/>
            </a:ext>
          </a:extLst>
        </xdr:cNvPr>
        <xdr:cNvSpPr txBox="1"/>
      </xdr:nvSpPr>
      <xdr:spPr>
        <a:xfrm>
          <a:off x="7278543" y="7239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xdr:row>
      <xdr:rowOff>0</xdr:rowOff>
    </xdr:from>
    <xdr:to>
      <xdr:col>2</xdr:col>
      <xdr:colOff>5327402</xdr:colOff>
      <xdr:row>30</xdr:row>
      <xdr:rowOff>0</xdr:rowOff>
    </xdr:to>
    <xdr:sp macro="" textlink="">
      <xdr:nvSpPr>
        <xdr:cNvPr id="1147" name="ZoneTexte 1146">
          <a:extLst>
            <a:ext uri="{FF2B5EF4-FFF2-40B4-BE49-F238E27FC236}">
              <a16:creationId xmlns:a16="http://schemas.microsoft.com/office/drawing/2014/main" id="{00000000-0008-0000-0E00-00007B040000}"/>
            </a:ext>
          </a:extLst>
        </xdr:cNvPr>
        <xdr:cNvSpPr txBox="1"/>
      </xdr:nvSpPr>
      <xdr:spPr>
        <a:xfrm>
          <a:off x="7272770" y="81915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1148" name="ZoneTexte 1147">
          <a:extLst>
            <a:ext uri="{FF2B5EF4-FFF2-40B4-BE49-F238E27FC236}">
              <a16:creationId xmlns:a16="http://schemas.microsoft.com/office/drawing/2014/main" id="{00000000-0008-0000-0E00-00007C040000}"/>
            </a:ext>
          </a:extLst>
        </xdr:cNvPr>
        <xdr:cNvSpPr txBox="1"/>
      </xdr:nvSpPr>
      <xdr:spPr>
        <a:xfrm>
          <a:off x="7272770" y="11061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46</xdr:row>
      <xdr:rowOff>0</xdr:rowOff>
    </xdr:from>
    <xdr:to>
      <xdr:col>2</xdr:col>
      <xdr:colOff>5327402</xdr:colOff>
      <xdr:row>46</xdr:row>
      <xdr:rowOff>0</xdr:rowOff>
    </xdr:to>
    <xdr:sp macro="" textlink="">
      <xdr:nvSpPr>
        <xdr:cNvPr id="1149" name="ZoneTexte 1148">
          <a:extLst>
            <a:ext uri="{FF2B5EF4-FFF2-40B4-BE49-F238E27FC236}">
              <a16:creationId xmlns:a16="http://schemas.microsoft.com/office/drawing/2014/main" id="{00000000-0008-0000-0E00-00007D040000}"/>
            </a:ext>
          </a:extLst>
        </xdr:cNvPr>
        <xdr:cNvSpPr txBox="1"/>
      </xdr:nvSpPr>
      <xdr:spPr>
        <a:xfrm>
          <a:off x="7272770" y="12392025"/>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xdr:row>
      <xdr:rowOff>0</xdr:rowOff>
    </xdr:from>
    <xdr:to>
      <xdr:col>2</xdr:col>
      <xdr:colOff>5327402</xdr:colOff>
      <xdr:row>23</xdr:row>
      <xdr:rowOff>0</xdr:rowOff>
    </xdr:to>
    <xdr:sp macro="" textlink="">
      <xdr:nvSpPr>
        <xdr:cNvPr id="1150" name="ZoneTexte 1149">
          <a:extLst>
            <a:ext uri="{FF2B5EF4-FFF2-40B4-BE49-F238E27FC236}">
              <a16:creationId xmlns:a16="http://schemas.microsoft.com/office/drawing/2014/main" id="{00000000-0008-0000-0E00-00007E040000}"/>
            </a:ext>
          </a:extLst>
        </xdr:cNvPr>
        <xdr:cNvSpPr txBox="1"/>
      </xdr:nvSpPr>
      <xdr:spPr>
        <a:xfrm>
          <a:off x="7272770" y="66675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xdr:row>
      <xdr:rowOff>0</xdr:rowOff>
    </xdr:from>
    <xdr:to>
      <xdr:col>2</xdr:col>
      <xdr:colOff>5327402</xdr:colOff>
      <xdr:row>23</xdr:row>
      <xdr:rowOff>0</xdr:rowOff>
    </xdr:to>
    <xdr:sp macro="" textlink="">
      <xdr:nvSpPr>
        <xdr:cNvPr id="1151" name="ZoneTexte 1150">
          <a:extLst>
            <a:ext uri="{FF2B5EF4-FFF2-40B4-BE49-F238E27FC236}">
              <a16:creationId xmlns:a16="http://schemas.microsoft.com/office/drawing/2014/main" id="{00000000-0008-0000-0E00-00007F040000}"/>
            </a:ext>
          </a:extLst>
        </xdr:cNvPr>
        <xdr:cNvSpPr txBox="1"/>
      </xdr:nvSpPr>
      <xdr:spPr>
        <a:xfrm>
          <a:off x="7272770" y="66675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xdr:row>
      <xdr:rowOff>0</xdr:rowOff>
    </xdr:from>
    <xdr:to>
      <xdr:col>2</xdr:col>
      <xdr:colOff>5327402</xdr:colOff>
      <xdr:row>23</xdr:row>
      <xdr:rowOff>0</xdr:rowOff>
    </xdr:to>
    <xdr:sp macro="" textlink="">
      <xdr:nvSpPr>
        <xdr:cNvPr id="1152" name="ZoneTexte 1151">
          <a:extLst>
            <a:ext uri="{FF2B5EF4-FFF2-40B4-BE49-F238E27FC236}">
              <a16:creationId xmlns:a16="http://schemas.microsoft.com/office/drawing/2014/main" id="{00000000-0008-0000-0E00-000080040000}"/>
            </a:ext>
          </a:extLst>
        </xdr:cNvPr>
        <xdr:cNvSpPr txBox="1"/>
      </xdr:nvSpPr>
      <xdr:spPr>
        <a:xfrm>
          <a:off x="7272770" y="66675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23</xdr:row>
      <xdr:rowOff>0</xdr:rowOff>
    </xdr:from>
    <xdr:to>
      <xdr:col>2</xdr:col>
      <xdr:colOff>5327402</xdr:colOff>
      <xdr:row>23</xdr:row>
      <xdr:rowOff>0</xdr:rowOff>
    </xdr:to>
    <xdr:sp macro="" textlink="">
      <xdr:nvSpPr>
        <xdr:cNvPr id="1153" name="ZoneTexte 1152">
          <a:extLst>
            <a:ext uri="{FF2B5EF4-FFF2-40B4-BE49-F238E27FC236}">
              <a16:creationId xmlns:a16="http://schemas.microsoft.com/office/drawing/2014/main" id="{00000000-0008-0000-0E00-000081040000}"/>
            </a:ext>
          </a:extLst>
        </xdr:cNvPr>
        <xdr:cNvSpPr txBox="1"/>
      </xdr:nvSpPr>
      <xdr:spPr>
        <a:xfrm>
          <a:off x="7272770" y="666750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1154" name="ZoneTexte 1153">
          <a:extLst>
            <a:ext uri="{FF2B5EF4-FFF2-40B4-BE49-F238E27FC236}">
              <a16:creationId xmlns:a16="http://schemas.microsoft.com/office/drawing/2014/main" id="{00000000-0008-0000-0E00-000082040000}"/>
            </a:ext>
          </a:extLst>
        </xdr:cNvPr>
        <xdr:cNvSpPr txBox="1"/>
      </xdr:nvSpPr>
      <xdr:spPr>
        <a:xfrm>
          <a:off x="7272770" y="11061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44</xdr:row>
      <xdr:rowOff>3706090</xdr:rowOff>
    </xdr:from>
    <xdr:to>
      <xdr:col>2</xdr:col>
      <xdr:colOff>5142675</xdr:colOff>
      <xdr:row>44</xdr:row>
      <xdr:rowOff>4005447</xdr:rowOff>
    </xdr:to>
    <xdr:sp macro="" textlink="">
      <xdr:nvSpPr>
        <xdr:cNvPr id="1155" name="ZoneTexte 1154">
          <a:extLst>
            <a:ext uri="{FF2B5EF4-FFF2-40B4-BE49-F238E27FC236}">
              <a16:creationId xmlns:a16="http://schemas.microsoft.com/office/drawing/2014/main" id="{00000000-0008-0000-0E00-000083040000}"/>
            </a:ext>
          </a:extLst>
        </xdr:cNvPr>
        <xdr:cNvSpPr txBox="1"/>
      </xdr:nvSpPr>
      <xdr:spPr>
        <a:xfrm>
          <a:off x="7278543" y="110593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1156" name="ZoneTexte 1155">
          <a:extLst>
            <a:ext uri="{FF2B5EF4-FFF2-40B4-BE49-F238E27FC236}">
              <a16:creationId xmlns:a16="http://schemas.microsoft.com/office/drawing/2014/main" id="{00000000-0008-0000-0E00-000084040000}"/>
            </a:ext>
          </a:extLst>
        </xdr:cNvPr>
        <xdr:cNvSpPr txBox="1"/>
      </xdr:nvSpPr>
      <xdr:spPr>
        <a:xfrm>
          <a:off x="7272770" y="11061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1157" name="ZoneTexte 1156">
          <a:extLst>
            <a:ext uri="{FF2B5EF4-FFF2-40B4-BE49-F238E27FC236}">
              <a16:creationId xmlns:a16="http://schemas.microsoft.com/office/drawing/2014/main" id="{00000000-0008-0000-0E00-000085040000}"/>
            </a:ext>
          </a:extLst>
        </xdr:cNvPr>
        <xdr:cNvSpPr txBox="1"/>
      </xdr:nvSpPr>
      <xdr:spPr>
        <a:xfrm>
          <a:off x="7272770" y="11061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44</xdr:row>
      <xdr:rowOff>3706090</xdr:rowOff>
    </xdr:from>
    <xdr:to>
      <xdr:col>2</xdr:col>
      <xdr:colOff>5142675</xdr:colOff>
      <xdr:row>44</xdr:row>
      <xdr:rowOff>4005447</xdr:rowOff>
    </xdr:to>
    <xdr:sp macro="" textlink="">
      <xdr:nvSpPr>
        <xdr:cNvPr id="1158" name="ZoneTexte 1157">
          <a:extLst>
            <a:ext uri="{FF2B5EF4-FFF2-40B4-BE49-F238E27FC236}">
              <a16:creationId xmlns:a16="http://schemas.microsoft.com/office/drawing/2014/main" id="{00000000-0008-0000-0E00-000086040000}"/>
            </a:ext>
          </a:extLst>
        </xdr:cNvPr>
        <xdr:cNvSpPr txBox="1"/>
      </xdr:nvSpPr>
      <xdr:spPr>
        <a:xfrm>
          <a:off x="7278543" y="110593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1159" name="ZoneTexte 1158">
          <a:extLst>
            <a:ext uri="{FF2B5EF4-FFF2-40B4-BE49-F238E27FC236}">
              <a16:creationId xmlns:a16="http://schemas.microsoft.com/office/drawing/2014/main" id="{00000000-0008-0000-0E00-000087040000}"/>
            </a:ext>
          </a:extLst>
        </xdr:cNvPr>
        <xdr:cNvSpPr txBox="1"/>
      </xdr:nvSpPr>
      <xdr:spPr>
        <a:xfrm>
          <a:off x="7272770" y="11061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1160" name="ZoneTexte 1159">
          <a:extLst>
            <a:ext uri="{FF2B5EF4-FFF2-40B4-BE49-F238E27FC236}">
              <a16:creationId xmlns:a16="http://schemas.microsoft.com/office/drawing/2014/main" id="{00000000-0008-0000-0E00-000088040000}"/>
            </a:ext>
          </a:extLst>
        </xdr:cNvPr>
        <xdr:cNvSpPr txBox="1"/>
      </xdr:nvSpPr>
      <xdr:spPr>
        <a:xfrm>
          <a:off x="7272770" y="11061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1161" name="ZoneTexte 1160">
          <a:extLst>
            <a:ext uri="{FF2B5EF4-FFF2-40B4-BE49-F238E27FC236}">
              <a16:creationId xmlns:a16="http://schemas.microsoft.com/office/drawing/2014/main" id="{00000000-0008-0000-0E00-000089040000}"/>
            </a:ext>
          </a:extLst>
        </xdr:cNvPr>
        <xdr:cNvSpPr txBox="1"/>
      </xdr:nvSpPr>
      <xdr:spPr>
        <a:xfrm>
          <a:off x="7272770" y="11061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1162" name="ZoneTexte 1161">
          <a:extLst>
            <a:ext uri="{FF2B5EF4-FFF2-40B4-BE49-F238E27FC236}">
              <a16:creationId xmlns:a16="http://schemas.microsoft.com/office/drawing/2014/main" id="{00000000-0008-0000-0E00-00008A040000}"/>
            </a:ext>
          </a:extLst>
        </xdr:cNvPr>
        <xdr:cNvSpPr txBox="1"/>
      </xdr:nvSpPr>
      <xdr:spPr>
        <a:xfrm>
          <a:off x="7272770" y="11061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1163" name="ZoneTexte 1162">
          <a:extLst>
            <a:ext uri="{FF2B5EF4-FFF2-40B4-BE49-F238E27FC236}">
              <a16:creationId xmlns:a16="http://schemas.microsoft.com/office/drawing/2014/main" id="{00000000-0008-0000-0E00-00008B040000}"/>
            </a:ext>
          </a:extLst>
        </xdr:cNvPr>
        <xdr:cNvSpPr txBox="1"/>
      </xdr:nvSpPr>
      <xdr:spPr>
        <a:xfrm>
          <a:off x="7272770" y="11061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1164" name="ZoneTexte 1163">
          <a:extLst>
            <a:ext uri="{FF2B5EF4-FFF2-40B4-BE49-F238E27FC236}">
              <a16:creationId xmlns:a16="http://schemas.microsoft.com/office/drawing/2014/main" id="{00000000-0008-0000-0E00-00008C040000}"/>
            </a:ext>
          </a:extLst>
        </xdr:cNvPr>
        <xdr:cNvSpPr txBox="1"/>
      </xdr:nvSpPr>
      <xdr:spPr>
        <a:xfrm>
          <a:off x="7272770" y="667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xdr:row>
      <xdr:rowOff>3706090</xdr:rowOff>
    </xdr:from>
    <xdr:to>
      <xdr:col>2</xdr:col>
      <xdr:colOff>5142675</xdr:colOff>
      <xdr:row>22</xdr:row>
      <xdr:rowOff>4005447</xdr:rowOff>
    </xdr:to>
    <xdr:sp macro="" textlink="">
      <xdr:nvSpPr>
        <xdr:cNvPr id="1165" name="ZoneTexte 1164">
          <a:extLst>
            <a:ext uri="{FF2B5EF4-FFF2-40B4-BE49-F238E27FC236}">
              <a16:creationId xmlns:a16="http://schemas.microsoft.com/office/drawing/2014/main" id="{00000000-0008-0000-0E00-00008D040000}"/>
            </a:ext>
          </a:extLst>
        </xdr:cNvPr>
        <xdr:cNvSpPr txBox="1"/>
      </xdr:nvSpPr>
      <xdr:spPr>
        <a:xfrm>
          <a:off x="7278543" y="6668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1166" name="ZoneTexte 1165">
          <a:extLst>
            <a:ext uri="{FF2B5EF4-FFF2-40B4-BE49-F238E27FC236}">
              <a16:creationId xmlns:a16="http://schemas.microsoft.com/office/drawing/2014/main" id="{00000000-0008-0000-0E00-00008E040000}"/>
            </a:ext>
          </a:extLst>
        </xdr:cNvPr>
        <xdr:cNvSpPr txBox="1"/>
      </xdr:nvSpPr>
      <xdr:spPr>
        <a:xfrm>
          <a:off x="7272770" y="667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1167" name="ZoneTexte 1166">
          <a:extLst>
            <a:ext uri="{FF2B5EF4-FFF2-40B4-BE49-F238E27FC236}">
              <a16:creationId xmlns:a16="http://schemas.microsoft.com/office/drawing/2014/main" id="{00000000-0008-0000-0E00-00008F040000}"/>
            </a:ext>
          </a:extLst>
        </xdr:cNvPr>
        <xdr:cNvSpPr txBox="1"/>
      </xdr:nvSpPr>
      <xdr:spPr>
        <a:xfrm>
          <a:off x="7272770" y="667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22</xdr:row>
      <xdr:rowOff>3706090</xdr:rowOff>
    </xdr:from>
    <xdr:to>
      <xdr:col>2</xdr:col>
      <xdr:colOff>5142675</xdr:colOff>
      <xdr:row>22</xdr:row>
      <xdr:rowOff>4005447</xdr:rowOff>
    </xdr:to>
    <xdr:sp macro="" textlink="">
      <xdr:nvSpPr>
        <xdr:cNvPr id="1168" name="ZoneTexte 1167">
          <a:extLst>
            <a:ext uri="{FF2B5EF4-FFF2-40B4-BE49-F238E27FC236}">
              <a16:creationId xmlns:a16="http://schemas.microsoft.com/office/drawing/2014/main" id="{00000000-0008-0000-0E00-000090040000}"/>
            </a:ext>
          </a:extLst>
        </xdr:cNvPr>
        <xdr:cNvSpPr txBox="1"/>
      </xdr:nvSpPr>
      <xdr:spPr>
        <a:xfrm>
          <a:off x="7278543" y="6668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1169" name="ZoneTexte 1168">
          <a:extLst>
            <a:ext uri="{FF2B5EF4-FFF2-40B4-BE49-F238E27FC236}">
              <a16:creationId xmlns:a16="http://schemas.microsoft.com/office/drawing/2014/main" id="{00000000-0008-0000-0E00-000091040000}"/>
            </a:ext>
          </a:extLst>
        </xdr:cNvPr>
        <xdr:cNvSpPr txBox="1"/>
      </xdr:nvSpPr>
      <xdr:spPr>
        <a:xfrm>
          <a:off x="7272770" y="667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30</xdr:row>
      <xdr:rowOff>3706090</xdr:rowOff>
    </xdr:from>
    <xdr:to>
      <xdr:col>2</xdr:col>
      <xdr:colOff>5142675</xdr:colOff>
      <xdr:row>30</xdr:row>
      <xdr:rowOff>4005447</xdr:rowOff>
    </xdr:to>
    <xdr:sp macro="" textlink="">
      <xdr:nvSpPr>
        <xdr:cNvPr id="1170" name="ZoneTexte 1169">
          <a:extLst>
            <a:ext uri="{FF2B5EF4-FFF2-40B4-BE49-F238E27FC236}">
              <a16:creationId xmlns:a16="http://schemas.microsoft.com/office/drawing/2014/main" id="{00000000-0008-0000-0E00-000092040000}"/>
            </a:ext>
          </a:extLst>
        </xdr:cNvPr>
        <xdr:cNvSpPr txBox="1"/>
      </xdr:nvSpPr>
      <xdr:spPr>
        <a:xfrm>
          <a:off x="7278543" y="8573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30</xdr:row>
      <xdr:rowOff>3706090</xdr:rowOff>
    </xdr:from>
    <xdr:to>
      <xdr:col>2</xdr:col>
      <xdr:colOff>5142675</xdr:colOff>
      <xdr:row>30</xdr:row>
      <xdr:rowOff>4005447</xdr:rowOff>
    </xdr:to>
    <xdr:sp macro="" textlink="">
      <xdr:nvSpPr>
        <xdr:cNvPr id="1171" name="ZoneTexte 1170">
          <a:extLst>
            <a:ext uri="{FF2B5EF4-FFF2-40B4-BE49-F238E27FC236}">
              <a16:creationId xmlns:a16="http://schemas.microsoft.com/office/drawing/2014/main" id="{00000000-0008-0000-0E00-000093040000}"/>
            </a:ext>
          </a:extLst>
        </xdr:cNvPr>
        <xdr:cNvSpPr txBox="1"/>
      </xdr:nvSpPr>
      <xdr:spPr>
        <a:xfrm>
          <a:off x="7278543" y="8573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180" name="ZoneTexte 1179">
          <a:extLst>
            <a:ext uri="{FF2B5EF4-FFF2-40B4-BE49-F238E27FC236}">
              <a16:creationId xmlns:a16="http://schemas.microsoft.com/office/drawing/2014/main" id="{00000000-0008-0000-0E00-00009C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181" name="ZoneTexte 1180">
          <a:extLst>
            <a:ext uri="{FF2B5EF4-FFF2-40B4-BE49-F238E27FC236}">
              <a16:creationId xmlns:a16="http://schemas.microsoft.com/office/drawing/2014/main" id="{00000000-0008-0000-0E00-00009D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182" name="ZoneTexte 1181">
          <a:extLst>
            <a:ext uri="{FF2B5EF4-FFF2-40B4-BE49-F238E27FC236}">
              <a16:creationId xmlns:a16="http://schemas.microsoft.com/office/drawing/2014/main" id="{00000000-0008-0000-0E00-00009E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3706090</xdr:rowOff>
    </xdr:from>
    <xdr:to>
      <xdr:col>2</xdr:col>
      <xdr:colOff>5142675</xdr:colOff>
      <xdr:row>84</xdr:row>
      <xdr:rowOff>4005447</xdr:rowOff>
    </xdr:to>
    <xdr:sp macro="" textlink="">
      <xdr:nvSpPr>
        <xdr:cNvPr id="1183" name="ZoneTexte 1182">
          <a:extLst>
            <a:ext uri="{FF2B5EF4-FFF2-40B4-BE49-F238E27FC236}">
              <a16:creationId xmlns:a16="http://schemas.microsoft.com/office/drawing/2014/main" id="{00000000-0008-0000-0E00-00009F040000}"/>
            </a:ext>
          </a:extLst>
        </xdr:cNvPr>
        <xdr:cNvSpPr txBox="1"/>
      </xdr:nvSpPr>
      <xdr:spPr>
        <a:xfrm>
          <a:off x="7278543" y="332240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184" name="ZoneTexte 1183">
          <a:extLst>
            <a:ext uri="{FF2B5EF4-FFF2-40B4-BE49-F238E27FC236}">
              <a16:creationId xmlns:a16="http://schemas.microsoft.com/office/drawing/2014/main" id="{00000000-0008-0000-0E00-0000A0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185" name="ZoneTexte 1184">
          <a:extLst>
            <a:ext uri="{FF2B5EF4-FFF2-40B4-BE49-F238E27FC236}">
              <a16:creationId xmlns:a16="http://schemas.microsoft.com/office/drawing/2014/main" id="{00000000-0008-0000-0E00-0000A1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3706090</xdr:rowOff>
    </xdr:from>
    <xdr:to>
      <xdr:col>2</xdr:col>
      <xdr:colOff>5142675</xdr:colOff>
      <xdr:row>84</xdr:row>
      <xdr:rowOff>4005447</xdr:rowOff>
    </xdr:to>
    <xdr:sp macro="" textlink="">
      <xdr:nvSpPr>
        <xdr:cNvPr id="1186" name="ZoneTexte 1185">
          <a:extLst>
            <a:ext uri="{FF2B5EF4-FFF2-40B4-BE49-F238E27FC236}">
              <a16:creationId xmlns:a16="http://schemas.microsoft.com/office/drawing/2014/main" id="{00000000-0008-0000-0E00-0000A2040000}"/>
            </a:ext>
          </a:extLst>
        </xdr:cNvPr>
        <xdr:cNvSpPr txBox="1"/>
      </xdr:nvSpPr>
      <xdr:spPr>
        <a:xfrm>
          <a:off x="7278543" y="332240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187" name="ZoneTexte 1186">
          <a:extLst>
            <a:ext uri="{FF2B5EF4-FFF2-40B4-BE49-F238E27FC236}">
              <a16:creationId xmlns:a16="http://schemas.microsoft.com/office/drawing/2014/main" id="{00000000-0008-0000-0E00-0000A3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188" name="ZoneTexte 1187">
          <a:extLst>
            <a:ext uri="{FF2B5EF4-FFF2-40B4-BE49-F238E27FC236}">
              <a16:creationId xmlns:a16="http://schemas.microsoft.com/office/drawing/2014/main" id="{00000000-0008-0000-0E00-0000A4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189" name="ZoneTexte 1188">
          <a:extLst>
            <a:ext uri="{FF2B5EF4-FFF2-40B4-BE49-F238E27FC236}">
              <a16:creationId xmlns:a16="http://schemas.microsoft.com/office/drawing/2014/main" id="{00000000-0008-0000-0E00-0000A5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190" name="ZoneTexte 1189">
          <a:extLst>
            <a:ext uri="{FF2B5EF4-FFF2-40B4-BE49-F238E27FC236}">
              <a16:creationId xmlns:a16="http://schemas.microsoft.com/office/drawing/2014/main" id="{00000000-0008-0000-0E00-0000A6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191" name="ZoneTexte 1190">
          <a:extLst>
            <a:ext uri="{FF2B5EF4-FFF2-40B4-BE49-F238E27FC236}">
              <a16:creationId xmlns:a16="http://schemas.microsoft.com/office/drawing/2014/main" id="{00000000-0008-0000-0E00-0000A7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0</xdr:rowOff>
    </xdr:from>
    <xdr:to>
      <xdr:col>2</xdr:col>
      <xdr:colOff>5142675</xdr:colOff>
      <xdr:row>46</xdr:row>
      <xdr:rowOff>0</xdr:rowOff>
    </xdr:to>
    <xdr:sp macro="" textlink="">
      <xdr:nvSpPr>
        <xdr:cNvPr id="1192" name="ZoneTexte 1191">
          <a:extLst>
            <a:ext uri="{FF2B5EF4-FFF2-40B4-BE49-F238E27FC236}">
              <a16:creationId xmlns:a16="http://schemas.microsoft.com/office/drawing/2014/main" id="{00000000-0008-0000-0E00-0000A8040000}"/>
            </a:ext>
          </a:extLst>
        </xdr:cNvPr>
        <xdr:cNvSpPr txBox="1"/>
      </xdr:nvSpPr>
      <xdr:spPr>
        <a:xfrm>
          <a:off x="7278543" y="123920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0</xdr:rowOff>
    </xdr:from>
    <xdr:to>
      <xdr:col>2</xdr:col>
      <xdr:colOff>5142675</xdr:colOff>
      <xdr:row>46</xdr:row>
      <xdr:rowOff>0</xdr:rowOff>
    </xdr:to>
    <xdr:sp macro="" textlink="">
      <xdr:nvSpPr>
        <xdr:cNvPr id="1193" name="ZoneTexte 1192">
          <a:extLst>
            <a:ext uri="{FF2B5EF4-FFF2-40B4-BE49-F238E27FC236}">
              <a16:creationId xmlns:a16="http://schemas.microsoft.com/office/drawing/2014/main" id="{00000000-0008-0000-0E00-0000A9040000}"/>
            </a:ext>
          </a:extLst>
        </xdr:cNvPr>
        <xdr:cNvSpPr txBox="1"/>
      </xdr:nvSpPr>
      <xdr:spPr>
        <a:xfrm>
          <a:off x="7278543" y="123920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0</xdr:rowOff>
    </xdr:from>
    <xdr:to>
      <xdr:col>2</xdr:col>
      <xdr:colOff>5142675</xdr:colOff>
      <xdr:row>46</xdr:row>
      <xdr:rowOff>0</xdr:rowOff>
    </xdr:to>
    <xdr:sp macro="" textlink="">
      <xdr:nvSpPr>
        <xdr:cNvPr id="1194" name="ZoneTexte 1193">
          <a:extLst>
            <a:ext uri="{FF2B5EF4-FFF2-40B4-BE49-F238E27FC236}">
              <a16:creationId xmlns:a16="http://schemas.microsoft.com/office/drawing/2014/main" id="{00000000-0008-0000-0E00-0000AA040000}"/>
            </a:ext>
          </a:extLst>
        </xdr:cNvPr>
        <xdr:cNvSpPr txBox="1"/>
      </xdr:nvSpPr>
      <xdr:spPr>
        <a:xfrm>
          <a:off x="7278543" y="123920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0</xdr:rowOff>
    </xdr:from>
    <xdr:to>
      <xdr:col>2</xdr:col>
      <xdr:colOff>5142675</xdr:colOff>
      <xdr:row>46</xdr:row>
      <xdr:rowOff>0</xdr:rowOff>
    </xdr:to>
    <xdr:sp macro="" textlink="">
      <xdr:nvSpPr>
        <xdr:cNvPr id="1195" name="ZoneTexte 1194">
          <a:extLst>
            <a:ext uri="{FF2B5EF4-FFF2-40B4-BE49-F238E27FC236}">
              <a16:creationId xmlns:a16="http://schemas.microsoft.com/office/drawing/2014/main" id="{00000000-0008-0000-0E00-0000AB040000}"/>
            </a:ext>
          </a:extLst>
        </xdr:cNvPr>
        <xdr:cNvSpPr txBox="1"/>
      </xdr:nvSpPr>
      <xdr:spPr>
        <a:xfrm>
          <a:off x="7278543" y="123920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1196" name="ZoneTexte 1195">
          <a:extLst>
            <a:ext uri="{FF2B5EF4-FFF2-40B4-BE49-F238E27FC236}">
              <a16:creationId xmlns:a16="http://schemas.microsoft.com/office/drawing/2014/main" id="{00000000-0008-0000-0E00-0000AC040000}"/>
            </a:ext>
          </a:extLst>
        </xdr:cNvPr>
        <xdr:cNvSpPr txBox="1"/>
      </xdr:nvSpPr>
      <xdr:spPr>
        <a:xfrm>
          <a:off x="7272770" y="876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1197" name="ZoneTexte 1196">
          <a:extLst>
            <a:ext uri="{FF2B5EF4-FFF2-40B4-BE49-F238E27FC236}">
              <a16:creationId xmlns:a16="http://schemas.microsoft.com/office/drawing/2014/main" id="{00000000-0008-0000-0E00-0000AD040000}"/>
            </a:ext>
          </a:extLst>
        </xdr:cNvPr>
        <xdr:cNvSpPr txBox="1"/>
      </xdr:nvSpPr>
      <xdr:spPr>
        <a:xfrm>
          <a:off x="7272770" y="876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36</xdr:row>
      <xdr:rowOff>3706090</xdr:rowOff>
    </xdr:from>
    <xdr:to>
      <xdr:col>2</xdr:col>
      <xdr:colOff>5142675</xdr:colOff>
      <xdr:row>36</xdr:row>
      <xdr:rowOff>4005447</xdr:rowOff>
    </xdr:to>
    <xdr:sp macro="" textlink="">
      <xdr:nvSpPr>
        <xdr:cNvPr id="1198" name="ZoneTexte 1197">
          <a:extLst>
            <a:ext uri="{FF2B5EF4-FFF2-40B4-BE49-F238E27FC236}">
              <a16:creationId xmlns:a16="http://schemas.microsoft.com/office/drawing/2014/main" id="{00000000-0008-0000-0E00-0000AE040000}"/>
            </a:ext>
          </a:extLst>
        </xdr:cNvPr>
        <xdr:cNvSpPr txBox="1"/>
      </xdr:nvSpPr>
      <xdr:spPr>
        <a:xfrm>
          <a:off x="7278543" y="9716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36</xdr:row>
      <xdr:rowOff>3706090</xdr:rowOff>
    </xdr:from>
    <xdr:to>
      <xdr:col>2</xdr:col>
      <xdr:colOff>5142675</xdr:colOff>
      <xdr:row>36</xdr:row>
      <xdr:rowOff>4005447</xdr:rowOff>
    </xdr:to>
    <xdr:sp macro="" textlink="">
      <xdr:nvSpPr>
        <xdr:cNvPr id="1199" name="ZoneTexte 1198">
          <a:extLst>
            <a:ext uri="{FF2B5EF4-FFF2-40B4-BE49-F238E27FC236}">
              <a16:creationId xmlns:a16="http://schemas.microsoft.com/office/drawing/2014/main" id="{00000000-0008-0000-0E00-0000AF040000}"/>
            </a:ext>
          </a:extLst>
        </xdr:cNvPr>
        <xdr:cNvSpPr txBox="1"/>
      </xdr:nvSpPr>
      <xdr:spPr>
        <a:xfrm>
          <a:off x="7278543" y="9716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42</xdr:row>
      <xdr:rowOff>3706090</xdr:rowOff>
    </xdr:from>
    <xdr:to>
      <xdr:col>2</xdr:col>
      <xdr:colOff>5142675</xdr:colOff>
      <xdr:row>42</xdr:row>
      <xdr:rowOff>4005447</xdr:rowOff>
    </xdr:to>
    <xdr:sp macro="" textlink="">
      <xdr:nvSpPr>
        <xdr:cNvPr id="1200" name="ZoneTexte 1199">
          <a:extLst>
            <a:ext uri="{FF2B5EF4-FFF2-40B4-BE49-F238E27FC236}">
              <a16:creationId xmlns:a16="http://schemas.microsoft.com/office/drawing/2014/main" id="{00000000-0008-0000-0E00-0000B0040000}"/>
            </a:ext>
          </a:extLst>
        </xdr:cNvPr>
        <xdr:cNvSpPr txBox="1"/>
      </xdr:nvSpPr>
      <xdr:spPr>
        <a:xfrm>
          <a:off x="7278543" y="10668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42</xdr:row>
      <xdr:rowOff>3706090</xdr:rowOff>
    </xdr:from>
    <xdr:to>
      <xdr:col>2</xdr:col>
      <xdr:colOff>5142675</xdr:colOff>
      <xdr:row>42</xdr:row>
      <xdr:rowOff>4005447</xdr:rowOff>
    </xdr:to>
    <xdr:sp macro="" textlink="">
      <xdr:nvSpPr>
        <xdr:cNvPr id="1201" name="ZoneTexte 1200">
          <a:extLst>
            <a:ext uri="{FF2B5EF4-FFF2-40B4-BE49-F238E27FC236}">
              <a16:creationId xmlns:a16="http://schemas.microsoft.com/office/drawing/2014/main" id="{00000000-0008-0000-0E00-0000B1040000}"/>
            </a:ext>
          </a:extLst>
        </xdr:cNvPr>
        <xdr:cNvSpPr txBox="1"/>
      </xdr:nvSpPr>
      <xdr:spPr>
        <a:xfrm>
          <a:off x="7278543" y="10668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36</xdr:row>
      <xdr:rowOff>3706090</xdr:rowOff>
    </xdr:from>
    <xdr:to>
      <xdr:col>2</xdr:col>
      <xdr:colOff>5142675</xdr:colOff>
      <xdr:row>36</xdr:row>
      <xdr:rowOff>4005447</xdr:rowOff>
    </xdr:to>
    <xdr:sp macro="" textlink="">
      <xdr:nvSpPr>
        <xdr:cNvPr id="1202" name="ZoneTexte 1201">
          <a:extLst>
            <a:ext uri="{FF2B5EF4-FFF2-40B4-BE49-F238E27FC236}">
              <a16:creationId xmlns:a16="http://schemas.microsoft.com/office/drawing/2014/main" id="{00000000-0008-0000-0E00-0000B2040000}"/>
            </a:ext>
          </a:extLst>
        </xdr:cNvPr>
        <xdr:cNvSpPr txBox="1"/>
      </xdr:nvSpPr>
      <xdr:spPr>
        <a:xfrm>
          <a:off x="7278543" y="9716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36</xdr:row>
      <xdr:rowOff>3706090</xdr:rowOff>
    </xdr:from>
    <xdr:to>
      <xdr:col>2</xdr:col>
      <xdr:colOff>5142675</xdr:colOff>
      <xdr:row>36</xdr:row>
      <xdr:rowOff>4005447</xdr:rowOff>
    </xdr:to>
    <xdr:sp macro="" textlink="">
      <xdr:nvSpPr>
        <xdr:cNvPr id="1203" name="ZoneTexte 1202">
          <a:extLst>
            <a:ext uri="{FF2B5EF4-FFF2-40B4-BE49-F238E27FC236}">
              <a16:creationId xmlns:a16="http://schemas.microsoft.com/office/drawing/2014/main" id="{00000000-0008-0000-0E00-0000B3040000}"/>
            </a:ext>
          </a:extLst>
        </xdr:cNvPr>
        <xdr:cNvSpPr txBox="1"/>
      </xdr:nvSpPr>
      <xdr:spPr>
        <a:xfrm>
          <a:off x="7278543" y="9716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3</xdr:col>
      <xdr:colOff>4710545</xdr:colOff>
      <xdr:row>46</xdr:row>
      <xdr:rowOff>0</xdr:rowOff>
    </xdr:from>
    <xdr:to>
      <xdr:col>3</xdr:col>
      <xdr:colOff>5327402</xdr:colOff>
      <xdr:row>46</xdr:row>
      <xdr:rowOff>0</xdr:rowOff>
    </xdr:to>
    <xdr:sp macro="" textlink="">
      <xdr:nvSpPr>
        <xdr:cNvPr id="1204" name="ZoneTexte 1203">
          <a:extLst>
            <a:ext uri="{FF2B5EF4-FFF2-40B4-BE49-F238E27FC236}">
              <a16:creationId xmlns:a16="http://schemas.microsoft.com/office/drawing/2014/main" id="{00000000-0008-0000-0E00-0000B4040000}"/>
            </a:ext>
          </a:extLst>
        </xdr:cNvPr>
        <xdr:cNvSpPr txBox="1"/>
      </xdr:nvSpPr>
      <xdr:spPr>
        <a:xfrm>
          <a:off x="11416145" y="12392025"/>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3</xdr:col>
      <xdr:colOff>4710545</xdr:colOff>
      <xdr:row>46</xdr:row>
      <xdr:rowOff>0</xdr:rowOff>
    </xdr:from>
    <xdr:to>
      <xdr:col>3</xdr:col>
      <xdr:colOff>5327402</xdr:colOff>
      <xdr:row>46</xdr:row>
      <xdr:rowOff>0</xdr:rowOff>
    </xdr:to>
    <xdr:sp macro="" textlink="">
      <xdr:nvSpPr>
        <xdr:cNvPr id="1205" name="ZoneTexte 1204">
          <a:extLst>
            <a:ext uri="{FF2B5EF4-FFF2-40B4-BE49-F238E27FC236}">
              <a16:creationId xmlns:a16="http://schemas.microsoft.com/office/drawing/2014/main" id="{00000000-0008-0000-0E00-0000B5040000}"/>
            </a:ext>
          </a:extLst>
        </xdr:cNvPr>
        <xdr:cNvSpPr txBox="1"/>
      </xdr:nvSpPr>
      <xdr:spPr>
        <a:xfrm>
          <a:off x="11416145" y="12392025"/>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3</xdr:col>
      <xdr:colOff>4525818</xdr:colOff>
      <xdr:row>46</xdr:row>
      <xdr:rowOff>0</xdr:rowOff>
    </xdr:from>
    <xdr:to>
      <xdr:col>3</xdr:col>
      <xdr:colOff>5142675</xdr:colOff>
      <xdr:row>46</xdr:row>
      <xdr:rowOff>0</xdr:rowOff>
    </xdr:to>
    <xdr:sp macro="" textlink="">
      <xdr:nvSpPr>
        <xdr:cNvPr id="1206" name="ZoneTexte 1205">
          <a:extLst>
            <a:ext uri="{FF2B5EF4-FFF2-40B4-BE49-F238E27FC236}">
              <a16:creationId xmlns:a16="http://schemas.microsoft.com/office/drawing/2014/main" id="{00000000-0008-0000-0E00-0000B6040000}"/>
            </a:ext>
          </a:extLst>
        </xdr:cNvPr>
        <xdr:cNvSpPr txBox="1"/>
      </xdr:nvSpPr>
      <xdr:spPr>
        <a:xfrm>
          <a:off x="11421918" y="123920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3</xdr:col>
      <xdr:colOff>4525818</xdr:colOff>
      <xdr:row>46</xdr:row>
      <xdr:rowOff>0</xdr:rowOff>
    </xdr:from>
    <xdr:to>
      <xdr:col>3</xdr:col>
      <xdr:colOff>5142675</xdr:colOff>
      <xdr:row>46</xdr:row>
      <xdr:rowOff>0</xdr:rowOff>
    </xdr:to>
    <xdr:sp macro="" textlink="">
      <xdr:nvSpPr>
        <xdr:cNvPr id="1207" name="ZoneTexte 1206">
          <a:extLst>
            <a:ext uri="{FF2B5EF4-FFF2-40B4-BE49-F238E27FC236}">
              <a16:creationId xmlns:a16="http://schemas.microsoft.com/office/drawing/2014/main" id="{00000000-0008-0000-0E00-0000B7040000}"/>
            </a:ext>
          </a:extLst>
        </xdr:cNvPr>
        <xdr:cNvSpPr txBox="1"/>
      </xdr:nvSpPr>
      <xdr:spPr>
        <a:xfrm>
          <a:off x="11421918" y="123920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30</xdr:row>
      <xdr:rowOff>3706090</xdr:rowOff>
    </xdr:from>
    <xdr:to>
      <xdr:col>2</xdr:col>
      <xdr:colOff>5142675</xdr:colOff>
      <xdr:row>30</xdr:row>
      <xdr:rowOff>4005447</xdr:rowOff>
    </xdr:to>
    <xdr:sp macro="" textlink="">
      <xdr:nvSpPr>
        <xdr:cNvPr id="1220" name="ZoneTexte 1219">
          <a:extLst>
            <a:ext uri="{FF2B5EF4-FFF2-40B4-BE49-F238E27FC236}">
              <a16:creationId xmlns:a16="http://schemas.microsoft.com/office/drawing/2014/main" id="{00000000-0008-0000-0E00-0000C4040000}"/>
            </a:ext>
          </a:extLst>
        </xdr:cNvPr>
        <xdr:cNvSpPr txBox="1"/>
      </xdr:nvSpPr>
      <xdr:spPr>
        <a:xfrm>
          <a:off x="7278543" y="8573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30</xdr:row>
      <xdr:rowOff>3706090</xdr:rowOff>
    </xdr:from>
    <xdr:to>
      <xdr:col>2</xdr:col>
      <xdr:colOff>5142675</xdr:colOff>
      <xdr:row>30</xdr:row>
      <xdr:rowOff>4005447</xdr:rowOff>
    </xdr:to>
    <xdr:sp macro="" textlink="">
      <xdr:nvSpPr>
        <xdr:cNvPr id="1221" name="ZoneTexte 1220">
          <a:extLst>
            <a:ext uri="{FF2B5EF4-FFF2-40B4-BE49-F238E27FC236}">
              <a16:creationId xmlns:a16="http://schemas.microsoft.com/office/drawing/2014/main" id="{00000000-0008-0000-0E00-0000C5040000}"/>
            </a:ext>
          </a:extLst>
        </xdr:cNvPr>
        <xdr:cNvSpPr txBox="1"/>
      </xdr:nvSpPr>
      <xdr:spPr>
        <a:xfrm>
          <a:off x="7278543" y="8573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36</xdr:row>
      <xdr:rowOff>3706090</xdr:rowOff>
    </xdr:from>
    <xdr:to>
      <xdr:col>2</xdr:col>
      <xdr:colOff>5142675</xdr:colOff>
      <xdr:row>36</xdr:row>
      <xdr:rowOff>4005447</xdr:rowOff>
    </xdr:to>
    <xdr:sp macro="" textlink="">
      <xdr:nvSpPr>
        <xdr:cNvPr id="1222" name="ZoneTexte 1221">
          <a:extLst>
            <a:ext uri="{FF2B5EF4-FFF2-40B4-BE49-F238E27FC236}">
              <a16:creationId xmlns:a16="http://schemas.microsoft.com/office/drawing/2014/main" id="{00000000-0008-0000-0E00-0000C6040000}"/>
            </a:ext>
          </a:extLst>
        </xdr:cNvPr>
        <xdr:cNvSpPr txBox="1"/>
      </xdr:nvSpPr>
      <xdr:spPr>
        <a:xfrm>
          <a:off x="7278543" y="9716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36</xdr:row>
      <xdr:rowOff>3706090</xdr:rowOff>
    </xdr:from>
    <xdr:to>
      <xdr:col>2</xdr:col>
      <xdr:colOff>5142675</xdr:colOff>
      <xdr:row>36</xdr:row>
      <xdr:rowOff>4005447</xdr:rowOff>
    </xdr:to>
    <xdr:sp macro="" textlink="">
      <xdr:nvSpPr>
        <xdr:cNvPr id="1223" name="ZoneTexte 1222">
          <a:extLst>
            <a:ext uri="{FF2B5EF4-FFF2-40B4-BE49-F238E27FC236}">
              <a16:creationId xmlns:a16="http://schemas.microsoft.com/office/drawing/2014/main" id="{00000000-0008-0000-0E00-0000C7040000}"/>
            </a:ext>
          </a:extLst>
        </xdr:cNvPr>
        <xdr:cNvSpPr txBox="1"/>
      </xdr:nvSpPr>
      <xdr:spPr>
        <a:xfrm>
          <a:off x="7278543" y="9716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36</xdr:row>
      <xdr:rowOff>3706090</xdr:rowOff>
    </xdr:from>
    <xdr:to>
      <xdr:col>2</xdr:col>
      <xdr:colOff>5142675</xdr:colOff>
      <xdr:row>36</xdr:row>
      <xdr:rowOff>4005447</xdr:rowOff>
    </xdr:to>
    <xdr:sp macro="" textlink="">
      <xdr:nvSpPr>
        <xdr:cNvPr id="1224" name="ZoneTexte 1223">
          <a:extLst>
            <a:ext uri="{FF2B5EF4-FFF2-40B4-BE49-F238E27FC236}">
              <a16:creationId xmlns:a16="http://schemas.microsoft.com/office/drawing/2014/main" id="{00000000-0008-0000-0E00-0000C8040000}"/>
            </a:ext>
          </a:extLst>
        </xdr:cNvPr>
        <xdr:cNvSpPr txBox="1"/>
      </xdr:nvSpPr>
      <xdr:spPr>
        <a:xfrm>
          <a:off x="7278543" y="9716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36</xdr:row>
      <xdr:rowOff>3706090</xdr:rowOff>
    </xdr:from>
    <xdr:to>
      <xdr:col>2</xdr:col>
      <xdr:colOff>5142675</xdr:colOff>
      <xdr:row>36</xdr:row>
      <xdr:rowOff>4005447</xdr:rowOff>
    </xdr:to>
    <xdr:sp macro="" textlink="">
      <xdr:nvSpPr>
        <xdr:cNvPr id="1225" name="ZoneTexte 1224">
          <a:extLst>
            <a:ext uri="{FF2B5EF4-FFF2-40B4-BE49-F238E27FC236}">
              <a16:creationId xmlns:a16="http://schemas.microsoft.com/office/drawing/2014/main" id="{00000000-0008-0000-0E00-0000C9040000}"/>
            </a:ext>
          </a:extLst>
        </xdr:cNvPr>
        <xdr:cNvSpPr txBox="1"/>
      </xdr:nvSpPr>
      <xdr:spPr>
        <a:xfrm>
          <a:off x="7278543" y="97163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1240" name="ZoneTexte 1239">
          <a:extLst>
            <a:ext uri="{FF2B5EF4-FFF2-40B4-BE49-F238E27FC236}">
              <a16:creationId xmlns:a16="http://schemas.microsoft.com/office/drawing/2014/main" id="{00000000-0008-0000-0E00-0000D8040000}"/>
            </a:ext>
          </a:extLst>
        </xdr:cNvPr>
        <xdr:cNvSpPr txBox="1"/>
      </xdr:nvSpPr>
      <xdr:spPr>
        <a:xfrm>
          <a:off x="7272770" y="7623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1241" name="ZoneTexte 1240">
          <a:extLst>
            <a:ext uri="{FF2B5EF4-FFF2-40B4-BE49-F238E27FC236}">
              <a16:creationId xmlns:a16="http://schemas.microsoft.com/office/drawing/2014/main" id="{00000000-0008-0000-0E00-0000D9040000}"/>
            </a:ext>
          </a:extLst>
        </xdr:cNvPr>
        <xdr:cNvSpPr txBox="1"/>
      </xdr:nvSpPr>
      <xdr:spPr>
        <a:xfrm>
          <a:off x="7272770" y="7623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35</xdr:row>
      <xdr:rowOff>2412999</xdr:rowOff>
    </xdr:from>
    <xdr:to>
      <xdr:col>2</xdr:col>
      <xdr:colOff>5327402</xdr:colOff>
      <xdr:row>35</xdr:row>
      <xdr:rowOff>2712356</xdr:rowOff>
    </xdr:to>
    <xdr:sp macro="" textlink="">
      <xdr:nvSpPr>
        <xdr:cNvPr id="1242" name="ZoneTexte 1241">
          <a:extLst>
            <a:ext uri="{FF2B5EF4-FFF2-40B4-BE49-F238E27FC236}">
              <a16:creationId xmlns:a16="http://schemas.microsoft.com/office/drawing/2014/main" id="{00000000-0008-0000-0E00-0000DA040000}"/>
            </a:ext>
          </a:extLst>
        </xdr:cNvPr>
        <xdr:cNvSpPr txBox="1"/>
      </xdr:nvSpPr>
      <xdr:spPr>
        <a:xfrm>
          <a:off x="7272770" y="9337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35</xdr:row>
      <xdr:rowOff>2412999</xdr:rowOff>
    </xdr:from>
    <xdr:to>
      <xdr:col>2</xdr:col>
      <xdr:colOff>5327402</xdr:colOff>
      <xdr:row>35</xdr:row>
      <xdr:rowOff>2712356</xdr:rowOff>
    </xdr:to>
    <xdr:sp macro="" textlink="">
      <xdr:nvSpPr>
        <xdr:cNvPr id="1243" name="ZoneTexte 1242">
          <a:extLst>
            <a:ext uri="{FF2B5EF4-FFF2-40B4-BE49-F238E27FC236}">
              <a16:creationId xmlns:a16="http://schemas.microsoft.com/office/drawing/2014/main" id="{00000000-0008-0000-0E00-0000DB040000}"/>
            </a:ext>
          </a:extLst>
        </xdr:cNvPr>
        <xdr:cNvSpPr txBox="1"/>
      </xdr:nvSpPr>
      <xdr:spPr>
        <a:xfrm>
          <a:off x="7272770" y="9337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35</xdr:row>
      <xdr:rowOff>2412999</xdr:rowOff>
    </xdr:from>
    <xdr:to>
      <xdr:col>2</xdr:col>
      <xdr:colOff>5327402</xdr:colOff>
      <xdr:row>35</xdr:row>
      <xdr:rowOff>2712356</xdr:rowOff>
    </xdr:to>
    <xdr:sp macro="" textlink="">
      <xdr:nvSpPr>
        <xdr:cNvPr id="1244" name="ZoneTexte 1243">
          <a:extLst>
            <a:ext uri="{FF2B5EF4-FFF2-40B4-BE49-F238E27FC236}">
              <a16:creationId xmlns:a16="http://schemas.microsoft.com/office/drawing/2014/main" id="{00000000-0008-0000-0E00-0000DC040000}"/>
            </a:ext>
          </a:extLst>
        </xdr:cNvPr>
        <xdr:cNvSpPr txBox="1"/>
      </xdr:nvSpPr>
      <xdr:spPr>
        <a:xfrm>
          <a:off x="7272770" y="9337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35</xdr:row>
      <xdr:rowOff>2412999</xdr:rowOff>
    </xdr:from>
    <xdr:to>
      <xdr:col>2</xdr:col>
      <xdr:colOff>5327402</xdr:colOff>
      <xdr:row>35</xdr:row>
      <xdr:rowOff>2712356</xdr:rowOff>
    </xdr:to>
    <xdr:sp macro="" textlink="">
      <xdr:nvSpPr>
        <xdr:cNvPr id="1245" name="ZoneTexte 1244">
          <a:extLst>
            <a:ext uri="{FF2B5EF4-FFF2-40B4-BE49-F238E27FC236}">
              <a16:creationId xmlns:a16="http://schemas.microsoft.com/office/drawing/2014/main" id="{00000000-0008-0000-0E00-0000DD040000}"/>
            </a:ext>
          </a:extLst>
        </xdr:cNvPr>
        <xdr:cNvSpPr txBox="1"/>
      </xdr:nvSpPr>
      <xdr:spPr>
        <a:xfrm>
          <a:off x="7272770" y="9337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246" name="ZoneTexte 1245">
          <a:extLst>
            <a:ext uri="{FF2B5EF4-FFF2-40B4-BE49-F238E27FC236}">
              <a16:creationId xmlns:a16="http://schemas.microsoft.com/office/drawing/2014/main" id="{00000000-0008-0000-0E00-0000DE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247" name="ZoneTexte 1246">
          <a:extLst>
            <a:ext uri="{FF2B5EF4-FFF2-40B4-BE49-F238E27FC236}">
              <a16:creationId xmlns:a16="http://schemas.microsoft.com/office/drawing/2014/main" id="{00000000-0008-0000-0E00-0000DF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248" name="ZoneTexte 1247">
          <a:extLst>
            <a:ext uri="{FF2B5EF4-FFF2-40B4-BE49-F238E27FC236}">
              <a16:creationId xmlns:a16="http://schemas.microsoft.com/office/drawing/2014/main" id="{00000000-0008-0000-0E00-0000E0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3706090</xdr:rowOff>
    </xdr:from>
    <xdr:to>
      <xdr:col>2</xdr:col>
      <xdr:colOff>5142675</xdr:colOff>
      <xdr:row>84</xdr:row>
      <xdr:rowOff>4005447</xdr:rowOff>
    </xdr:to>
    <xdr:sp macro="" textlink="">
      <xdr:nvSpPr>
        <xdr:cNvPr id="1249" name="ZoneTexte 1248">
          <a:extLst>
            <a:ext uri="{FF2B5EF4-FFF2-40B4-BE49-F238E27FC236}">
              <a16:creationId xmlns:a16="http://schemas.microsoft.com/office/drawing/2014/main" id="{00000000-0008-0000-0E00-0000E1040000}"/>
            </a:ext>
          </a:extLst>
        </xdr:cNvPr>
        <xdr:cNvSpPr txBox="1"/>
      </xdr:nvSpPr>
      <xdr:spPr>
        <a:xfrm>
          <a:off x="7278543" y="332240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250" name="ZoneTexte 1249">
          <a:extLst>
            <a:ext uri="{FF2B5EF4-FFF2-40B4-BE49-F238E27FC236}">
              <a16:creationId xmlns:a16="http://schemas.microsoft.com/office/drawing/2014/main" id="{00000000-0008-0000-0E00-0000E2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251" name="ZoneTexte 1250">
          <a:extLst>
            <a:ext uri="{FF2B5EF4-FFF2-40B4-BE49-F238E27FC236}">
              <a16:creationId xmlns:a16="http://schemas.microsoft.com/office/drawing/2014/main" id="{00000000-0008-0000-0E00-0000E3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3706090</xdr:rowOff>
    </xdr:from>
    <xdr:to>
      <xdr:col>2</xdr:col>
      <xdr:colOff>5142675</xdr:colOff>
      <xdr:row>84</xdr:row>
      <xdr:rowOff>4005447</xdr:rowOff>
    </xdr:to>
    <xdr:sp macro="" textlink="">
      <xdr:nvSpPr>
        <xdr:cNvPr id="1252" name="ZoneTexte 1251">
          <a:extLst>
            <a:ext uri="{FF2B5EF4-FFF2-40B4-BE49-F238E27FC236}">
              <a16:creationId xmlns:a16="http://schemas.microsoft.com/office/drawing/2014/main" id="{00000000-0008-0000-0E00-0000E4040000}"/>
            </a:ext>
          </a:extLst>
        </xdr:cNvPr>
        <xdr:cNvSpPr txBox="1"/>
      </xdr:nvSpPr>
      <xdr:spPr>
        <a:xfrm>
          <a:off x="7278543" y="332240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253" name="ZoneTexte 1252">
          <a:extLst>
            <a:ext uri="{FF2B5EF4-FFF2-40B4-BE49-F238E27FC236}">
              <a16:creationId xmlns:a16="http://schemas.microsoft.com/office/drawing/2014/main" id="{00000000-0008-0000-0E00-0000E5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254" name="ZoneTexte 1253">
          <a:extLst>
            <a:ext uri="{FF2B5EF4-FFF2-40B4-BE49-F238E27FC236}">
              <a16:creationId xmlns:a16="http://schemas.microsoft.com/office/drawing/2014/main" id="{00000000-0008-0000-0E00-0000E6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255" name="ZoneTexte 1254">
          <a:extLst>
            <a:ext uri="{FF2B5EF4-FFF2-40B4-BE49-F238E27FC236}">
              <a16:creationId xmlns:a16="http://schemas.microsoft.com/office/drawing/2014/main" id="{00000000-0008-0000-0E00-0000E7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256" name="ZoneTexte 1255">
          <a:extLst>
            <a:ext uri="{FF2B5EF4-FFF2-40B4-BE49-F238E27FC236}">
              <a16:creationId xmlns:a16="http://schemas.microsoft.com/office/drawing/2014/main" id="{00000000-0008-0000-0E00-0000E8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84</xdr:row>
      <xdr:rowOff>2412999</xdr:rowOff>
    </xdr:from>
    <xdr:to>
      <xdr:col>2</xdr:col>
      <xdr:colOff>5327402</xdr:colOff>
      <xdr:row>84</xdr:row>
      <xdr:rowOff>2712356</xdr:rowOff>
    </xdr:to>
    <xdr:sp macro="" textlink="">
      <xdr:nvSpPr>
        <xdr:cNvPr id="1257" name="ZoneTexte 1256">
          <a:extLst>
            <a:ext uri="{FF2B5EF4-FFF2-40B4-BE49-F238E27FC236}">
              <a16:creationId xmlns:a16="http://schemas.microsoft.com/office/drawing/2014/main" id="{00000000-0008-0000-0E00-0000E9040000}"/>
            </a:ext>
          </a:extLst>
        </xdr:cNvPr>
        <xdr:cNvSpPr txBox="1"/>
      </xdr:nvSpPr>
      <xdr:spPr>
        <a:xfrm>
          <a:off x="7272770" y="332263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58" name="ZoneTexte 1257">
          <a:extLst>
            <a:ext uri="{FF2B5EF4-FFF2-40B4-BE49-F238E27FC236}">
              <a16:creationId xmlns:a16="http://schemas.microsoft.com/office/drawing/2014/main" id="{00000000-0008-0000-0E00-0000EA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59" name="ZoneTexte 1258">
          <a:extLst>
            <a:ext uri="{FF2B5EF4-FFF2-40B4-BE49-F238E27FC236}">
              <a16:creationId xmlns:a16="http://schemas.microsoft.com/office/drawing/2014/main" id="{00000000-0008-0000-0E00-0000EB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62" name="ZoneTexte 1261">
          <a:extLst>
            <a:ext uri="{FF2B5EF4-FFF2-40B4-BE49-F238E27FC236}">
              <a16:creationId xmlns:a16="http://schemas.microsoft.com/office/drawing/2014/main" id="{00000000-0008-0000-0E00-0000EE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63" name="ZoneTexte 1262">
          <a:extLst>
            <a:ext uri="{FF2B5EF4-FFF2-40B4-BE49-F238E27FC236}">
              <a16:creationId xmlns:a16="http://schemas.microsoft.com/office/drawing/2014/main" id="{00000000-0008-0000-0E00-0000EF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64" name="ZoneTexte 1263">
          <a:extLst>
            <a:ext uri="{FF2B5EF4-FFF2-40B4-BE49-F238E27FC236}">
              <a16:creationId xmlns:a16="http://schemas.microsoft.com/office/drawing/2014/main" id="{00000000-0008-0000-0E00-0000F0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65" name="ZoneTexte 1264">
          <a:extLst>
            <a:ext uri="{FF2B5EF4-FFF2-40B4-BE49-F238E27FC236}">
              <a16:creationId xmlns:a16="http://schemas.microsoft.com/office/drawing/2014/main" id="{00000000-0008-0000-0E00-0000F1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66" name="ZoneTexte 1265">
          <a:extLst>
            <a:ext uri="{FF2B5EF4-FFF2-40B4-BE49-F238E27FC236}">
              <a16:creationId xmlns:a16="http://schemas.microsoft.com/office/drawing/2014/main" id="{00000000-0008-0000-0E00-0000F2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67" name="ZoneTexte 1266">
          <a:extLst>
            <a:ext uri="{FF2B5EF4-FFF2-40B4-BE49-F238E27FC236}">
              <a16:creationId xmlns:a16="http://schemas.microsoft.com/office/drawing/2014/main" id="{00000000-0008-0000-0E00-0000F3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68" name="ZoneTexte 1267">
          <a:extLst>
            <a:ext uri="{FF2B5EF4-FFF2-40B4-BE49-F238E27FC236}">
              <a16:creationId xmlns:a16="http://schemas.microsoft.com/office/drawing/2014/main" id="{00000000-0008-0000-0E00-0000F4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69" name="ZoneTexte 1268">
          <a:extLst>
            <a:ext uri="{FF2B5EF4-FFF2-40B4-BE49-F238E27FC236}">
              <a16:creationId xmlns:a16="http://schemas.microsoft.com/office/drawing/2014/main" id="{00000000-0008-0000-0E00-0000F5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70" name="ZoneTexte 1269">
          <a:extLst>
            <a:ext uri="{FF2B5EF4-FFF2-40B4-BE49-F238E27FC236}">
              <a16:creationId xmlns:a16="http://schemas.microsoft.com/office/drawing/2014/main" id="{00000000-0008-0000-0E00-0000F6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71" name="ZoneTexte 1270">
          <a:extLst>
            <a:ext uri="{FF2B5EF4-FFF2-40B4-BE49-F238E27FC236}">
              <a16:creationId xmlns:a16="http://schemas.microsoft.com/office/drawing/2014/main" id="{00000000-0008-0000-0E00-0000F7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72" name="ZoneTexte 1271">
          <a:extLst>
            <a:ext uri="{FF2B5EF4-FFF2-40B4-BE49-F238E27FC236}">
              <a16:creationId xmlns:a16="http://schemas.microsoft.com/office/drawing/2014/main" id="{00000000-0008-0000-0E00-0000F8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73" name="ZoneTexte 1272">
          <a:extLst>
            <a:ext uri="{FF2B5EF4-FFF2-40B4-BE49-F238E27FC236}">
              <a16:creationId xmlns:a16="http://schemas.microsoft.com/office/drawing/2014/main" id="{00000000-0008-0000-0E00-0000F9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74" name="ZoneTexte 1273">
          <a:extLst>
            <a:ext uri="{FF2B5EF4-FFF2-40B4-BE49-F238E27FC236}">
              <a16:creationId xmlns:a16="http://schemas.microsoft.com/office/drawing/2014/main" id="{00000000-0008-0000-0E00-0000FA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46</xdr:row>
      <xdr:rowOff>3706090</xdr:rowOff>
    </xdr:from>
    <xdr:to>
      <xdr:col>2</xdr:col>
      <xdr:colOff>5142675</xdr:colOff>
      <xdr:row>46</xdr:row>
      <xdr:rowOff>4005447</xdr:rowOff>
    </xdr:to>
    <xdr:sp macro="" textlink="">
      <xdr:nvSpPr>
        <xdr:cNvPr id="1275" name="ZoneTexte 1274">
          <a:extLst>
            <a:ext uri="{FF2B5EF4-FFF2-40B4-BE49-F238E27FC236}">
              <a16:creationId xmlns:a16="http://schemas.microsoft.com/office/drawing/2014/main" id="{00000000-0008-0000-0E00-0000FB040000}"/>
            </a:ext>
          </a:extLst>
        </xdr:cNvPr>
        <xdr:cNvSpPr txBox="1"/>
      </xdr:nvSpPr>
      <xdr:spPr>
        <a:xfrm>
          <a:off x="7278543" y="192127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76" name="ZoneTexte 1275">
          <a:extLst>
            <a:ext uri="{FF2B5EF4-FFF2-40B4-BE49-F238E27FC236}">
              <a16:creationId xmlns:a16="http://schemas.microsoft.com/office/drawing/2014/main" id="{00000000-0008-0000-0E00-0000FC04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77" name="ZoneTexte 1276">
          <a:extLst>
            <a:ext uri="{FF2B5EF4-FFF2-40B4-BE49-F238E27FC236}">
              <a16:creationId xmlns:a16="http://schemas.microsoft.com/office/drawing/2014/main" id="{00000000-0008-0000-0E00-0000FD04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55</xdr:row>
      <xdr:rowOff>2412999</xdr:rowOff>
    </xdr:from>
    <xdr:to>
      <xdr:col>2</xdr:col>
      <xdr:colOff>5327402</xdr:colOff>
      <xdr:row>55</xdr:row>
      <xdr:rowOff>2712356</xdr:rowOff>
    </xdr:to>
    <xdr:sp macro="" textlink="">
      <xdr:nvSpPr>
        <xdr:cNvPr id="1278" name="ZoneTexte 1277">
          <a:extLst>
            <a:ext uri="{FF2B5EF4-FFF2-40B4-BE49-F238E27FC236}">
              <a16:creationId xmlns:a16="http://schemas.microsoft.com/office/drawing/2014/main" id="{00000000-0008-0000-0E00-0000FE040000}"/>
            </a:ext>
          </a:extLst>
        </xdr:cNvPr>
        <xdr:cNvSpPr txBox="1"/>
      </xdr:nvSpPr>
      <xdr:spPr>
        <a:xfrm>
          <a:off x="7272770" y="214629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55</xdr:row>
      <xdr:rowOff>2412999</xdr:rowOff>
    </xdr:from>
    <xdr:to>
      <xdr:col>2</xdr:col>
      <xdr:colOff>5327402</xdr:colOff>
      <xdr:row>55</xdr:row>
      <xdr:rowOff>2712356</xdr:rowOff>
    </xdr:to>
    <xdr:sp macro="" textlink="">
      <xdr:nvSpPr>
        <xdr:cNvPr id="1279" name="ZoneTexte 1278">
          <a:extLst>
            <a:ext uri="{FF2B5EF4-FFF2-40B4-BE49-F238E27FC236}">
              <a16:creationId xmlns:a16="http://schemas.microsoft.com/office/drawing/2014/main" id="{00000000-0008-0000-0E00-0000FF040000}"/>
            </a:ext>
          </a:extLst>
        </xdr:cNvPr>
        <xdr:cNvSpPr txBox="1"/>
      </xdr:nvSpPr>
      <xdr:spPr>
        <a:xfrm>
          <a:off x="7272770" y="214629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80" name="ZoneTexte 1279">
          <a:extLst>
            <a:ext uri="{FF2B5EF4-FFF2-40B4-BE49-F238E27FC236}">
              <a16:creationId xmlns:a16="http://schemas.microsoft.com/office/drawing/2014/main" id="{00000000-0008-0000-0E00-000000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81" name="ZoneTexte 1280">
          <a:extLst>
            <a:ext uri="{FF2B5EF4-FFF2-40B4-BE49-F238E27FC236}">
              <a16:creationId xmlns:a16="http://schemas.microsoft.com/office/drawing/2014/main" id="{00000000-0008-0000-0E00-000001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82" name="ZoneTexte 1281">
          <a:extLst>
            <a:ext uri="{FF2B5EF4-FFF2-40B4-BE49-F238E27FC236}">
              <a16:creationId xmlns:a16="http://schemas.microsoft.com/office/drawing/2014/main" id="{00000000-0008-0000-0E00-000002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83" name="ZoneTexte 1282">
          <a:extLst>
            <a:ext uri="{FF2B5EF4-FFF2-40B4-BE49-F238E27FC236}">
              <a16:creationId xmlns:a16="http://schemas.microsoft.com/office/drawing/2014/main" id="{00000000-0008-0000-0E00-000003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84" name="ZoneTexte 1283">
          <a:extLst>
            <a:ext uri="{FF2B5EF4-FFF2-40B4-BE49-F238E27FC236}">
              <a16:creationId xmlns:a16="http://schemas.microsoft.com/office/drawing/2014/main" id="{00000000-0008-0000-0E00-000004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85" name="ZoneTexte 1284">
          <a:extLst>
            <a:ext uri="{FF2B5EF4-FFF2-40B4-BE49-F238E27FC236}">
              <a16:creationId xmlns:a16="http://schemas.microsoft.com/office/drawing/2014/main" id="{00000000-0008-0000-0E00-000005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86" name="ZoneTexte 1285">
          <a:extLst>
            <a:ext uri="{FF2B5EF4-FFF2-40B4-BE49-F238E27FC236}">
              <a16:creationId xmlns:a16="http://schemas.microsoft.com/office/drawing/2014/main" id="{00000000-0008-0000-0E00-000006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87" name="ZoneTexte 1286">
          <a:extLst>
            <a:ext uri="{FF2B5EF4-FFF2-40B4-BE49-F238E27FC236}">
              <a16:creationId xmlns:a16="http://schemas.microsoft.com/office/drawing/2014/main" id="{00000000-0008-0000-0E00-000007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88" name="ZoneTexte 1287">
          <a:extLst>
            <a:ext uri="{FF2B5EF4-FFF2-40B4-BE49-F238E27FC236}">
              <a16:creationId xmlns:a16="http://schemas.microsoft.com/office/drawing/2014/main" id="{00000000-0008-0000-0E00-000008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89" name="ZoneTexte 1288">
          <a:extLst>
            <a:ext uri="{FF2B5EF4-FFF2-40B4-BE49-F238E27FC236}">
              <a16:creationId xmlns:a16="http://schemas.microsoft.com/office/drawing/2014/main" id="{00000000-0008-0000-0E00-000009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90" name="ZoneTexte 1289">
          <a:extLst>
            <a:ext uri="{FF2B5EF4-FFF2-40B4-BE49-F238E27FC236}">
              <a16:creationId xmlns:a16="http://schemas.microsoft.com/office/drawing/2014/main" id="{00000000-0008-0000-0E00-00000A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91" name="ZoneTexte 1290">
          <a:extLst>
            <a:ext uri="{FF2B5EF4-FFF2-40B4-BE49-F238E27FC236}">
              <a16:creationId xmlns:a16="http://schemas.microsoft.com/office/drawing/2014/main" id="{00000000-0008-0000-0E00-00000B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92" name="ZoneTexte 1291">
          <a:extLst>
            <a:ext uri="{FF2B5EF4-FFF2-40B4-BE49-F238E27FC236}">
              <a16:creationId xmlns:a16="http://schemas.microsoft.com/office/drawing/2014/main" id="{00000000-0008-0000-0E00-00000C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293" name="ZoneTexte 1292">
          <a:extLst>
            <a:ext uri="{FF2B5EF4-FFF2-40B4-BE49-F238E27FC236}">
              <a16:creationId xmlns:a16="http://schemas.microsoft.com/office/drawing/2014/main" id="{00000000-0008-0000-0E00-00000D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10" name="ZoneTexte 1309">
          <a:extLst>
            <a:ext uri="{FF2B5EF4-FFF2-40B4-BE49-F238E27FC236}">
              <a16:creationId xmlns:a16="http://schemas.microsoft.com/office/drawing/2014/main" id="{00000000-0008-0000-0E00-00001E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11" name="ZoneTexte 1310">
          <a:extLst>
            <a:ext uri="{FF2B5EF4-FFF2-40B4-BE49-F238E27FC236}">
              <a16:creationId xmlns:a16="http://schemas.microsoft.com/office/drawing/2014/main" id="{00000000-0008-0000-0E00-00001F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12" name="ZoneTexte 1311">
          <a:extLst>
            <a:ext uri="{FF2B5EF4-FFF2-40B4-BE49-F238E27FC236}">
              <a16:creationId xmlns:a16="http://schemas.microsoft.com/office/drawing/2014/main" id="{00000000-0008-0000-0E00-000020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13" name="ZoneTexte 1312">
          <a:extLst>
            <a:ext uri="{FF2B5EF4-FFF2-40B4-BE49-F238E27FC236}">
              <a16:creationId xmlns:a16="http://schemas.microsoft.com/office/drawing/2014/main" id="{00000000-0008-0000-0E00-000021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14" name="ZoneTexte 1313">
          <a:extLst>
            <a:ext uri="{FF2B5EF4-FFF2-40B4-BE49-F238E27FC236}">
              <a16:creationId xmlns:a16="http://schemas.microsoft.com/office/drawing/2014/main" id="{00000000-0008-0000-0E00-000022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15" name="ZoneTexte 1314">
          <a:extLst>
            <a:ext uri="{FF2B5EF4-FFF2-40B4-BE49-F238E27FC236}">
              <a16:creationId xmlns:a16="http://schemas.microsoft.com/office/drawing/2014/main" id="{00000000-0008-0000-0E00-000023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16" name="ZoneTexte 1315">
          <a:extLst>
            <a:ext uri="{FF2B5EF4-FFF2-40B4-BE49-F238E27FC236}">
              <a16:creationId xmlns:a16="http://schemas.microsoft.com/office/drawing/2014/main" id="{00000000-0008-0000-0E00-000024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17" name="ZoneTexte 1316">
          <a:extLst>
            <a:ext uri="{FF2B5EF4-FFF2-40B4-BE49-F238E27FC236}">
              <a16:creationId xmlns:a16="http://schemas.microsoft.com/office/drawing/2014/main" id="{00000000-0008-0000-0E00-000025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18" name="ZoneTexte 1317">
          <a:extLst>
            <a:ext uri="{FF2B5EF4-FFF2-40B4-BE49-F238E27FC236}">
              <a16:creationId xmlns:a16="http://schemas.microsoft.com/office/drawing/2014/main" id="{00000000-0008-0000-0E00-000026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19" name="ZoneTexte 1318">
          <a:extLst>
            <a:ext uri="{FF2B5EF4-FFF2-40B4-BE49-F238E27FC236}">
              <a16:creationId xmlns:a16="http://schemas.microsoft.com/office/drawing/2014/main" id="{00000000-0008-0000-0E00-000027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20" name="ZoneTexte 1319">
          <a:extLst>
            <a:ext uri="{FF2B5EF4-FFF2-40B4-BE49-F238E27FC236}">
              <a16:creationId xmlns:a16="http://schemas.microsoft.com/office/drawing/2014/main" id="{00000000-0008-0000-0E00-000028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21" name="ZoneTexte 1320">
          <a:extLst>
            <a:ext uri="{FF2B5EF4-FFF2-40B4-BE49-F238E27FC236}">
              <a16:creationId xmlns:a16="http://schemas.microsoft.com/office/drawing/2014/main" id="{00000000-0008-0000-0E00-000029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22" name="ZoneTexte 1321">
          <a:extLst>
            <a:ext uri="{FF2B5EF4-FFF2-40B4-BE49-F238E27FC236}">
              <a16:creationId xmlns:a16="http://schemas.microsoft.com/office/drawing/2014/main" id="{00000000-0008-0000-0E00-00002A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23" name="ZoneTexte 1322">
          <a:extLst>
            <a:ext uri="{FF2B5EF4-FFF2-40B4-BE49-F238E27FC236}">
              <a16:creationId xmlns:a16="http://schemas.microsoft.com/office/drawing/2014/main" id="{00000000-0008-0000-0E00-00002B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24" name="ZoneTexte 1323">
          <a:extLst>
            <a:ext uri="{FF2B5EF4-FFF2-40B4-BE49-F238E27FC236}">
              <a16:creationId xmlns:a16="http://schemas.microsoft.com/office/drawing/2014/main" id="{00000000-0008-0000-0E00-00002C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53</xdr:row>
      <xdr:rowOff>3706090</xdr:rowOff>
    </xdr:from>
    <xdr:to>
      <xdr:col>2</xdr:col>
      <xdr:colOff>5142675</xdr:colOff>
      <xdr:row>53</xdr:row>
      <xdr:rowOff>4005447</xdr:rowOff>
    </xdr:to>
    <xdr:sp macro="" textlink="">
      <xdr:nvSpPr>
        <xdr:cNvPr id="1325" name="ZoneTexte 1324">
          <a:extLst>
            <a:ext uri="{FF2B5EF4-FFF2-40B4-BE49-F238E27FC236}">
              <a16:creationId xmlns:a16="http://schemas.microsoft.com/office/drawing/2014/main" id="{00000000-0008-0000-0E00-00002D050000}"/>
            </a:ext>
          </a:extLst>
        </xdr:cNvPr>
        <xdr:cNvSpPr txBox="1"/>
      </xdr:nvSpPr>
      <xdr:spPr>
        <a:xfrm>
          <a:off x="7278543" y="212701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42" name="ZoneTexte 1341">
          <a:extLst>
            <a:ext uri="{FF2B5EF4-FFF2-40B4-BE49-F238E27FC236}">
              <a16:creationId xmlns:a16="http://schemas.microsoft.com/office/drawing/2014/main" id="{00000000-0008-0000-0E00-00003E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43" name="ZoneTexte 1342">
          <a:extLst>
            <a:ext uri="{FF2B5EF4-FFF2-40B4-BE49-F238E27FC236}">
              <a16:creationId xmlns:a16="http://schemas.microsoft.com/office/drawing/2014/main" id="{00000000-0008-0000-0E00-00003F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44" name="ZoneTexte 1343">
          <a:extLst>
            <a:ext uri="{FF2B5EF4-FFF2-40B4-BE49-F238E27FC236}">
              <a16:creationId xmlns:a16="http://schemas.microsoft.com/office/drawing/2014/main" id="{00000000-0008-0000-0E00-000040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45" name="ZoneTexte 1344">
          <a:extLst>
            <a:ext uri="{FF2B5EF4-FFF2-40B4-BE49-F238E27FC236}">
              <a16:creationId xmlns:a16="http://schemas.microsoft.com/office/drawing/2014/main" id="{00000000-0008-0000-0E00-000041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46" name="ZoneTexte 1345">
          <a:extLst>
            <a:ext uri="{FF2B5EF4-FFF2-40B4-BE49-F238E27FC236}">
              <a16:creationId xmlns:a16="http://schemas.microsoft.com/office/drawing/2014/main" id="{00000000-0008-0000-0E00-000042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47" name="ZoneTexte 1346">
          <a:extLst>
            <a:ext uri="{FF2B5EF4-FFF2-40B4-BE49-F238E27FC236}">
              <a16:creationId xmlns:a16="http://schemas.microsoft.com/office/drawing/2014/main" id="{00000000-0008-0000-0E00-000043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48" name="ZoneTexte 1347">
          <a:extLst>
            <a:ext uri="{FF2B5EF4-FFF2-40B4-BE49-F238E27FC236}">
              <a16:creationId xmlns:a16="http://schemas.microsoft.com/office/drawing/2014/main" id="{00000000-0008-0000-0E00-000044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49" name="ZoneTexte 1348">
          <a:extLst>
            <a:ext uri="{FF2B5EF4-FFF2-40B4-BE49-F238E27FC236}">
              <a16:creationId xmlns:a16="http://schemas.microsoft.com/office/drawing/2014/main" id="{00000000-0008-0000-0E00-000045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50" name="ZoneTexte 1349">
          <a:extLst>
            <a:ext uri="{FF2B5EF4-FFF2-40B4-BE49-F238E27FC236}">
              <a16:creationId xmlns:a16="http://schemas.microsoft.com/office/drawing/2014/main" id="{00000000-0008-0000-0E00-000046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51" name="ZoneTexte 1350">
          <a:extLst>
            <a:ext uri="{FF2B5EF4-FFF2-40B4-BE49-F238E27FC236}">
              <a16:creationId xmlns:a16="http://schemas.microsoft.com/office/drawing/2014/main" id="{00000000-0008-0000-0E00-000047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52" name="ZoneTexte 1351">
          <a:extLst>
            <a:ext uri="{FF2B5EF4-FFF2-40B4-BE49-F238E27FC236}">
              <a16:creationId xmlns:a16="http://schemas.microsoft.com/office/drawing/2014/main" id="{00000000-0008-0000-0E00-000048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53" name="ZoneTexte 1352">
          <a:extLst>
            <a:ext uri="{FF2B5EF4-FFF2-40B4-BE49-F238E27FC236}">
              <a16:creationId xmlns:a16="http://schemas.microsoft.com/office/drawing/2014/main" id="{00000000-0008-0000-0E00-000049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54" name="ZoneTexte 1353">
          <a:extLst>
            <a:ext uri="{FF2B5EF4-FFF2-40B4-BE49-F238E27FC236}">
              <a16:creationId xmlns:a16="http://schemas.microsoft.com/office/drawing/2014/main" id="{00000000-0008-0000-0E00-00004A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55" name="ZoneTexte 1354">
          <a:extLst>
            <a:ext uri="{FF2B5EF4-FFF2-40B4-BE49-F238E27FC236}">
              <a16:creationId xmlns:a16="http://schemas.microsoft.com/office/drawing/2014/main" id="{00000000-0008-0000-0E00-00004B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56" name="ZoneTexte 1355">
          <a:extLst>
            <a:ext uri="{FF2B5EF4-FFF2-40B4-BE49-F238E27FC236}">
              <a16:creationId xmlns:a16="http://schemas.microsoft.com/office/drawing/2014/main" id="{00000000-0008-0000-0E00-00004C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0</xdr:rowOff>
    </xdr:from>
    <xdr:to>
      <xdr:col>2</xdr:col>
      <xdr:colOff>5142675</xdr:colOff>
      <xdr:row>69</xdr:row>
      <xdr:rowOff>0</xdr:rowOff>
    </xdr:to>
    <xdr:sp macro="" textlink="">
      <xdr:nvSpPr>
        <xdr:cNvPr id="1357" name="ZoneTexte 1356">
          <a:extLst>
            <a:ext uri="{FF2B5EF4-FFF2-40B4-BE49-F238E27FC236}">
              <a16:creationId xmlns:a16="http://schemas.microsoft.com/office/drawing/2014/main" id="{00000000-0008-0000-0E00-00004D050000}"/>
            </a:ext>
          </a:extLst>
        </xdr:cNvPr>
        <xdr:cNvSpPr txBox="1"/>
      </xdr:nvSpPr>
      <xdr:spPr>
        <a:xfrm>
          <a:off x="7278543" y="246697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58" name="ZoneTexte 1357">
          <a:extLst>
            <a:ext uri="{FF2B5EF4-FFF2-40B4-BE49-F238E27FC236}">
              <a16:creationId xmlns:a16="http://schemas.microsoft.com/office/drawing/2014/main" id="{00000000-0008-0000-0E00-00004E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59" name="ZoneTexte 1358">
          <a:extLst>
            <a:ext uri="{FF2B5EF4-FFF2-40B4-BE49-F238E27FC236}">
              <a16:creationId xmlns:a16="http://schemas.microsoft.com/office/drawing/2014/main" id="{00000000-0008-0000-0E00-00004F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60" name="ZoneTexte 1359">
          <a:extLst>
            <a:ext uri="{FF2B5EF4-FFF2-40B4-BE49-F238E27FC236}">
              <a16:creationId xmlns:a16="http://schemas.microsoft.com/office/drawing/2014/main" id="{00000000-0008-0000-0E00-000050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61" name="ZoneTexte 1360">
          <a:extLst>
            <a:ext uri="{FF2B5EF4-FFF2-40B4-BE49-F238E27FC236}">
              <a16:creationId xmlns:a16="http://schemas.microsoft.com/office/drawing/2014/main" id="{00000000-0008-0000-0E00-000051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62" name="ZoneTexte 1361">
          <a:extLst>
            <a:ext uri="{FF2B5EF4-FFF2-40B4-BE49-F238E27FC236}">
              <a16:creationId xmlns:a16="http://schemas.microsoft.com/office/drawing/2014/main" id="{00000000-0008-0000-0E00-000052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63" name="ZoneTexte 1362">
          <a:extLst>
            <a:ext uri="{FF2B5EF4-FFF2-40B4-BE49-F238E27FC236}">
              <a16:creationId xmlns:a16="http://schemas.microsoft.com/office/drawing/2014/main" id="{00000000-0008-0000-0E00-000053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64" name="ZoneTexte 1363">
          <a:extLst>
            <a:ext uri="{FF2B5EF4-FFF2-40B4-BE49-F238E27FC236}">
              <a16:creationId xmlns:a16="http://schemas.microsoft.com/office/drawing/2014/main" id="{00000000-0008-0000-0E00-000054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65" name="ZoneTexte 1364">
          <a:extLst>
            <a:ext uri="{FF2B5EF4-FFF2-40B4-BE49-F238E27FC236}">
              <a16:creationId xmlns:a16="http://schemas.microsoft.com/office/drawing/2014/main" id="{00000000-0008-0000-0E00-000055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66" name="ZoneTexte 1365">
          <a:extLst>
            <a:ext uri="{FF2B5EF4-FFF2-40B4-BE49-F238E27FC236}">
              <a16:creationId xmlns:a16="http://schemas.microsoft.com/office/drawing/2014/main" id="{00000000-0008-0000-0E00-000056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67" name="ZoneTexte 1366">
          <a:extLst>
            <a:ext uri="{FF2B5EF4-FFF2-40B4-BE49-F238E27FC236}">
              <a16:creationId xmlns:a16="http://schemas.microsoft.com/office/drawing/2014/main" id="{00000000-0008-0000-0E00-000057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68" name="ZoneTexte 1367">
          <a:extLst>
            <a:ext uri="{FF2B5EF4-FFF2-40B4-BE49-F238E27FC236}">
              <a16:creationId xmlns:a16="http://schemas.microsoft.com/office/drawing/2014/main" id="{00000000-0008-0000-0E00-000058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69" name="ZoneTexte 1368">
          <a:extLst>
            <a:ext uri="{FF2B5EF4-FFF2-40B4-BE49-F238E27FC236}">
              <a16:creationId xmlns:a16="http://schemas.microsoft.com/office/drawing/2014/main" id="{00000000-0008-0000-0E00-000059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70" name="ZoneTexte 1369">
          <a:extLst>
            <a:ext uri="{FF2B5EF4-FFF2-40B4-BE49-F238E27FC236}">
              <a16:creationId xmlns:a16="http://schemas.microsoft.com/office/drawing/2014/main" id="{00000000-0008-0000-0E00-00005A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71" name="ZoneTexte 1370">
          <a:extLst>
            <a:ext uri="{FF2B5EF4-FFF2-40B4-BE49-F238E27FC236}">
              <a16:creationId xmlns:a16="http://schemas.microsoft.com/office/drawing/2014/main" id="{00000000-0008-0000-0E00-00005B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72" name="ZoneTexte 1371">
          <a:extLst>
            <a:ext uri="{FF2B5EF4-FFF2-40B4-BE49-F238E27FC236}">
              <a16:creationId xmlns:a16="http://schemas.microsoft.com/office/drawing/2014/main" id="{00000000-0008-0000-0E00-00005C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69</xdr:row>
      <xdr:rowOff>3706090</xdr:rowOff>
    </xdr:from>
    <xdr:to>
      <xdr:col>2</xdr:col>
      <xdr:colOff>5142675</xdr:colOff>
      <xdr:row>69</xdr:row>
      <xdr:rowOff>4005447</xdr:rowOff>
    </xdr:to>
    <xdr:sp macro="" textlink="">
      <xdr:nvSpPr>
        <xdr:cNvPr id="1373" name="ZoneTexte 1372">
          <a:extLst>
            <a:ext uri="{FF2B5EF4-FFF2-40B4-BE49-F238E27FC236}">
              <a16:creationId xmlns:a16="http://schemas.microsoft.com/office/drawing/2014/main" id="{00000000-0008-0000-0E00-00005D050000}"/>
            </a:ext>
          </a:extLst>
        </xdr:cNvPr>
        <xdr:cNvSpPr txBox="1"/>
      </xdr:nvSpPr>
      <xdr:spPr>
        <a:xfrm>
          <a:off x="7278543" y="24861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74" name="ZoneTexte 1373">
          <a:extLst>
            <a:ext uri="{FF2B5EF4-FFF2-40B4-BE49-F238E27FC236}">
              <a16:creationId xmlns:a16="http://schemas.microsoft.com/office/drawing/2014/main" id="{00000000-0008-0000-0E00-00005E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75" name="ZoneTexte 1374">
          <a:extLst>
            <a:ext uri="{FF2B5EF4-FFF2-40B4-BE49-F238E27FC236}">
              <a16:creationId xmlns:a16="http://schemas.microsoft.com/office/drawing/2014/main" id="{00000000-0008-0000-0E00-00005F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76" name="ZoneTexte 1375">
          <a:extLst>
            <a:ext uri="{FF2B5EF4-FFF2-40B4-BE49-F238E27FC236}">
              <a16:creationId xmlns:a16="http://schemas.microsoft.com/office/drawing/2014/main" id="{00000000-0008-0000-0E00-000060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77" name="ZoneTexte 1376">
          <a:extLst>
            <a:ext uri="{FF2B5EF4-FFF2-40B4-BE49-F238E27FC236}">
              <a16:creationId xmlns:a16="http://schemas.microsoft.com/office/drawing/2014/main" id="{00000000-0008-0000-0E00-000061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78" name="ZoneTexte 1377">
          <a:extLst>
            <a:ext uri="{FF2B5EF4-FFF2-40B4-BE49-F238E27FC236}">
              <a16:creationId xmlns:a16="http://schemas.microsoft.com/office/drawing/2014/main" id="{00000000-0008-0000-0E00-000062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79" name="ZoneTexte 1378">
          <a:extLst>
            <a:ext uri="{FF2B5EF4-FFF2-40B4-BE49-F238E27FC236}">
              <a16:creationId xmlns:a16="http://schemas.microsoft.com/office/drawing/2014/main" id="{00000000-0008-0000-0E00-000063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80" name="ZoneTexte 1379">
          <a:extLst>
            <a:ext uri="{FF2B5EF4-FFF2-40B4-BE49-F238E27FC236}">
              <a16:creationId xmlns:a16="http://schemas.microsoft.com/office/drawing/2014/main" id="{00000000-0008-0000-0E00-000064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81" name="ZoneTexte 1380">
          <a:extLst>
            <a:ext uri="{FF2B5EF4-FFF2-40B4-BE49-F238E27FC236}">
              <a16:creationId xmlns:a16="http://schemas.microsoft.com/office/drawing/2014/main" id="{00000000-0008-0000-0E00-000065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82" name="ZoneTexte 1381">
          <a:extLst>
            <a:ext uri="{FF2B5EF4-FFF2-40B4-BE49-F238E27FC236}">
              <a16:creationId xmlns:a16="http://schemas.microsoft.com/office/drawing/2014/main" id="{00000000-0008-0000-0E00-000066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83" name="ZoneTexte 1382">
          <a:extLst>
            <a:ext uri="{FF2B5EF4-FFF2-40B4-BE49-F238E27FC236}">
              <a16:creationId xmlns:a16="http://schemas.microsoft.com/office/drawing/2014/main" id="{00000000-0008-0000-0E00-000067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84" name="ZoneTexte 1383">
          <a:extLst>
            <a:ext uri="{FF2B5EF4-FFF2-40B4-BE49-F238E27FC236}">
              <a16:creationId xmlns:a16="http://schemas.microsoft.com/office/drawing/2014/main" id="{00000000-0008-0000-0E00-000068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85" name="ZoneTexte 1384">
          <a:extLst>
            <a:ext uri="{FF2B5EF4-FFF2-40B4-BE49-F238E27FC236}">
              <a16:creationId xmlns:a16="http://schemas.microsoft.com/office/drawing/2014/main" id="{00000000-0008-0000-0E00-000069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86" name="ZoneTexte 1385">
          <a:extLst>
            <a:ext uri="{FF2B5EF4-FFF2-40B4-BE49-F238E27FC236}">
              <a16:creationId xmlns:a16="http://schemas.microsoft.com/office/drawing/2014/main" id="{00000000-0008-0000-0E00-00006A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87" name="ZoneTexte 1386">
          <a:extLst>
            <a:ext uri="{FF2B5EF4-FFF2-40B4-BE49-F238E27FC236}">
              <a16:creationId xmlns:a16="http://schemas.microsoft.com/office/drawing/2014/main" id="{00000000-0008-0000-0E00-00006B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88" name="ZoneTexte 1387">
          <a:extLst>
            <a:ext uri="{FF2B5EF4-FFF2-40B4-BE49-F238E27FC236}">
              <a16:creationId xmlns:a16="http://schemas.microsoft.com/office/drawing/2014/main" id="{00000000-0008-0000-0E00-00006C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70</xdr:row>
      <xdr:rowOff>0</xdr:rowOff>
    </xdr:from>
    <xdr:to>
      <xdr:col>2</xdr:col>
      <xdr:colOff>5142675</xdr:colOff>
      <xdr:row>70</xdr:row>
      <xdr:rowOff>0</xdr:rowOff>
    </xdr:to>
    <xdr:sp macro="" textlink="">
      <xdr:nvSpPr>
        <xdr:cNvPr id="1389" name="ZoneTexte 1388">
          <a:extLst>
            <a:ext uri="{FF2B5EF4-FFF2-40B4-BE49-F238E27FC236}">
              <a16:creationId xmlns:a16="http://schemas.microsoft.com/office/drawing/2014/main" id="{00000000-0008-0000-0E00-00006D050000}"/>
            </a:ext>
          </a:extLst>
        </xdr:cNvPr>
        <xdr:cNvSpPr txBox="1"/>
      </xdr:nvSpPr>
      <xdr:spPr>
        <a:xfrm>
          <a:off x="7278543" y="24860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390" name="ZoneTexte 1389">
          <a:extLst>
            <a:ext uri="{FF2B5EF4-FFF2-40B4-BE49-F238E27FC236}">
              <a16:creationId xmlns:a16="http://schemas.microsoft.com/office/drawing/2014/main" id="{00000000-0008-0000-0E00-00006E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391" name="ZoneTexte 1390">
          <a:extLst>
            <a:ext uri="{FF2B5EF4-FFF2-40B4-BE49-F238E27FC236}">
              <a16:creationId xmlns:a16="http://schemas.microsoft.com/office/drawing/2014/main" id="{00000000-0008-0000-0E00-00006F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392" name="ZoneTexte 1391">
          <a:extLst>
            <a:ext uri="{FF2B5EF4-FFF2-40B4-BE49-F238E27FC236}">
              <a16:creationId xmlns:a16="http://schemas.microsoft.com/office/drawing/2014/main" id="{00000000-0008-0000-0E00-000070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393" name="ZoneTexte 1392">
          <a:extLst>
            <a:ext uri="{FF2B5EF4-FFF2-40B4-BE49-F238E27FC236}">
              <a16:creationId xmlns:a16="http://schemas.microsoft.com/office/drawing/2014/main" id="{00000000-0008-0000-0E00-000071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394" name="ZoneTexte 1393">
          <a:extLst>
            <a:ext uri="{FF2B5EF4-FFF2-40B4-BE49-F238E27FC236}">
              <a16:creationId xmlns:a16="http://schemas.microsoft.com/office/drawing/2014/main" id="{00000000-0008-0000-0E00-000072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395" name="ZoneTexte 1394">
          <a:extLst>
            <a:ext uri="{FF2B5EF4-FFF2-40B4-BE49-F238E27FC236}">
              <a16:creationId xmlns:a16="http://schemas.microsoft.com/office/drawing/2014/main" id="{00000000-0008-0000-0E00-000073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396" name="ZoneTexte 1395">
          <a:extLst>
            <a:ext uri="{FF2B5EF4-FFF2-40B4-BE49-F238E27FC236}">
              <a16:creationId xmlns:a16="http://schemas.microsoft.com/office/drawing/2014/main" id="{00000000-0008-0000-0E00-000074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397" name="ZoneTexte 1396">
          <a:extLst>
            <a:ext uri="{FF2B5EF4-FFF2-40B4-BE49-F238E27FC236}">
              <a16:creationId xmlns:a16="http://schemas.microsoft.com/office/drawing/2014/main" id="{00000000-0008-0000-0E00-000075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398" name="ZoneTexte 1397">
          <a:extLst>
            <a:ext uri="{FF2B5EF4-FFF2-40B4-BE49-F238E27FC236}">
              <a16:creationId xmlns:a16="http://schemas.microsoft.com/office/drawing/2014/main" id="{00000000-0008-0000-0E00-000076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399" name="ZoneTexte 1398">
          <a:extLst>
            <a:ext uri="{FF2B5EF4-FFF2-40B4-BE49-F238E27FC236}">
              <a16:creationId xmlns:a16="http://schemas.microsoft.com/office/drawing/2014/main" id="{00000000-0008-0000-0E00-000077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400" name="ZoneTexte 1399">
          <a:extLst>
            <a:ext uri="{FF2B5EF4-FFF2-40B4-BE49-F238E27FC236}">
              <a16:creationId xmlns:a16="http://schemas.microsoft.com/office/drawing/2014/main" id="{00000000-0008-0000-0E00-000078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401" name="ZoneTexte 1400">
          <a:extLst>
            <a:ext uri="{FF2B5EF4-FFF2-40B4-BE49-F238E27FC236}">
              <a16:creationId xmlns:a16="http://schemas.microsoft.com/office/drawing/2014/main" id="{00000000-0008-0000-0E00-000079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402" name="ZoneTexte 1401">
          <a:extLst>
            <a:ext uri="{FF2B5EF4-FFF2-40B4-BE49-F238E27FC236}">
              <a16:creationId xmlns:a16="http://schemas.microsoft.com/office/drawing/2014/main" id="{00000000-0008-0000-0E00-00007A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403" name="ZoneTexte 1402">
          <a:extLst>
            <a:ext uri="{FF2B5EF4-FFF2-40B4-BE49-F238E27FC236}">
              <a16:creationId xmlns:a16="http://schemas.microsoft.com/office/drawing/2014/main" id="{00000000-0008-0000-0E00-00007B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404" name="ZoneTexte 1403">
          <a:extLst>
            <a:ext uri="{FF2B5EF4-FFF2-40B4-BE49-F238E27FC236}">
              <a16:creationId xmlns:a16="http://schemas.microsoft.com/office/drawing/2014/main" id="{00000000-0008-0000-0E00-00007C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84</xdr:row>
      <xdr:rowOff>0</xdr:rowOff>
    </xdr:from>
    <xdr:to>
      <xdr:col>2</xdr:col>
      <xdr:colOff>5142675</xdr:colOff>
      <xdr:row>84</xdr:row>
      <xdr:rowOff>0</xdr:rowOff>
    </xdr:to>
    <xdr:sp macro="" textlink="">
      <xdr:nvSpPr>
        <xdr:cNvPr id="1405" name="ZoneTexte 1404">
          <a:extLst>
            <a:ext uri="{FF2B5EF4-FFF2-40B4-BE49-F238E27FC236}">
              <a16:creationId xmlns:a16="http://schemas.microsoft.com/office/drawing/2014/main" id="{00000000-0008-0000-0E00-00007D050000}"/>
            </a:ext>
          </a:extLst>
        </xdr:cNvPr>
        <xdr:cNvSpPr txBox="1"/>
      </xdr:nvSpPr>
      <xdr:spPr>
        <a:xfrm>
          <a:off x="7278543" y="330327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06" name="ZoneTexte 1405">
          <a:extLst>
            <a:ext uri="{FF2B5EF4-FFF2-40B4-BE49-F238E27FC236}">
              <a16:creationId xmlns:a16="http://schemas.microsoft.com/office/drawing/2014/main" id="{00000000-0008-0000-0E00-00007E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07" name="ZoneTexte 1406">
          <a:extLst>
            <a:ext uri="{FF2B5EF4-FFF2-40B4-BE49-F238E27FC236}">
              <a16:creationId xmlns:a16="http://schemas.microsoft.com/office/drawing/2014/main" id="{00000000-0008-0000-0E00-00007F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08" name="ZoneTexte 1407">
          <a:extLst>
            <a:ext uri="{FF2B5EF4-FFF2-40B4-BE49-F238E27FC236}">
              <a16:creationId xmlns:a16="http://schemas.microsoft.com/office/drawing/2014/main" id="{00000000-0008-0000-0E00-000080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09" name="ZoneTexte 1408">
          <a:extLst>
            <a:ext uri="{FF2B5EF4-FFF2-40B4-BE49-F238E27FC236}">
              <a16:creationId xmlns:a16="http://schemas.microsoft.com/office/drawing/2014/main" id="{00000000-0008-0000-0E00-000081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10" name="ZoneTexte 1409">
          <a:extLst>
            <a:ext uri="{FF2B5EF4-FFF2-40B4-BE49-F238E27FC236}">
              <a16:creationId xmlns:a16="http://schemas.microsoft.com/office/drawing/2014/main" id="{00000000-0008-0000-0E00-000082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11" name="ZoneTexte 1410">
          <a:extLst>
            <a:ext uri="{FF2B5EF4-FFF2-40B4-BE49-F238E27FC236}">
              <a16:creationId xmlns:a16="http://schemas.microsoft.com/office/drawing/2014/main" id="{00000000-0008-0000-0E00-000083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12" name="ZoneTexte 1411">
          <a:extLst>
            <a:ext uri="{FF2B5EF4-FFF2-40B4-BE49-F238E27FC236}">
              <a16:creationId xmlns:a16="http://schemas.microsoft.com/office/drawing/2014/main" id="{00000000-0008-0000-0E00-000084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13" name="ZoneTexte 1412">
          <a:extLst>
            <a:ext uri="{FF2B5EF4-FFF2-40B4-BE49-F238E27FC236}">
              <a16:creationId xmlns:a16="http://schemas.microsoft.com/office/drawing/2014/main" id="{00000000-0008-0000-0E00-000085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14" name="ZoneTexte 1413">
          <a:extLst>
            <a:ext uri="{FF2B5EF4-FFF2-40B4-BE49-F238E27FC236}">
              <a16:creationId xmlns:a16="http://schemas.microsoft.com/office/drawing/2014/main" id="{00000000-0008-0000-0E00-000086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15" name="ZoneTexte 1414">
          <a:extLst>
            <a:ext uri="{FF2B5EF4-FFF2-40B4-BE49-F238E27FC236}">
              <a16:creationId xmlns:a16="http://schemas.microsoft.com/office/drawing/2014/main" id="{00000000-0008-0000-0E00-000087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16" name="ZoneTexte 1415">
          <a:extLst>
            <a:ext uri="{FF2B5EF4-FFF2-40B4-BE49-F238E27FC236}">
              <a16:creationId xmlns:a16="http://schemas.microsoft.com/office/drawing/2014/main" id="{00000000-0008-0000-0E00-000088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17" name="ZoneTexte 1416">
          <a:extLst>
            <a:ext uri="{FF2B5EF4-FFF2-40B4-BE49-F238E27FC236}">
              <a16:creationId xmlns:a16="http://schemas.microsoft.com/office/drawing/2014/main" id="{00000000-0008-0000-0E00-000089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18" name="ZoneTexte 1417">
          <a:extLst>
            <a:ext uri="{FF2B5EF4-FFF2-40B4-BE49-F238E27FC236}">
              <a16:creationId xmlns:a16="http://schemas.microsoft.com/office/drawing/2014/main" id="{00000000-0008-0000-0E00-00008A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19" name="ZoneTexte 1418">
          <a:extLst>
            <a:ext uri="{FF2B5EF4-FFF2-40B4-BE49-F238E27FC236}">
              <a16:creationId xmlns:a16="http://schemas.microsoft.com/office/drawing/2014/main" id="{00000000-0008-0000-0E00-00008B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20" name="ZoneTexte 1419">
          <a:extLst>
            <a:ext uri="{FF2B5EF4-FFF2-40B4-BE49-F238E27FC236}">
              <a16:creationId xmlns:a16="http://schemas.microsoft.com/office/drawing/2014/main" id="{00000000-0008-0000-0E00-00008C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68</xdr:row>
      <xdr:rowOff>3706090</xdr:rowOff>
    </xdr:from>
    <xdr:to>
      <xdr:col>2</xdr:col>
      <xdr:colOff>5142675</xdr:colOff>
      <xdr:row>68</xdr:row>
      <xdr:rowOff>4005447</xdr:rowOff>
    </xdr:to>
    <xdr:sp macro="" textlink="">
      <xdr:nvSpPr>
        <xdr:cNvPr id="1421" name="ZoneTexte 1420">
          <a:extLst>
            <a:ext uri="{FF2B5EF4-FFF2-40B4-BE49-F238E27FC236}">
              <a16:creationId xmlns:a16="http://schemas.microsoft.com/office/drawing/2014/main" id="{00000000-0008-0000-0E00-00008D050000}"/>
            </a:ext>
          </a:extLst>
        </xdr:cNvPr>
        <xdr:cNvSpPr txBox="1"/>
      </xdr:nvSpPr>
      <xdr:spPr>
        <a:xfrm>
          <a:off x="7278543" y="24670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22" name="ZoneTexte 1421">
          <a:extLst>
            <a:ext uri="{FF2B5EF4-FFF2-40B4-BE49-F238E27FC236}">
              <a16:creationId xmlns:a16="http://schemas.microsoft.com/office/drawing/2014/main" id="{00000000-0008-0000-0E00-00008E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23" name="ZoneTexte 1422">
          <a:extLst>
            <a:ext uri="{FF2B5EF4-FFF2-40B4-BE49-F238E27FC236}">
              <a16:creationId xmlns:a16="http://schemas.microsoft.com/office/drawing/2014/main" id="{00000000-0008-0000-0E00-00008F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24" name="ZoneTexte 1423">
          <a:extLst>
            <a:ext uri="{FF2B5EF4-FFF2-40B4-BE49-F238E27FC236}">
              <a16:creationId xmlns:a16="http://schemas.microsoft.com/office/drawing/2014/main" id="{00000000-0008-0000-0E00-000090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25" name="ZoneTexte 1424">
          <a:extLst>
            <a:ext uri="{FF2B5EF4-FFF2-40B4-BE49-F238E27FC236}">
              <a16:creationId xmlns:a16="http://schemas.microsoft.com/office/drawing/2014/main" id="{00000000-0008-0000-0E00-000091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26" name="ZoneTexte 1425">
          <a:extLst>
            <a:ext uri="{FF2B5EF4-FFF2-40B4-BE49-F238E27FC236}">
              <a16:creationId xmlns:a16="http://schemas.microsoft.com/office/drawing/2014/main" id="{00000000-0008-0000-0E00-000092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27" name="ZoneTexte 1426">
          <a:extLst>
            <a:ext uri="{FF2B5EF4-FFF2-40B4-BE49-F238E27FC236}">
              <a16:creationId xmlns:a16="http://schemas.microsoft.com/office/drawing/2014/main" id="{00000000-0008-0000-0E00-000093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28" name="ZoneTexte 1427">
          <a:extLst>
            <a:ext uri="{FF2B5EF4-FFF2-40B4-BE49-F238E27FC236}">
              <a16:creationId xmlns:a16="http://schemas.microsoft.com/office/drawing/2014/main" id="{00000000-0008-0000-0E00-000094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29" name="ZoneTexte 1428">
          <a:extLst>
            <a:ext uri="{FF2B5EF4-FFF2-40B4-BE49-F238E27FC236}">
              <a16:creationId xmlns:a16="http://schemas.microsoft.com/office/drawing/2014/main" id="{00000000-0008-0000-0E00-000095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30" name="ZoneTexte 1429">
          <a:extLst>
            <a:ext uri="{FF2B5EF4-FFF2-40B4-BE49-F238E27FC236}">
              <a16:creationId xmlns:a16="http://schemas.microsoft.com/office/drawing/2014/main" id="{00000000-0008-0000-0E00-000096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31" name="ZoneTexte 1430">
          <a:extLst>
            <a:ext uri="{FF2B5EF4-FFF2-40B4-BE49-F238E27FC236}">
              <a16:creationId xmlns:a16="http://schemas.microsoft.com/office/drawing/2014/main" id="{00000000-0008-0000-0E00-000097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32" name="ZoneTexte 1431">
          <a:extLst>
            <a:ext uri="{FF2B5EF4-FFF2-40B4-BE49-F238E27FC236}">
              <a16:creationId xmlns:a16="http://schemas.microsoft.com/office/drawing/2014/main" id="{00000000-0008-0000-0E00-000098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33" name="ZoneTexte 1432">
          <a:extLst>
            <a:ext uri="{FF2B5EF4-FFF2-40B4-BE49-F238E27FC236}">
              <a16:creationId xmlns:a16="http://schemas.microsoft.com/office/drawing/2014/main" id="{00000000-0008-0000-0E00-000099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34" name="ZoneTexte 1433">
          <a:extLst>
            <a:ext uri="{FF2B5EF4-FFF2-40B4-BE49-F238E27FC236}">
              <a16:creationId xmlns:a16="http://schemas.microsoft.com/office/drawing/2014/main" id="{00000000-0008-0000-0E00-00009A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35" name="ZoneTexte 1434">
          <a:extLst>
            <a:ext uri="{FF2B5EF4-FFF2-40B4-BE49-F238E27FC236}">
              <a16:creationId xmlns:a16="http://schemas.microsoft.com/office/drawing/2014/main" id="{00000000-0008-0000-0E00-00009B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36" name="ZoneTexte 1435">
          <a:extLst>
            <a:ext uri="{FF2B5EF4-FFF2-40B4-BE49-F238E27FC236}">
              <a16:creationId xmlns:a16="http://schemas.microsoft.com/office/drawing/2014/main" id="{00000000-0008-0000-0E00-00009C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437" name="ZoneTexte 1436">
          <a:extLst>
            <a:ext uri="{FF2B5EF4-FFF2-40B4-BE49-F238E27FC236}">
              <a16:creationId xmlns:a16="http://schemas.microsoft.com/office/drawing/2014/main" id="{00000000-0008-0000-0E00-00009D050000}"/>
            </a:ext>
          </a:extLst>
        </xdr:cNvPr>
        <xdr:cNvSpPr txBox="1"/>
      </xdr:nvSpPr>
      <xdr:spPr>
        <a:xfrm>
          <a:off x="7278543" y="25623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38" name="ZoneTexte 1437">
          <a:extLst>
            <a:ext uri="{FF2B5EF4-FFF2-40B4-BE49-F238E27FC236}">
              <a16:creationId xmlns:a16="http://schemas.microsoft.com/office/drawing/2014/main" id="{00000000-0008-0000-0E00-00009E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39" name="ZoneTexte 1438">
          <a:extLst>
            <a:ext uri="{FF2B5EF4-FFF2-40B4-BE49-F238E27FC236}">
              <a16:creationId xmlns:a16="http://schemas.microsoft.com/office/drawing/2014/main" id="{00000000-0008-0000-0E00-00009F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40" name="ZoneTexte 1439">
          <a:extLst>
            <a:ext uri="{FF2B5EF4-FFF2-40B4-BE49-F238E27FC236}">
              <a16:creationId xmlns:a16="http://schemas.microsoft.com/office/drawing/2014/main" id="{00000000-0008-0000-0E00-0000A0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41" name="ZoneTexte 1440">
          <a:extLst>
            <a:ext uri="{FF2B5EF4-FFF2-40B4-BE49-F238E27FC236}">
              <a16:creationId xmlns:a16="http://schemas.microsoft.com/office/drawing/2014/main" id="{00000000-0008-0000-0E00-0000A1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42" name="ZoneTexte 1441">
          <a:extLst>
            <a:ext uri="{FF2B5EF4-FFF2-40B4-BE49-F238E27FC236}">
              <a16:creationId xmlns:a16="http://schemas.microsoft.com/office/drawing/2014/main" id="{00000000-0008-0000-0E00-0000A2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43" name="ZoneTexte 1442">
          <a:extLst>
            <a:ext uri="{FF2B5EF4-FFF2-40B4-BE49-F238E27FC236}">
              <a16:creationId xmlns:a16="http://schemas.microsoft.com/office/drawing/2014/main" id="{00000000-0008-0000-0E00-0000A3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44" name="ZoneTexte 1443">
          <a:extLst>
            <a:ext uri="{FF2B5EF4-FFF2-40B4-BE49-F238E27FC236}">
              <a16:creationId xmlns:a16="http://schemas.microsoft.com/office/drawing/2014/main" id="{00000000-0008-0000-0E00-0000A4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45" name="ZoneTexte 1444">
          <a:extLst>
            <a:ext uri="{FF2B5EF4-FFF2-40B4-BE49-F238E27FC236}">
              <a16:creationId xmlns:a16="http://schemas.microsoft.com/office/drawing/2014/main" id="{00000000-0008-0000-0E00-0000A5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46" name="ZoneTexte 1445">
          <a:extLst>
            <a:ext uri="{FF2B5EF4-FFF2-40B4-BE49-F238E27FC236}">
              <a16:creationId xmlns:a16="http://schemas.microsoft.com/office/drawing/2014/main" id="{00000000-0008-0000-0E00-0000A6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47" name="ZoneTexte 1446">
          <a:extLst>
            <a:ext uri="{FF2B5EF4-FFF2-40B4-BE49-F238E27FC236}">
              <a16:creationId xmlns:a16="http://schemas.microsoft.com/office/drawing/2014/main" id="{00000000-0008-0000-0E00-0000A7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48" name="ZoneTexte 1447">
          <a:extLst>
            <a:ext uri="{FF2B5EF4-FFF2-40B4-BE49-F238E27FC236}">
              <a16:creationId xmlns:a16="http://schemas.microsoft.com/office/drawing/2014/main" id="{00000000-0008-0000-0E00-0000A8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49" name="ZoneTexte 1448">
          <a:extLst>
            <a:ext uri="{FF2B5EF4-FFF2-40B4-BE49-F238E27FC236}">
              <a16:creationId xmlns:a16="http://schemas.microsoft.com/office/drawing/2014/main" id="{00000000-0008-0000-0E00-0000A9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50" name="ZoneTexte 1449">
          <a:extLst>
            <a:ext uri="{FF2B5EF4-FFF2-40B4-BE49-F238E27FC236}">
              <a16:creationId xmlns:a16="http://schemas.microsoft.com/office/drawing/2014/main" id="{00000000-0008-0000-0E00-0000AA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51" name="ZoneTexte 1450">
          <a:extLst>
            <a:ext uri="{FF2B5EF4-FFF2-40B4-BE49-F238E27FC236}">
              <a16:creationId xmlns:a16="http://schemas.microsoft.com/office/drawing/2014/main" id="{00000000-0008-0000-0E00-0000AB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52" name="ZoneTexte 1451">
          <a:extLst>
            <a:ext uri="{FF2B5EF4-FFF2-40B4-BE49-F238E27FC236}">
              <a16:creationId xmlns:a16="http://schemas.microsoft.com/office/drawing/2014/main" id="{00000000-0008-0000-0E00-0000AC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0</xdr:rowOff>
    </xdr:from>
    <xdr:to>
      <xdr:col>2</xdr:col>
      <xdr:colOff>5142675</xdr:colOff>
      <xdr:row>73</xdr:row>
      <xdr:rowOff>0</xdr:rowOff>
    </xdr:to>
    <xdr:sp macro="" textlink="">
      <xdr:nvSpPr>
        <xdr:cNvPr id="1453" name="ZoneTexte 1452">
          <a:extLst>
            <a:ext uri="{FF2B5EF4-FFF2-40B4-BE49-F238E27FC236}">
              <a16:creationId xmlns:a16="http://schemas.microsoft.com/office/drawing/2014/main" id="{00000000-0008-0000-0E00-0000AD050000}"/>
            </a:ext>
          </a:extLst>
        </xdr:cNvPr>
        <xdr:cNvSpPr txBox="1"/>
      </xdr:nvSpPr>
      <xdr:spPr>
        <a:xfrm>
          <a:off x="7278543" y="25822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54" name="ZoneTexte 1453">
          <a:extLst>
            <a:ext uri="{FF2B5EF4-FFF2-40B4-BE49-F238E27FC236}">
              <a16:creationId xmlns:a16="http://schemas.microsoft.com/office/drawing/2014/main" id="{00000000-0008-0000-0E00-0000AE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55" name="ZoneTexte 1454">
          <a:extLst>
            <a:ext uri="{FF2B5EF4-FFF2-40B4-BE49-F238E27FC236}">
              <a16:creationId xmlns:a16="http://schemas.microsoft.com/office/drawing/2014/main" id="{00000000-0008-0000-0E00-0000AF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56" name="ZoneTexte 1455">
          <a:extLst>
            <a:ext uri="{FF2B5EF4-FFF2-40B4-BE49-F238E27FC236}">
              <a16:creationId xmlns:a16="http://schemas.microsoft.com/office/drawing/2014/main" id="{00000000-0008-0000-0E00-0000B0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57" name="ZoneTexte 1456">
          <a:extLst>
            <a:ext uri="{FF2B5EF4-FFF2-40B4-BE49-F238E27FC236}">
              <a16:creationId xmlns:a16="http://schemas.microsoft.com/office/drawing/2014/main" id="{00000000-0008-0000-0E00-0000B1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58" name="ZoneTexte 1457">
          <a:extLst>
            <a:ext uri="{FF2B5EF4-FFF2-40B4-BE49-F238E27FC236}">
              <a16:creationId xmlns:a16="http://schemas.microsoft.com/office/drawing/2014/main" id="{00000000-0008-0000-0E00-0000B2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59" name="ZoneTexte 1458">
          <a:extLst>
            <a:ext uri="{FF2B5EF4-FFF2-40B4-BE49-F238E27FC236}">
              <a16:creationId xmlns:a16="http://schemas.microsoft.com/office/drawing/2014/main" id="{00000000-0008-0000-0E00-0000B3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60" name="ZoneTexte 1459">
          <a:extLst>
            <a:ext uri="{FF2B5EF4-FFF2-40B4-BE49-F238E27FC236}">
              <a16:creationId xmlns:a16="http://schemas.microsoft.com/office/drawing/2014/main" id="{00000000-0008-0000-0E00-0000B4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61" name="ZoneTexte 1460">
          <a:extLst>
            <a:ext uri="{FF2B5EF4-FFF2-40B4-BE49-F238E27FC236}">
              <a16:creationId xmlns:a16="http://schemas.microsoft.com/office/drawing/2014/main" id="{00000000-0008-0000-0E00-0000B5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62" name="ZoneTexte 1461">
          <a:extLst>
            <a:ext uri="{FF2B5EF4-FFF2-40B4-BE49-F238E27FC236}">
              <a16:creationId xmlns:a16="http://schemas.microsoft.com/office/drawing/2014/main" id="{00000000-0008-0000-0E00-0000B6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63" name="ZoneTexte 1462">
          <a:extLst>
            <a:ext uri="{FF2B5EF4-FFF2-40B4-BE49-F238E27FC236}">
              <a16:creationId xmlns:a16="http://schemas.microsoft.com/office/drawing/2014/main" id="{00000000-0008-0000-0E00-0000B7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64" name="ZoneTexte 1463">
          <a:extLst>
            <a:ext uri="{FF2B5EF4-FFF2-40B4-BE49-F238E27FC236}">
              <a16:creationId xmlns:a16="http://schemas.microsoft.com/office/drawing/2014/main" id="{00000000-0008-0000-0E00-0000B8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65" name="ZoneTexte 1464">
          <a:extLst>
            <a:ext uri="{FF2B5EF4-FFF2-40B4-BE49-F238E27FC236}">
              <a16:creationId xmlns:a16="http://schemas.microsoft.com/office/drawing/2014/main" id="{00000000-0008-0000-0E00-0000B9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66" name="ZoneTexte 1465">
          <a:extLst>
            <a:ext uri="{FF2B5EF4-FFF2-40B4-BE49-F238E27FC236}">
              <a16:creationId xmlns:a16="http://schemas.microsoft.com/office/drawing/2014/main" id="{00000000-0008-0000-0E00-0000BA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67" name="ZoneTexte 1466">
          <a:extLst>
            <a:ext uri="{FF2B5EF4-FFF2-40B4-BE49-F238E27FC236}">
              <a16:creationId xmlns:a16="http://schemas.microsoft.com/office/drawing/2014/main" id="{00000000-0008-0000-0E00-0000BB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68" name="ZoneTexte 1467">
          <a:extLst>
            <a:ext uri="{FF2B5EF4-FFF2-40B4-BE49-F238E27FC236}">
              <a16:creationId xmlns:a16="http://schemas.microsoft.com/office/drawing/2014/main" id="{00000000-0008-0000-0E00-0000BC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73</xdr:row>
      <xdr:rowOff>3706090</xdr:rowOff>
    </xdr:from>
    <xdr:to>
      <xdr:col>2</xdr:col>
      <xdr:colOff>5142675</xdr:colOff>
      <xdr:row>73</xdr:row>
      <xdr:rowOff>4005447</xdr:rowOff>
    </xdr:to>
    <xdr:sp macro="" textlink="">
      <xdr:nvSpPr>
        <xdr:cNvPr id="1469" name="ZoneTexte 1468">
          <a:extLst>
            <a:ext uri="{FF2B5EF4-FFF2-40B4-BE49-F238E27FC236}">
              <a16:creationId xmlns:a16="http://schemas.microsoft.com/office/drawing/2014/main" id="{00000000-0008-0000-0E00-0000BD050000}"/>
            </a:ext>
          </a:extLst>
        </xdr:cNvPr>
        <xdr:cNvSpPr txBox="1"/>
      </xdr:nvSpPr>
      <xdr:spPr>
        <a:xfrm>
          <a:off x="7278543" y="2601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70" name="ZoneTexte 1469">
          <a:extLst>
            <a:ext uri="{FF2B5EF4-FFF2-40B4-BE49-F238E27FC236}">
              <a16:creationId xmlns:a16="http://schemas.microsoft.com/office/drawing/2014/main" id="{00000000-0008-0000-0E00-0000BE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71" name="ZoneTexte 1470">
          <a:extLst>
            <a:ext uri="{FF2B5EF4-FFF2-40B4-BE49-F238E27FC236}">
              <a16:creationId xmlns:a16="http://schemas.microsoft.com/office/drawing/2014/main" id="{00000000-0008-0000-0E00-0000BF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72" name="ZoneTexte 1471">
          <a:extLst>
            <a:ext uri="{FF2B5EF4-FFF2-40B4-BE49-F238E27FC236}">
              <a16:creationId xmlns:a16="http://schemas.microsoft.com/office/drawing/2014/main" id="{00000000-0008-0000-0E00-0000C0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73" name="ZoneTexte 1472">
          <a:extLst>
            <a:ext uri="{FF2B5EF4-FFF2-40B4-BE49-F238E27FC236}">
              <a16:creationId xmlns:a16="http://schemas.microsoft.com/office/drawing/2014/main" id="{00000000-0008-0000-0E00-0000C1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74" name="ZoneTexte 1473">
          <a:extLst>
            <a:ext uri="{FF2B5EF4-FFF2-40B4-BE49-F238E27FC236}">
              <a16:creationId xmlns:a16="http://schemas.microsoft.com/office/drawing/2014/main" id="{00000000-0008-0000-0E00-0000C2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75" name="ZoneTexte 1474">
          <a:extLst>
            <a:ext uri="{FF2B5EF4-FFF2-40B4-BE49-F238E27FC236}">
              <a16:creationId xmlns:a16="http://schemas.microsoft.com/office/drawing/2014/main" id="{00000000-0008-0000-0E00-0000C3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76" name="ZoneTexte 1475">
          <a:extLst>
            <a:ext uri="{FF2B5EF4-FFF2-40B4-BE49-F238E27FC236}">
              <a16:creationId xmlns:a16="http://schemas.microsoft.com/office/drawing/2014/main" id="{00000000-0008-0000-0E00-0000C4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77" name="ZoneTexte 1476">
          <a:extLst>
            <a:ext uri="{FF2B5EF4-FFF2-40B4-BE49-F238E27FC236}">
              <a16:creationId xmlns:a16="http://schemas.microsoft.com/office/drawing/2014/main" id="{00000000-0008-0000-0E00-0000C5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78" name="ZoneTexte 1477">
          <a:extLst>
            <a:ext uri="{FF2B5EF4-FFF2-40B4-BE49-F238E27FC236}">
              <a16:creationId xmlns:a16="http://schemas.microsoft.com/office/drawing/2014/main" id="{00000000-0008-0000-0E00-0000C6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79" name="ZoneTexte 1478">
          <a:extLst>
            <a:ext uri="{FF2B5EF4-FFF2-40B4-BE49-F238E27FC236}">
              <a16:creationId xmlns:a16="http://schemas.microsoft.com/office/drawing/2014/main" id="{00000000-0008-0000-0E00-0000C7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80" name="ZoneTexte 1479">
          <a:extLst>
            <a:ext uri="{FF2B5EF4-FFF2-40B4-BE49-F238E27FC236}">
              <a16:creationId xmlns:a16="http://schemas.microsoft.com/office/drawing/2014/main" id="{00000000-0008-0000-0E00-0000C8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81" name="ZoneTexte 1480">
          <a:extLst>
            <a:ext uri="{FF2B5EF4-FFF2-40B4-BE49-F238E27FC236}">
              <a16:creationId xmlns:a16="http://schemas.microsoft.com/office/drawing/2014/main" id="{00000000-0008-0000-0E00-0000C9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82" name="ZoneTexte 1481">
          <a:extLst>
            <a:ext uri="{FF2B5EF4-FFF2-40B4-BE49-F238E27FC236}">
              <a16:creationId xmlns:a16="http://schemas.microsoft.com/office/drawing/2014/main" id="{00000000-0008-0000-0E00-0000CA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83" name="ZoneTexte 1482">
          <a:extLst>
            <a:ext uri="{FF2B5EF4-FFF2-40B4-BE49-F238E27FC236}">
              <a16:creationId xmlns:a16="http://schemas.microsoft.com/office/drawing/2014/main" id="{00000000-0008-0000-0E00-0000CB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84" name="ZoneTexte 1483">
          <a:extLst>
            <a:ext uri="{FF2B5EF4-FFF2-40B4-BE49-F238E27FC236}">
              <a16:creationId xmlns:a16="http://schemas.microsoft.com/office/drawing/2014/main" id="{00000000-0008-0000-0E00-0000CC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74</xdr:row>
      <xdr:rowOff>0</xdr:rowOff>
    </xdr:from>
    <xdr:to>
      <xdr:col>2</xdr:col>
      <xdr:colOff>5142675</xdr:colOff>
      <xdr:row>74</xdr:row>
      <xdr:rowOff>0</xdr:rowOff>
    </xdr:to>
    <xdr:sp macro="" textlink="">
      <xdr:nvSpPr>
        <xdr:cNvPr id="1485" name="ZoneTexte 1484">
          <a:extLst>
            <a:ext uri="{FF2B5EF4-FFF2-40B4-BE49-F238E27FC236}">
              <a16:creationId xmlns:a16="http://schemas.microsoft.com/office/drawing/2014/main" id="{00000000-0008-0000-0E00-0000CD050000}"/>
            </a:ext>
          </a:extLst>
        </xdr:cNvPr>
        <xdr:cNvSpPr txBox="1"/>
      </xdr:nvSpPr>
      <xdr:spPr>
        <a:xfrm>
          <a:off x="7278543" y="260127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86" name="ZoneTexte 1485">
          <a:extLst>
            <a:ext uri="{FF2B5EF4-FFF2-40B4-BE49-F238E27FC236}">
              <a16:creationId xmlns:a16="http://schemas.microsoft.com/office/drawing/2014/main" id="{00000000-0008-0000-0E00-0000CE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87" name="ZoneTexte 1486">
          <a:extLst>
            <a:ext uri="{FF2B5EF4-FFF2-40B4-BE49-F238E27FC236}">
              <a16:creationId xmlns:a16="http://schemas.microsoft.com/office/drawing/2014/main" id="{00000000-0008-0000-0E00-0000CF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88" name="ZoneTexte 1487">
          <a:extLst>
            <a:ext uri="{FF2B5EF4-FFF2-40B4-BE49-F238E27FC236}">
              <a16:creationId xmlns:a16="http://schemas.microsoft.com/office/drawing/2014/main" id="{00000000-0008-0000-0E00-0000D0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89" name="ZoneTexte 1488">
          <a:extLst>
            <a:ext uri="{FF2B5EF4-FFF2-40B4-BE49-F238E27FC236}">
              <a16:creationId xmlns:a16="http://schemas.microsoft.com/office/drawing/2014/main" id="{00000000-0008-0000-0E00-0000D1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90" name="ZoneTexte 1489">
          <a:extLst>
            <a:ext uri="{FF2B5EF4-FFF2-40B4-BE49-F238E27FC236}">
              <a16:creationId xmlns:a16="http://schemas.microsoft.com/office/drawing/2014/main" id="{00000000-0008-0000-0E00-0000D2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91" name="ZoneTexte 1490">
          <a:extLst>
            <a:ext uri="{FF2B5EF4-FFF2-40B4-BE49-F238E27FC236}">
              <a16:creationId xmlns:a16="http://schemas.microsoft.com/office/drawing/2014/main" id="{00000000-0008-0000-0E00-0000D3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92" name="ZoneTexte 1491">
          <a:extLst>
            <a:ext uri="{FF2B5EF4-FFF2-40B4-BE49-F238E27FC236}">
              <a16:creationId xmlns:a16="http://schemas.microsoft.com/office/drawing/2014/main" id="{00000000-0008-0000-0E00-0000D4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93" name="ZoneTexte 1492">
          <a:extLst>
            <a:ext uri="{FF2B5EF4-FFF2-40B4-BE49-F238E27FC236}">
              <a16:creationId xmlns:a16="http://schemas.microsoft.com/office/drawing/2014/main" id="{00000000-0008-0000-0E00-0000D5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94" name="ZoneTexte 1493">
          <a:extLst>
            <a:ext uri="{FF2B5EF4-FFF2-40B4-BE49-F238E27FC236}">
              <a16:creationId xmlns:a16="http://schemas.microsoft.com/office/drawing/2014/main" id="{00000000-0008-0000-0E00-0000D6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95" name="ZoneTexte 1494">
          <a:extLst>
            <a:ext uri="{FF2B5EF4-FFF2-40B4-BE49-F238E27FC236}">
              <a16:creationId xmlns:a16="http://schemas.microsoft.com/office/drawing/2014/main" id="{00000000-0008-0000-0E00-0000D7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96" name="ZoneTexte 1495">
          <a:extLst>
            <a:ext uri="{FF2B5EF4-FFF2-40B4-BE49-F238E27FC236}">
              <a16:creationId xmlns:a16="http://schemas.microsoft.com/office/drawing/2014/main" id="{00000000-0008-0000-0E00-0000D8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97" name="ZoneTexte 1496">
          <a:extLst>
            <a:ext uri="{FF2B5EF4-FFF2-40B4-BE49-F238E27FC236}">
              <a16:creationId xmlns:a16="http://schemas.microsoft.com/office/drawing/2014/main" id="{00000000-0008-0000-0E00-0000D9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98" name="ZoneTexte 1497">
          <a:extLst>
            <a:ext uri="{FF2B5EF4-FFF2-40B4-BE49-F238E27FC236}">
              <a16:creationId xmlns:a16="http://schemas.microsoft.com/office/drawing/2014/main" id="{00000000-0008-0000-0E00-0000DA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499" name="ZoneTexte 1498">
          <a:extLst>
            <a:ext uri="{FF2B5EF4-FFF2-40B4-BE49-F238E27FC236}">
              <a16:creationId xmlns:a16="http://schemas.microsoft.com/office/drawing/2014/main" id="{00000000-0008-0000-0E00-0000DB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500" name="ZoneTexte 1499">
          <a:extLst>
            <a:ext uri="{FF2B5EF4-FFF2-40B4-BE49-F238E27FC236}">
              <a16:creationId xmlns:a16="http://schemas.microsoft.com/office/drawing/2014/main" id="{00000000-0008-0000-0E00-0000DC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72</xdr:row>
      <xdr:rowOff>3706090</xdr:rowOff>
    </xdr:from>
    <xdr:to>
      <xdr:col>2</xdr:col>
      <xdr:colOff>5142675</xdr:colOff>
      <xdr:row>72</xdr:row>
      <xdr:rowOff>4005447</xdr:rowOff>
    </xdr:to>
    <xdr:sp macro="" textlink="">
      <xdr:nvSpPr>
        <xdr:cNvPr id="1501" name="ZoneTexte 1500">
          <a:extLst>
            <a:ext uri="{FF2B5EF4-FFF2-40B4-BE49-F238E27FC236}">
              <a16:creationId xmlns:a16="http://schemas.microsoft.com/office/drawing/2014/main" id="{00000000-0008-0000-0E00-0000DD050000}"/>
            </a:ext>
          </a:extLst>
        </xdr:cNvPr>
        <xdr:cNvSpPr txBox="1"/>
      </xdr:nvSpPr>
      <xdr:spPr>
        <a:xfrm>
          <a:off x="7278543" y="25823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34" name="ZoneTexte 1533">
          <a:extLst>
            <a:ext uri="{FF2B5EF4-FFF2-40B4-BE49-F238E27FC236}">
              <a16:creationId xmlns:a16="http://schemas.microsoft.com/office/drawing/2014/main" id="{00000000-0008-0000-0E00-0000FE05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35" name="ZoneTexte 1534">
          <a:extLst>
            <a:ext uri="{FF2B5EF4-FFF2-40B4-BE49-F238E27FC236}">
              <a16:creationId xmlns:a16="http://schemas.microsoft.com/office/drawing/2014/main" id="{00000000-0008-0000-0E00-0000FF05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36" name="ZoneTexte 1535">
          <a:extLst>
            <a:ext uri="{FF2B5EF4-FFF2-40B4-BE49-F238E27FC236}">
              <a16:creationId xmlns:a16="http://schemas.microsoft.com/office/drawing/2014/main" id="{00000000-0008-0000-0E00-000000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37" name="ZoneTexte 1536">
          <a:extLst>
            <a:ext uri="{FF2B5EF4-FFF2-40B4-BE49-F238E27FC236}">
              <a16:creationId xmlns:a16="http://schemas.microsoft.com/office/drawing/2014/main" id="{00000000-0008-0000-0E00-000001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38" name="ZoneTexte 1537">
          <a:extLst>
            <a:ext uri="{FF2B5EF4-FFF2-40B4-BE49-F238E27FC236}">
              <a16:creationId xmlns:a16="http://schemas.microsoft.com/office/drawing/2014/main" id="{00000000-0008-0000-0E00-000002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39" name="ZoneTexte 1538">
          <a:extLst>
            <a:ext uri="{FF2B5EF4-FFF2-40B4-BE49-F238E27FC236}">
              <a16:creationId xmlns:a16="http://schemas.microsoft.com/office/drawing/2014/main" id="{00000000-0008-0000-0E00-000003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40" name="ZoneTexte 1539">
          <a:extLst>
            <a:ext uri="{FF2B5EF4-FFF2-40B4-BE49-F238E27FC236}">
              <a16:creationId xmlns:a16="http://schemas.microsoft.com/office/drawing/2014/main" id="{00000000-0008-0000-0E00-000004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41" name="ZoneTexte 1540">
          <a:extLst>
            <a:ext uri="{FF2B5EF4-FFF2-40B4-BE49-F238E27FC236}">
              <a16:creationId xmlns:a16="http://schemas.microsoft.com/office/drawing/2014/main" id="{00000000-0008-0000-0E00-000005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42" name="ZoneTexte 1541">
          <a:extLst>
            <a:ext uri="{FF2B5EF4-FFF2-40B4-BE49-F238E27FC236}">
              <a16:creationId xmlns:a16="http://schemas.microsoft.com/office/drawing/2014/main" id="{00000000-0008-0000-0E00-000006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43" name="ZoneTexte 1542">
          <a:extLst>
            <a:ext uri="{FF2B5EF4-FFF2-40B4-BE49-F238E27FC236}">
              <a16:creationId xmlns:a16="http://schemas.microsoft.com/office/drawing/2014/main" id="{00000000-0008-0000-0E00-000007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44" name="ZoneTexte 1543">
          <a:extLst>
            <a:ext uri="{FF2B5EF4-FFF2-40B4-BE49-F238E27FC236}">
              <a16:creationId xmlns:a16="http://schemas.microsoft.com/office/drawing/2014/main" id="{00000000-0008-0000-0E00-000008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45" name="ZoneTexte 1544">
          <a:extLst>
            <a:ext uri="{FF2B5EF4-FFF2-40B4-BE49-F238E27FC236}">
              <a16:creationId xmlns:a16="http://schemas.microsoft.com/office/drawing/2014/main" id="{00000000-0008-0000-0E00-000009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46" name="ZoneTexte 1545">
          <a:extLst>
            <a:ext uri="{FF2B5EF4-FFF2-40B4-BE49-F238E27FC236}">
              <a16:creationId xmlns:a16="http://schemas.microsoft.com/office/drawing/2014/main" id="{00000000-0008-0000-0E00-00000A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47" name="ZoneTexte 1546">
          <a:extLst>
            <a:ext uri="{FF2B5EF4-FFF2-40B4-BE49-F238E27FC236}">
              <a16:creationId xmlns:a16="http://schemas.microsoft.com/office/drawing/2014/main" id="{00000000-0008-0000-0E00-00000B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48" name="ZoneTexte 1547">
          <a:extLst>
            <a:ext uri="{FF2B5EF4-FFF2-40B4-BE49-F238E27FC236}">
              <a16:creationId xmlns:a16="http://schemas.microsoft.com/office/drawing/2014/main" id="{00000000-0008-0000-0E00-00000C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0</xdr:rowOff>
    </xdr:from>
    <xdr:to>
      <xdr:col>2</xdr:col>
      <xdr:colOff>5142675</xdr:colOff>
      <xdr:row>77</xdr:row>
      <xdr:rowOff>0</xdr:rowOff>
    </xdr:to>
    <xdr:sp macro="" textlink="">
      <xdr:nvSpPr>
        <xdr:cNvPr id="1549" name="ZoneTexte 1548">
          <a:extLst>
            <a:ext uri="{FF2B5EF4-FFF2-40B4-BE49-F238E27FC236}">
              <a16:creationId xmlns:a16="http://schemas.microsoft.com/office/drawing/2014/main" id="{00000000-0008-0000-0E00-00000D060000}"/>
            </a:ext>
          </a:extLst>
        </xdr:cNvPr>
        <xdr:cNvSpPr txBox="1"/>
      </xdr:nvSpPr>
      <xdr:spPr>
        <a:xfrm>
          <a:off x="7278543" y="269748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50" name="ZoneTexte 1549">
          <a:extLst>
            <a:ext uri="{FF2B5EF4-FFF2-40B4-BE49-F238E27FC236}">
              <a16:creationId xmlns:a16="http://schemas.microsoft.com/office/drawing/2014/main" id="{00000000-0008-0000-0E00-00000E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51" name="ZoneTexte 1550">
          <a:extLst>
            <a:ext uri="{FF2B5EF4-FFF2-40B4-BE49-F238E27FC236}">
              <a16:creationId xmlns:a16="http://schemas.microsoft.com/office/drawing/2014/main" id="{00000000-0008-0000-0E00-00000F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52" name="ZoneTexte 1551">
          <a:extLst>
            <a:ext uri="{FF2B5EF4-FFF2-40B4-BE49-F238E27FC236}">
              <a16:creationId xmlns:a16="http://schemas.microsoft.com/office/drawing/2014/main" id="{00000000-0008-0000-0E00-000010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53" name="ZoneTexte 1552">
          <a:extLst>
            <a:ext uri="{FF2B5EF4-FFF2-40B4-BE49-F238E27FC236}">
              <a16:creationId xmlns:a16="http://schemas.microsoft.com/office/drawing/2014/main" id="{00000000-0008-0000-0E00-000011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54" name="ZoneTexte 1553">
          <a:extLst>
            <a:ext uri="{FF2B5EF4-FFF2-40B4-BE49-F238E27FC236}">
              <a16:creationId xmlns:a16="http://schemas.microsoft.com/office/drawing/2014/main" id="{00000000-0008-0000-0E00-000012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55" name="ZoneTexte 1554">
          <a:extLst>
            <a:ext uri="{FF2B5EF4-FFF2-40B4-BE49-F238E27FC236}">
              <a16:creationId xmlns:a16="http://schemas.microsoft.com/office/drawing/2014/main" id="{00000000-0008-0000-0E00-000013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56" name="ZoneTexte 1555">
          <a:extLst>
            <a:ext uri="{FF2B5EF4-FFF2-40B4-BE49-F238E27FC236}">
              <a16:creationId xmlns:a16="http://schemas.microsoft.com/office/drawing/2014/main" id="{00000000-0008-0000-0E00-000014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57" name="ZoneTexte 1556">
          <a:extLst>
            <a:ext uri="{FF2B5EF4-FFF2-40B4-BE49-F238E27FC236}">
              <a16:creationId xmlns:a16="http://schemas.microsoft.com/office/drawing/2014/main" id="{00000000-0008-0000-0E00-000015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58" name="ZoneTexte 1557">
          <a:extLst>
            <a:ext uri="{FF2B5EF4-FFF2-40B4-BE49-F238E27FC236}">
              <a16:creationId xmlns:a16="http://schemas.microsoft.com/office/drawing/2014/main" id="{00000000-0008-0000-0E00-000016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59" name="ZoneTexte 1558">
          <a:extLst>
            <a:ext uri="{FF2B5EF4-FFF2-40B4-BE49-F238E27FC236}">
              <a16:creationId xmlns:a16="http://schemas.microsoft.com/office/drawing/2014/main" id="{00000000-0008-0000-0E00-000017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60" name="ZoneTexte 1559">
          <a:extLst>
            <a:ext uri="{FF2B5EF4-FFF2-40B4-BE49-F238E27FC236}">
              <a16:creationId xmlns:a16="http://schemas.microsoft.com/office/drawing/2014/main" id="{00000000-0008-0000-0E00-000018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61" name="ZoneTexte 1560">
          <a:extLst>
            <a:ext uri="{FF2B5EF4-FFF2-40B4-BE49-F238E27FC236}">
              <a16:creationId xmlns:a16="http://schemas.microsoft.com/office/drawing/2014/main" id="{00000000-0008-0000-0E00-000019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62" name="ZoneTexte 1561">
          <a:extLst>
            <a:ext uri="{FF2B5EF4-FFF2-40B4-BE49-F238E27FC236}">
              <a16:creationId xmlns:a16="http://schemas.microsoft.com/office/drawing/2014/main" id="{00000000-0008-0000-0E00-00001A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63" name="ZoneTexte 1562">
          <a:extLst>
            <a:ext uri="{FF2B5EF4-FFF2-40B4-BE49-F238E27FC236}">
              <a16:creationId xmlns:a16="http://schemas.microsoft.com/office/drawing/2014/main" id="{00000000-0008-0000-0E00-00001B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64" name="ZoneTexte 1563">
          <a:extLst>
            <a:ext uri="{FF2B5EF4-FFF2-40B4-BE49-F238E27FC236}">
              <a16:creationId xmlns:a16="http://schemas.microsoft.com/office/drawing/2014/main" id="{00000000-0008-0000-0E00-00001C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77</xdr:row>
      <xdr:rowOff>3706090</xdr:rowOff>
    </xdr:from>
    <xdr:to>
      <xdr:col>2</xdr:col>
      <xdr:colOff>5142675</xdr:colOff>
      <xdr:row>77</xdr:row>
      <xdr:rowOff>4005447</xdr:rowOff>
    </xdr:to>
    <xdr:sp macro="" textlink="">
      <xdr:nvSpPr>
        <xdr:cNvPr id="1565" name="ZoneTexte 1564">
          <a:extLst>
            <a:ext uri="{FF2B5EF4-FFF2-40B4-BE49-F238E27FC236}">
              <a16:creationId xmlns:a16="http://schemas.microsoft.com/office/drawing/2014/main" id="{00000000-0008-0000-0E00-00001D060000}"/>
            </a:ext>
          </a:extLst>
        </xdr:cNvPr>
        <xdr:cNvSpPr txBox="1"/>
      </xdr:nvSpPr>
      <xdr:spPr>
        <a:xfrm>
          <a:off x="7278543" y="271661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66" name="ZoneTexte 1565">
          <a:extLst>
            <a:ext uri="{FF2B5EF4-FFF2-40B4-BE49-F238E27FC236}">
              <a16:creationId xmlns:a16="http://schemas.microsoft.com/office/drawing/2014/main" id="{00000000-0008-0000-0E00-00001E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67" name="ZoneTexte 1566">
          <a:extLst>
            <a:ext uri="{FF2B5EF4-FFF2-40B4-BE49-F238E27FC236}">
              <a16:creationId xmlns:a16="http://schemas.microsoft.com/office/drawing/2014/main" id="{00000000-0008-0000-0E00-00001F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68" name="ZoneTexte 1567">
          <a:extLst>
            <a:ext uri="{FF2B5EF4-FFF2-40B4-BE49-F238E27FC236}">
              <a16:creationId xmlns:a16="http://schemas.microsoft.com/office/drawing/2014/main" id="{00000000-0008-0000-0E00-000020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69" name="ZoneTexte 1568">
          <a:extLst>
            <a:ext uri="{FF2B5EF4-FFF2-40B4-BE49-F238E27FC236}">
              <a16:creationId xmlns:a16="http://schemas.microsoft.com/office/drawing/2014/main" id="{00000000-0008-0000-0E00-000021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70" name="ZoneTexte 1569">
          <a:extLst>
            <a:ext uri="{FF2B5EF4-FFF2-40B4-BE49-F238E27FC236}">
              <a16:creationId xmlns:a16="http://schemas.microsoft.com/office/drawing/2014/main" id="{00000000-0008-0000-0E00-000022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71" name="ZoneTexte 1570">
          <a:extLst>
            <a:ext uri="{FF2B5EF4-FFF2-40B4-BE49-F238E27FC236}">
              <a16:creationId xmlns:a16="http://schemas.microsoft.com/office/drawing/2014/main" id="{00000000-0008-0000-0E00-000023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72" name="ZoneTexte 1571">
          <a:extLst>
            <a:ext uri="{FF2B5EF4-FFF2-40B4-BE49-F238E27FC236}">
              <a16:creationId xmlns:a16="http://schemas.microsoft.com/office/drawing/2014/main" id="{00000000-0008-0000-0E00-000024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73" name="ZoneTexte 1572">
          <a:extLst>
            <a:ext uri="{FF2B5EF4-FFF2-40B4-BE49-F238E27FC236}">
              <a16:creationId xmlns:a16="http://schemas.microsoft.com/office/drawing/2014/main" id="{00000000-0008-0000-0E00-000025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74" name="ZoneTexte 1573">
          <a:extLst>
            <a:ext uri="{FF2B5EF4-FFF2-40B4-BE49-F238E27FC236}">
              <a16:creationId xmlns:a16="http://schemas.microsoft.com/office/drawing/2014/main" id="{00000000-0008-0000-0E00-000026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75" name="ZoneTexte 1574">
          <a:extLst>
            <a:ext uri="{FF2B5EF4-FFF2-40B4-BE49-F238E27FC236}">
              <a16:creationId xmlns:a16="http://schemas.microsoft.com/office/drawing/2014/main" id="{00000000-0008-0000-0E00-000027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76" name="ZoneTexte 1575">
          <a:extLst>
            <a:ext uri="{FF2B5EF4-FFF2-40B4-BE49-F238E27FC236}">
              <a16:creationId xmlns:a16="http://schemas.microsoft.com/office/drawing/2014/main" id="{00000000-0008-0000-0E00-000028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77" name="ZoneTexte 1576">
          <a:extLst>
            <a:ext uri="{FF2B5EF4-FFF2-40B4-BE49-F238E27FC236}">
              <a16:creationId xmlns:a16="http://schemas.microsoft.com/office/drawing/2014/main" id="{00000000-0008-0000-0E00-000029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78" name="ZoneTexte 1577">
          <a:extLst>
            <a:ext uri="{FF2B5EF4-FFF2-40B4-BE49-F238E27FC236}">
              <a16:creationId xmlns:a16="http://schemas.microsoft.com/office/drawing/2014/main" id="{00000000-0008-0000-0E00-00002A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79" name="ZoneTexte 1578">
          <a:extLst>
            <a:ext uri="{FF2B5EF4-FFF2-40B4-BE49-F238E27FC236}">
              <a16:creationId xmlns:a16="http://schemas.microsoft.com/office/drawing/2014/main" id="{00000000-0008-0000-0E00-00002B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80" name="ZoneTexte 1579">
          <a:extLst>
            <a:ext uri="{FF2B5EF4-FFF2-40B4-BE49-F238E27FC236}">
              <a16:creationId xmlns:a16="http://schemas.microsoft.com/office/drawing/2014/main" id="{00000000-0008-0000-0E00-00002C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78</xdr:row>
      <xdr:rowOff>0</xdr:rowOff>
    </xdr:from>
    <xdr:to>
      <xdr:col>2</xdr:col>
      <xdr:colOff>5142675</xdr:colOff>
      <xdr:row>78</xdr:row>
      <xdr:rowOff>0</xdr:rowOff>
    </xdr:to>
    <xdr:sp macro="" textlink="">
      <xdr:nvSpPr>
        <xdr:cNvPr id="1581" name="ZoneTexte 1580">
          <a:extLst>
            <a:ext uri="{FF2B5EF4-FFF2-40B4-BE49-F238E27FC236}">
              <a16:creationId xmlns:a16="http://schemas.microsoft.com/office/drawing/2014/main" id="{00000000-0008-0000-0E00-00002D060000}"/>
            </a:ext>
          </a:extLst>
        </xdr:cNvPr>
        <xdr:cNvSpPr txBox="1"/>
      </xdr:nvSpPr>
      <xdr:spPr>
        <a:xfrm>
          <a:off x="7278543" y="2716530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82" name="ZoneTexte 1581">
          <a:extLst>
            <a:ext uri="{FF2B5EF4-FFF2-40B4-BE49-F238E27FC236}">
              <a16:creationId xmlns:a16="http://schemas.microsoft.com/office/drawing/2014/main" id="{00000000-0008-0000-0E00-00002E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83" name="ZoneTexte 1582">
          <a:extLst>
            <a:ext uri="{FF2B5EF4-FFF2-40B4-BE49-F238E27FC236}">
              <a16:creationId xmlns:a16="http://schemas.microsoft.com/office/drawing/2014/main" id="{00000000-0008-0000-0E00-00002F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84" name="ZoneTexte 1583">
          <a:extLst>
            <a:ext uri="{FF2B5EF4-FFF2-40B4-BE49-F238E27FC236}">
              <a16:creationId xmlns:a16="http://schemas.microsoft.com/office/drawing/2014/main" id="{00000000-0008-0000-0E00-000030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85" name="ZoneTexte 1584">
          <a:extLst>
            <a:ext uri="{FF2B5EF4-FFF2-40B4-BE49-F238E27FC236}">
              <a16:creationId xmlns:a16="http://schemas.microsoft.com/office/drawing/2014/main" id="{00000000-0008-0000-0E00-000031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86" name="ZoneTexte 1585">
          <a:extLst>
            <a:ext uri="{FF2B5EF4-FFF2-40B4-BE49-F238E27FC236}">
              <a16:creationId xmlns:a16="http://schemas.microsoft.com/office/drawing/2014/main" id="{00000000-0008-0000-0E00-000032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87" name="ZoneTexte 1586">
          <a:extLst>
            <a:ext uri="{FF2B5EF4-FFF2-40B4-BE49-F238E27FC236}">
              <a16:creationId xmlns:a16="http://schemas.microsoft.com/office/drawing/2014/main" id="{00000000-0008-0000-0E00-000033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88" name="ZoneTexte 1587">
          <a:extLst>
            <a:ext uri="{FF2B5EF4-FFF2-40B4-BE49-F238E27FC236}">
              <a16:creationId xmlns:a16="http://schemas.microsoft.com/office/drawing/2014/main" id="{00000000-0008-0000-0E00-000034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89" name="ZoneTexte 1588">
          <a:extLst>
            <a:ext uri="{FF2B5EF4-FFF2-40B4-BE49-F238E27FC236}">
              <a16:creationId xmlns:a16="http://schemas.microsoft.com/office/drawing/2014/main" id="{00000000-0008-0000-0E00-000035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90" name="ZoneTexte 1589">
          <a:extLst>
            <a:ext uri="{FF2B5EF4-FFF2-40B4-BE49-F238E27FC236}">
              <a16:creationId xmlns:a16="http://schemas.microsoft.com/office/drawing/2014/main" id="{00000000-0008-0000-0E00-000036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91" name="ZoneTexte 1590">
          <a:extLst>
            <a:ext uri="{FF2B5EF4-FFF2-40B4-BE49-F238E27FC236}">
              <a16:creationId xmlns:a16="http://schemas.microsoft.com/office/drawing/2014/main" id="{00000000-0008-0000-0E00-000037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92" name="ZoneTexte 1591">
          <a:extLst>
            <a:ext uri="{FF2B5EF4-FFF2-40B4-BE49-F238E27FC236}">
              <a16:creationId xmlns:a16="http://schemas.microsoft.com/office/drawing/2014/main" id="{00000000-0008-0000-0E00-000038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93" name="ZoneTexte 1592">
          <a:extLst>
            <a:ext uri="{FF2B5EF4-FFF2-40B4-BE49-F238E27FC236}">
              <a16:creationId xmlns:a16="http://schemas.microsoft.com/office/drawing/2014/main" id="{00000000-0008-0000-0E00-000039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94" name="ZoneTexte 1593">
          <a:extLst>
            <a:ext uri="{FF2B5EF4-FFF2-40B4-BE49-F238E27FC236}">
              <a16:creationId xmlns:a16="http://schemas.microsoft.com/office/drawing/2014/main" id="{00000000-0008-0000-0E00-00003A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95" name="ZoneTexte 1594">
          <a:extLst>
            <a:ext uri="{FF2B5EF4-FFF2-40B4-BE49-F238E27FC236}">
              <a16:creationId xmlns:a16="http://schemas.microsoft.com/office/drawing/2014/main" id="{00000000-0008-0000-0E00-00003B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96" name="ZoneTexte 1595">
          <a:extLst>
            <a:ext uri="{FF2B5EF4-FFF2-40B4-BE49-F238E27FC236}">
              <a16:creationId xmlns:a16="http://schemas.microsoft.com/office/drawing/2014/main" id="{00000000-0008-0000-0E00-00003C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3706090</xdr:rowOff>
    </xdr:from>
    <xdr:to>
      <xdr:col>2</xdr:col>
      <xdr:colOff>5142675</xdr:colOff>
      <xdr:row>76</xdr:row>
      <xdr:rowOff>4005447</xdr:rowOff>
    </xdr:to>
    <xdr:sp macro="" textlink="">
      <xdr:nvSpPr>
        <xdr:cNvPr id="1597" name="ZoneTexte 1596">
          <a:extLst>
            <a:ext uri="{FF2B5EF4-FFF2-40B4-BE49-F238E27FC236}">
              <a16:creationId xmlns:a16="http://schemas.microsoft.com/office/drawing/2014/main" id="{00000000-0008-0000-0E00-00003D060000}"/>
            </a:ext>
          </a:extLst>
        </xdr:cNvPr>
        <xdr:cNvSpPr txBox="1"/>
      </xdr:nvSpPr>
      <xdr:spPr>
        <a:xfrm>
          <a:off x="7278543" y="269756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74" name="ZoneTexte 1773">
          <a:extLst>
            <a:ext uri="{FF2B5EF4-FFF2-40B4-BE49-F238E27FC236}">
              <a16:creationId xmlns:a16="http://schemas.microsoft.com/office/drawing/2014/main" id="{00000000-0008-0000-0E00-0000EE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75" name="ZoneTexte 1774">
          <a:extLst>
            <a:ext uri="{FF2B5EF4-FFF2-40B4-BE49-F238E27FC236}">
              <a16:creationId xmlns:a16="http://schemas.microsoft.com/office/drawing/2014/main" id="{00000000-0008-0000-0E00-0000EF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76" name="ZoneTexte 1775">
          <a:extLst>
            <a:ext uri="{FF2B5EF4-FFF2-40B4-BE49-F238E27FC236}">
              <a16:creationId xmlns:a16="http://schemas.microsoft.com/office/drawing/2014/main" id="{00000000-0008-0000-0E00-0000F0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77" name="ZoneTexte 1776">
          <a:extLst>
            <a:ext uri="{FF2B5EF4-FFF2-40B4-BE49-F238E27FC236}">
              <a16:creationId xmlns:a16="http://schemas.microsoft.com/office/drawing/2014/main" id="{00000000-0008-0000-0E00-0000F1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78" name="ZoneTexte 1777">
          <a:extLst>
            <a:ext uri="{FF2B5EF4-FFF2-40B4-BE49-F238E27FC236}">
              <a16:creationId xmlns:a16="http://schemas.microsoft.com/office/drawing/2014/main" id="{00000000-0008-0000-0E00-0000F2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79" name="ZoneTexte 1778">
          <a:extLst>
            <a:ext uri="{FF2B5EF4-FFF2-40B4-BE49-F238E27FC236}">
              <a16:creationId xmlns:a16="http://schemas.microsoft.com/office/drawing/2014/main" id="{00000000-0008-0000-0E00-0000F3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80" name="ZoneTexte 1779">
          <a:extLst>
            <a:ext uri="{FF2B5EF4-FFF2-40B4-BE49-F238E27FC236}">
              <a16:creationId xmlns:a16="http://schemas.microsoft.com/office/drawing/2014/main" id="{00000000-0008-0000-0E00-0000F4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81" name="ZoneTexte 1780">
          <a:extLst>
            <a:ext uri="{FF2B5EF4-FFF2-40B4-BE49-F238E27FC236}">
              <a16:creationId xmlns:a16="http://schemas.microsoft.com/office/drawing/2014/main" id="{00000000-0008-0000-0E00-0000F5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82" name="ZoneTexte 1781">
          <a:extLst>
            <a:ext uri="{FF2B5EF4-FFF2-40B4-BE49-F238E27FC236}">
              <a16:creationId xmlns:a16="http://schemas.microsoft.com/office/drawing/2014/main" id="{00000000-0008-0000-0E00-0000F6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83" name="ZoneTexte 1782">
          <a:extLst>
            <a:ext uri="{FF2B5EF4-FFF2-40B4-BE49-F238E27FC236}">
              <a16:creationId xmlns:a16="http://schemas.microsoft.com/office/drawing/2014/main" id="{00000000-0008-0000-0E00-0000F7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84" name="ZoneTexte 1783">
          <a:extLst>
            <a:ext uri="{FF2B5EF4-FFF2-40B4-BE49-F238E27FC236}">
              <a16:creationId xmlns:a16="http://schemas.microsoft.com/office/drawing/2014/main" id="{00000000-0008-0000-0E00-0000F8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85" name="ZoneTexte 1784">
          <a:extLst>
            <a:ext uri="{FF2B5EF4-FFF2-40B4-BE49-F238E27FC236}">
              <a16:creationId xmlns:a16="http://schemas.microsoft.com/office/drawing/2014/main" id="{00000000-0008-0000-0E00-0000F9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86" name="ZoneTexte 1785">
          <a:extLst>
            <a:ext uri="{FF2B5EF4-FFF2-40B4-BE49-F238E27FC236}">
              <a16:creationId xmlns:a16="http://schemas.microsoft.com/office/drawing/2014/main" id="{00000000-0008-0000-0E00-0000FA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87" name="ZoneTexte 1786">
          <a:extLst>
            <a:ext uri="{FF2B5EF4-FFF2-40B4-BE49-F238E27FC236}">
              <a16:creationId xmlns:a16="http://schemas.microsoft.com/office/drawing/2014/main" id="{00000000-0008-0000-0E00-0000FB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88" name="ZoneTexte 1787">
          <a:extLst>
            <a:ext uri="{FF2B5EF4-FFF2-40B4-BE49-F238E27FC236}">
              <a16:creationId xmlns:a16="http://schemas.microsoft.com/office/drawing/2014/main" id="{00000000-0008-0000-0E00-0000FC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0</xdr:rowOff>
    </xdr:from>
    <xdr:to>
      <xdr:col>2</xdr:col>
      <xdr:colOff>5142675</xdr:colOff>
      <xdr:row>81</xdr:row>
      <xdr:rowOff>0</xdr:rowOff>
    </xdr:to>
    <xdr:sp macro="" textlink="">
      <xdr:nvSpPr>
        <xdr:cNvPr id="1789" name="ZoneTexte 1788">
          <a:extLst>
            <a:ext uri="{FF2B5EF4-FFF2-40B4-BE49-F238E27FC236}">
              <a16:creationId xmlns:a16="http://schemas.microsoft.com/office/drawing/2014/main" id="{00000000-0008-0000-0E00-0000FD060000}"/>
            </a:ext>
          </a:extLst>
        </xdr:cNvPr>
        <xdr:cNvSpPr txBox="1"/>
      </xdr:nvSpPr>
      <xdr:spPr>
        <a:xfrm>
          <a:off x="7278543" y="297751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790" name="ZoneTexte 1789">
          <a:extLst>
            <a:ext uri="{FF2B5EF4-FFF2-40B4-BE49-F238E27FC236}">
              <a16:creationId xmlns:a16="http://schemas.microsoft.com/office/drawing/2014/main" id="{00000000-0008-0000-0E00-0000FE06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791" name="ZoneTexte 1790">
          <a:extLst>
            <a:ext uri="{FF2B5EF4-FFF2-40B4-BE49-F238E27FC236}">
              <a16:creationId xmlns:a16="http://schemas.microsoft.com/office/drawing/2014/main" id="{00000000-0008-0000-0E00-0000FF06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792" name="ZoneTexte 1791">
          <a:extLst>
            <a:ext uri="{FF2B5EF4-FFF2-40B4-BE49-F238E27FC236}">
              <a16:creationId xmlns:a16="http://schemas.microsoft.com/office/drawing/2014/main" id="{00000000-0008-0000-0E00-000000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793" name="ZoneTexte 1792">
          <a:extLst>
            <a:ext uri="{FF2B5EF4-FFF2-40B4-BE49-F238E27FC236}">
              <a16:creationId xmlns:a16="http://schemas.microsoft.com/office/drawing/2014/main" id="{00000000-0008-0000-0E00-000001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794" name="ZoneTexte 1793">
          <a:extLst>
            <a:ext uri="{FF2B5EF4-FFF2-40B4-BE49-F238E27FC236}">
              <a16:creationId xmlns:a16="http://schemas.microsoft.com/office/drawing/2014/main" id="{00000000-0008-0000-0E00-000002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795" name="ZoneTexte 1794">
          <a:extLst>
            <a:ext uri="{FF2B5EF4-FFF2-40B4-BE49-F238E27FC236}">
              <a16:creationId xmlns:a16="http://schemas.microsoft.com/office/drawing/2014/main" id="{00000000-0008-0000-0E00-000003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796" name="ZoneTexte 1795">
          <a:extLst>
            <a:ext uri="{FF2B5EF4-FFF2-40B4-BE49-F238E27FC236}">
              <a16:creationId xmlns:a16="http://schemas.microsoft.com/office/drawing/2014/main" id="{00000000-0008-0000-0E00-000004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797" name="ZoneTexte 1796">
          <a:extLst>
            <a:ext uri="{FF2B5EF4-FFF2-40B4-BE49-F238E27FC236}">
              <a16:creationId xmlns:a16="http://schemas.microsoft.com/office/drawing/2014/main" id="{00000000-0008-0000-0E00-000005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798" name="ZoneTexte 1797">
          <a:extLst>
            <a:ext uri="{FF2B5EF4-FFF2-40B4-BE49-F238E27FC236}">
              <a16:creationId xmlns:a16="http://schemas.microsoft.com/office/drawing/2014/main" id="{00000000-0008-0000-0E00-000006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799" name="ZoneTexte 1798">
          <a:extLst>
            <a:ext uri="{FF2B5EF4-FFF2-40B4-BE49-F238E27FC236}">
              <a16:creationId xmlns:a16="http://schemas.microsoft.com/office/drawing/2014/main" id="{00000000-0008-0000-0E00-000007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800" name="ZoneTexte 1799">
          <a:extLst>
            <a:ext uri="{FF2B5EF4-FFF2-40B4-BE49-F238E27FC236}">
              <a16:creationId xmlns:a16="http://schemas.microsoft.com/office/drawing/2014/main" id="{00000000-0008-0000-0E00-000008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801" name="ZoneTexte 1800">
          <a:extLst>
            <a:ext uri="{FF2B5EF4-FFF2-40B4-BE49-F238E27FC236}">
              <a16:creationId xmlns:a16="http://schemas.microsoft.com/office/drawing/2014/main" id="{00000000-0008-0000-0E00-000009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802" name="ZoneTexte 1801">
          <a:extLst>
            <a:ext uri="{FF2B5EF4-FFF2-40B4-BE49-F238E27FC236}">
              <a16:creationId xmlns:a16="http://schemas.microsoft.com/office/drawing/2014/main" id="{00000000-0008-0000-0E00-00000A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803" name="ZoneTexte 1802">
          <a:extLst>
            <a:ext uri="{FF2B5EF4-FFF2-40B4-BE49-F238E27FC236}">
              <a16:creationId xmlns:a16="http://schemas.microsoft.com/office/drawing/2014/main" id="{00000000-0008-0000-0E00-00000B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804" name="ZoneTexte 1803">
          <a:extLst>
            <a:ext uri="{FF2B5EF4-FFF2-40B4-BE49-F238E27FC236}">
              <a16:creationId xmlns:a16="http://schemas.microsoft.com/office/drawing/2014/main" id="{00000000-0008-0000-0E00-00000C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81</xdr:row>
      <xdr:rowOff>3706090</xdr:rowOff>
    </xdr:from>
    <xdr:to>
      <xdr:col>2</xdr:col>
      <xdr:colOff>5142675</xdr:colOff>
      <xdr:row>81</xdr:row>
      <xdr:rowOff>4005447</xdr:rowOff>
    </xdr:to>
    <xdr:sp macro="" textlink="">
      <xdr:nvSpPr>
        <xdr:cNvPr id="1805" name="ZoneTexte 1804">
          <a:extLst>
            <a:ext uri="{FF2B5EF4-FFF2-40B4-BE49-F238E27FC236}">
              <a16:creationId xmlns:a16="http://schemas.microsoft.com/office/drawing/2014/main" id="{00000000-0008-0000-0E00-00000D070000}"/>
            </a:ext>
          </a:extLst>
        </xdr:cNvPr>
        <xdr:cNvSpPr txBox="1"/>
      </xdr:nvSpPr>
      <xdr:spPr>
        <a:xfrm>
          <a:off x="7278543" y="29966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06" name="ZoneTexte 1805">
          <a:extLst>
            <a:ext uri="{FF2B5EF4-FFF2-40B4-BE49-F238E27FC236}">
              <a16:creationId xmlns:a16="http://schemas.microsoft.com/office/drawing/2014/main" id="{00000000-0008-0000-0E00-00000E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07" name="ZoneTexte 1806">
          <a:extLst>
            <a:ext uri="{FF2B5EF4-FFF2-40B4-BE49-F238E27FC236}">
              <a16:creationId xmlns:a16="http://schemas.microsoft.com/office/drawing/2014/main" id="{00000000-0008-0000-0E00-00000F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08" name="ZoneTexte 1807">
          <a:extLst>
            <a:ext uri="{FF2B5EF4-FFF2-40B4-BE49-F238E27FC236}">
              <a16:creationId xmlns:a16="http://schemas.microsoft.com/office/drawing/2014/main" id="{00000000-0008-0000-0E00-000010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09" name="ZoneTexte 1808">
          <a:extLst>
            <a:ext uri="{FF2B5EF4-FFF2-40B4-BE49-F238E27FC236}">
              <a16:creationId xmlns:a16="http://schemas.microsoft.com/office/drawing/2014/main" id="{00000000-0008-0000-0E00-000011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10" name="ZoneTexte 1809">
          <a:extLst>
            <a:ext uri="{FF2B5EF4-FFF2-40B4-BE49-F238E27FC236}">
              <a16:creationId xmlns:a16="http://schemas.microsoft.com/office/drawing/2014/main" id="{00000000-0008-0000-0E00-000012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11" name="ZoneTexte 1810">
          <a:extLst>
            <a:ext uri="{FF2B5EF4-FFF2-40B4-BE49-F238E27FC236}">
              <a16:creationId xmlns:a16="http://schemas.microsoft.com/office/drawing/2014/main" id="{00000000-0008-0000-0E00-000013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12" name="ZoneTexte 1811">
          <a:extLst>
            <a:ext uri="{FF2B5EF4-FFF2-40B4-BE49-F238E27FC236}">
              <a16:creationId xmlns:a16="http://schemas.microsoft.com/office/drawing/2014/main" id="{00000000-0008-0000-0E00-000014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13" name="ZoneTexte 1812">
          <a:extLst>
            <a:ext uri="{FF2B5EF4-FFF2-40B4-BE49-F238E27FC236}">
              <a16:creationId xmlns:a16="http://schemas.microsoft.com/office/drawing/2014/main" id="{00000000-0008-0000-0E00-000015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14" name="ZoneTexte 1813">
          <a:extLst>
            <a:ext uri="{FF2B5EF4-FFF2-40B4-BE49-F238E27FC236}">
              <a16:creationId xmlns:a16="http://schemas.microsoft.com/office/drawing/2014/main" id="{00000000-0008-0000-0E00-000016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15" name="ZoneTexte 1814">
          <a:extLst>
            <a:ext uri="{FF2B5EF4-FFF2-40B4-BE49-F238E27FC236}">
              <a16:creationId xmlns:a16="http://schemas.microsoft.com/office/drawing/2014/main" id="{00000000-0008-0000-0E00-000017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16" name="ZoneTexte 1815">
          <a:extLst>
            <a:ext uri="{FF2B5EF4-FFF2-40B4-BE49-F238E27FC236}">
              <a16:creationId xmlns:a16="http://schemas.microsoft.com/office/drawing/2014/main" id="{00000000-0008-0000-0E00-000018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17" name="ZoneTexte 1816">
          <a:extLst>
            <a:ext uri="{FF2B5EF4-FFF2-40B4-BE49-F238E27FC236}">
              <a16:creationId xmlns:a16="http://schemas.microsoft.com/office/drawing/2014/main" id="{00000000-0008-0000-0E00-000019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18" name="ZoneTexte 1817">
          <a:extLst>
            <a:ext uri="{FF2B5EF4-FFF2-40B4-BE49-F238E27FC236}">
              <a16:creationId xmlns:a16="http://schemas.microsoft.com/office/drawing/2014/main" id="{00000000-0008-0000-0E00-00001A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19" name="ZoneTexte 1818">
          <a:extLst>
            <a:ext uri="{FF2B5EF4-FFF2-40B4-BE49-F238E27FC236}">
              <a16:creationId xmlns:a16="http://schemas.microsoft.com/office/drawing/2014/main" id="{00000000-0008-0000-0E00-00001B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20" name="ZoneTexte 1819">
          <a:extLst>
            <a:ext uri="{FF2B5EF4-FFF2-40B4-BE49-F238E27FC236}">
              <a16:creationId xmlns:a16="http://schemas.microsoft.com/office/drawing/2014/main" id="{00000000-0008-0000-0E00-00001C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82</xdr:row>
      <xdr:rowOff>0</xdr:rowOff>
    </xdr:from>
    <xdr:to>
      <xdr:col>2</xdr:col>
      <xdr:colOff>5142675</xdr:colOff>
      <xdr:row>82</xdr:row>
      <xdr:rowOff>0</xdr:rowOff>
    </xdr:to>
    <xdr:sp macro="" textlink="">
      <xdr:nvSpPr>
        <xdr:cNvPr id="1821" name="ZoneTexte 1820">
          <a:extLst>
            <a:ext uri="{FF2B5EF4-FFF2-40B4-BE49-F238E27FC236}">
              <a16:creationId xmlns:a16="http://schemas.microsoft.com/office/drawing/2014/main" id="{00000000-0008-0000-0E00-00001D070000}"/>
            </a:ext>
          </a:extLst>
        </xdr:cNvPr>
        <xdr:cNvSpPr txBox="1"/>
      </xdr:nvSpPr>
      <xdr:spPr>
        <a:xfrm>
          <a:off x="7278543" y="299656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22" name="ZoneTexte 1821">
          <a:extLst>
            <a:ext uri="{FF2B5EF4-FFF2-40B4-BE49-F238E27FC236}">
              <a16:creationId xmlns:a16="http://schemas.microsoft.com/office/drawing/2014/main" id="{00000000-0008-0000-0E00-00001E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23" name="ZoneTexte 1822">
          <a:extLst>
            <a:ext uri="{FF2B5EF4-FFF2-40B4-BE49-F238E27FC236}">
              <a16:creationId xmlns:a16="http://schemas.microsoft.com/office/drawing/2014/main" id="{00000000-0008-0000-0E00-00001F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24" name="ZoneTexte 1823">
          <a:extLst>
            <a:ext uri="{FF2B5EF4-FFF2-40B4-BE49-F238E27FC236}">
              <a16:creationId xmlns:a16="http://schemas.microsoft.com/office/drawing/2014/main" id="{00000000-0008-0000-0E00-000020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25" name="ZoneTexte 1824">
          <a:extLst>
            <a:ext uri="{FF2B5EF4-FFF2-40B4-BE49-F238E27FC236}">
              <a16:creationId xmlns:a16="http://schemas.microsoft.com/office/drawing/2014/main" id="{00000000-0008-0000-0E00-000021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26" name="ZoneTexte 1825">
          <a:extLst>
            <a:ext uri="{FF2B5EF4-FFF2-40B4-BE49-F238E27FC236}">
              <a16:creationId xmlns:a16="http://schemas.microsoft.com/office/drawing/2014/main" id="{00000000-0008-0000-0E00-000022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27" name="ZoneTexte 1826">
          <a:extLst>
            <a:ext uri="{FF2B5EF4-FFF2-40B4-BE49-F238E27FC236}">
              <a16:creationId xmlns:a16="http://schemas.microsoft.com/office/drawing/2014/main" id="{00000000-0008-0000-0E00-000023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28" name="ZoneTexte 1827">
          <a:extLst>
            <a:ext uri="{FF2B5EF4-FFF2-40B4-BE49-F238E27FC236}">
              <a16:creationId xmlns:a16="http://schemas.microsoft.com/office/drawing/2014/main" id="{00000000-0008-0000-0E00-000024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29" name="ZoneTexte 1828">
          <a:extLst>
            <a:ext uri="{FF2B5EF4-FFF2-40B4-BE49-F238E27FC236}">
              <a16:creationId xmlns:a16="http://schemas.microsoft.com/office/drawing/2014/main" id="{00000000-0008-0000-0E00-000025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30" name="ZoneTexte 1829">
          <a:extLst>
            <a:ext uri="{FF2B5EF4-FFF2-40B4-BE49-F238E27FC236}">
              <a16:creationId xmlns:a16="http://schemas.microsoft.com/office/drawing/2014/main" id="{00000000-0008-0000-0E00-000026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31" name="ZoneTexte 1830">
          <a:extLst>
            <a:ext uri="{FF2B5EF4-FFF2-40B4-BE49-F238E27FC236}">
              <a16:creationId xmlns:a16="http://schemas.microsoft.com/office/drawing/2014/main" id="{00000000-0008-0000-0E00-000027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32" name="ZoneTexte 1831">
          <a:extLst>
            <a:ext uri="{FF2B5EF4-FFF2-40B4-BE49-F238E27FC236}">
              <a16:creationId xmlns:a16="http://schemas.microsoft.com/office/drawing/2014/main" id="{00000000-0008-0000-0E00-000028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33" name="ZoneTexte 1832">
          <a:extLst>
            <a:ext uri="{FF2B5EF4-FFF2-40B4-BE49-F238E27FC236}">
              <a16:creationId xmlns:a16="http://schemas.microsoft.com/office/drawing/2014/main" id="{00000000-0008-0000-0E00-000029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34" name="ZoneTexte 1833">
          <a:extLst>
            <a:ext uri="{FF2B5EF4-FFF2-40B4-BE49-F238E27FC236}">
              <a16:creationId xmlns:a16="http://schemas.microsoft.com/office/drawing/2014/main" id="{00000000-0008-0000-0E00-00002A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35" name="ZoneTexte 1834">
          <a:extLst>
            <a:ext uri="{FF2B5EF4-FFF2-40B4-BE49-F238E27FC236}">
              <a16:creationId xmlns:a16="http://schemas.microsoft.com/office/drawing/2014/main" id="{00000000-0008-0000-0E00-00002B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36" name="ZoneTexte 1835">
          <a:extLst>
            <a:ext uri="{FF2B5EF4-FFF2-40B4-BE49-F238E27FC236}">
              <a16:creationId xmlns:a16="http://schemas.microsoft.com/office/drawing/2014/main" id="{00000000-0008-0000-0E00-00002C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80</xdr:row>
      <xdr:rowOff>3706090</xdr:rowOff>
    </xdr:from>
    <xdr:to>
      <xdr:col>2</xdr:col>
      <xdr:colOff>5142675</xdr:colOff>
      <xdr:row>80</xdr:row>
      <xdr:rowOff>4005447</xdr:rowOff>
    </xdr:to>
    <xdr:sp macro="" textlink="">
      <xdr:nvSpPr>
        <xdr:cNvPr id="1837" name="ZoneTexte 1836">
          <a:extLst>
            <a:ext uri="{FF2B5EF4-FFF2-40B4-BE49-F238E27FC236}">
              <a16:creationId xmlns:a16="http://schemas.microsoft.com/office/drawing/2014/main" id="{00000000-0008-0000-0E00-00002D070000}"/>
            </a:ext>
          </a:extLst>
        </xdr:cNvPr>
        <xdr:cNvSpPr txBox="1"/>
      </xdr:nvSpPr>
      <xdr:spPr>
        <a:xfrm>
          <a:off x="7278543" y="297760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38" name="ZoneTexte 1837">
          <a:extLst>
            <a:ext uri="{FF2B5EF4-FFF2-40B4-BE49-F238E27FC236}">
              <a16:creationId xmlns:a16="http://schemas.microsoft.com/office/drawing/2014/main" id="{00000000-0008-0000-0E00-00002E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39" name="ZoneTexte 1838">
          <a:extLst>
            <a:ext uri="{FF2B5EF4-FFF2-40B4-BE49-F238E27FC236}">
              <a16:creationId xmlns:a16="http://schemas.microsoft.com/office/drawing/2014/main" id="{00000000-0008-0000-0E00-00002F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40" name="ZoneTexte 1839">
          <a:extLst>
            <a:ext uri="{FF2B5EF4-FFF2-40B4-BE49-F238E27FC236}">
              <a16:creationId xmlns:a16="http://schemas.microsoft.com/office/drawing/2014/main" id="{00000000-0008-0000-0E00-000030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41" name="ZoneTexte 1840">
          <a:extLst>
            <a:ext uri="{FF2B5EF4-FFF2-40B4-BE49-F238E27FC236}">
              <a16:creationId xmlns:a16="http://schemas.microsoft.com/office/drawing/2014/main" id="{00000000-0008-0000-0E00-000031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42" name="ZoneTexte 1841">
          <a:extLst>
            <a:ext uri="{FF2B5EF4-FFF2-40B4-BE49-F238E27FC236}">
              <a16:creationId xmlns:a16="http://schemas.microsoft.com/office/drawing/2014/main" id="{00000000-0008-0000-0E00-000032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43" name="ZoneTexte 1842">
          <a:extLst>
            <a:ext uri="{FF2B5EF4-FFF2-40B4-BE49-F238E27FC236}">
              <a16:creationId xmlns:a16="http://schemas.microsoft.com/office/drawing/2014/main" id="{00000000-0008-0000-0E00-000033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44" name="ZoneTexte 1843">
          <a:extLst>
            <a:ext uri="{FF2B5EF4-FFF2-40B4-BE49-F238E27FC236}">
              <a16:creationId xmlns:a16="http://schemas.microsoft.com/office/drawing/2014/main" id="{00000000-0008-0000-0E00-000034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45" name="ZoneTexte 1844">
          <a:extLst>
            <a:ext uri="{FF2B5EF4-FFF2-40B4-BE49-F238E27FC236}">
              <a16:creationId xmlns:a16="http://schemas.microsoft.com/office/drawing/2014/main" id="{00000000-0008-0000-0E00-000035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46" name="ZoneTexte 1845">
          <a:extLst>
            <a:ext uri="{FF2B5EF4-FFF2-40B4-BE49-F238E27FC236}">
              <a16:creationId xmlns:a16="http://schemas.microsoft.com/office/drawing/2014/main" id="{00000000-0008-0000-0E00-000036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47" name="ZoneTexte 1846">
          <a:extLst>
            <a:ext uri="{FF2B5EF4-FFF2-40B4-BE49-F238E27FC236}">
              <a16:creationId xmlns:a16="http://schemas.microsoft.com/office/drawing/2014/main" id="{00000000-0008-0000-0E00-000037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48" name="ZoneTexte 1847">
          <a:extLst>
            <a:ext uri="{FF2B5EF4-FFF2-40B4-BE49-F238E27FC236}">
              <a16:creationId xmlns:a16="http://schemas.microsoft.com/office/drawing/2014/main" id="{00000000-0008-0000-0E00-000038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49" name="ZoneTexte 1848">
          <a:extLst>
            <a:ext uri="{FF2B5EF4-FFF2-40B4-BE49-F238E27FC236}">
              <a16:creationId xmlns:a16="http://schemas.microsoft.com/office/drawing/2014/main" id="{00000000-0008-0000-0E00-000039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50" name="ZoneTexte 1849">
          <a:extLst>
            <a:ext uri="{FF2B5EF4-FFF2-40B4-BE49-F238E27FC236}">
              <a16:creationId xmlns:a16="http://schemas.microsoft.com/office/drawing/2014/main" id="{00000000-0008-0000-0E00-00003A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51" name="ZoneTexte 1850">
          <a:extLst>
            <a:ext uri="{FF2B5EF4-FFF2-40B4-BE49-F238E27FC236}">
              <a16:creationId xmlns:a16="http://schemas.microsoft.com/office/drawing/2014/main" id="{00000000-0008-0000-0E00-00003B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52" name="ZoneTexte 1851">
          <a:extLst>
            <a:ext uri="{FF2B5EF4-FFF2-40B4-BE49-F238E27FC236}">
              <a16:creationId xmlns:a16="http://schemas.microsoft.com/office/drawing/2014/main" id="{00000000-0008-0000-0E00-00003C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53" name="ZoneTexte 1852">
          <a:extLst>
            <a:ext uri="{FF2B5EF4-FFF2-40B4-BE49-F238E27FC236}">
              <a16:creationId xmlns:a16="http://schemas.microsoft.com/office/drawing/2014/main" id="{00000000-0008-0000-0E00-00003D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54" name="ZoneTexte 1853">
          <a:extLst>
            <a:ext uri="{FF2B5EF4-FFF2-40B4-BE49-F238E27FC236}">
              <a16:creationId xmlns:a16="http://schemas.microsoft.com/office/drawing/2014/main" id="{00000000-0008-0000-0E00-00003E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55" name="ZoneTexte 1854">
          <a:extLst>
            <a:ext uri="{FF2B5EF4-FFF2-40B4-BE49-F238E27FC236}">
              <a16:creationId xmlns:a16="http://schemas.microsoft.com/office/drawing/2014/main" id="{00000000-0008-0000-0E00-00003F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56" name="ZoneTexte 1855">
          <a:extLst>
            <a:ext uri="{FF2B5EF4-FFF2-40B4-BE49-F238E27FC236}">
              <a16:creationId xmlns:a16="http://schemas.microsoft.com/office/drawing/2014/main" id="{00000000-0008-0000-0E00-000040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57" name="ZoneTexte 1856">
          <a:extLst>
            <a:ext uri="{FF2B5EF4-FFF2-40B4-BE49-F238E27FC236}">
              <a16:creationId xmlns:a16="http://schemas.microsoft.com/office/drawing/2014/main" id="{00000000-0008-0000-0E00-000041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58" name="ZoneTexte 1857">
          <a:extLst>
            <a:ext uri="{FF2B5EF4-FFF2-40B4-BE49-F238E27FC236}">
              <a16:creationId xmlns:a16="http://schemas.microsoft.com/office/drawing/2014/main" id="{00000000-0008-0000-0E00-000042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59" name="ZoneTexte 1858">
          <a:extLst>
            <a:ext uri="{FF2B5EF4-FFF2-40B4-BE49-F238E27FC236}">
              <a16:creationId xmlns:a16="http://schemas.microsoft.com/office/drawing/2014/main" id="{00000000-0008-0000-0E00-000043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60" name="ZoneTexte 1859">
          <a:extLst>
            <a:ext uri="{FF2B5EF4-FFF2-40B4-BE49-F238E27FC236}">
              <a16:creationId xmlns:a16="http://schemas.microsoft.com/office/drawing/2014/main" id="{00000000-0008-0000-0E00-000044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61" name="ZoneTexte 1860">
          <a:extLst>
            <a:ext uri="{FF2B5EF4-FFF2-40B4-BE49-F238E27FC236}">
              <a16:creationId xmlns:a16="http://schemas.microsoft.com/office/drawing/2014/main" id="{00000000-0008-0000-0E00-000045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62" name="ZoneTexte 1861">
          <a:extLst>
            <a:ext uri="{FF2B5EF4-FFF2-40B4-BE49-F238E27FC236}">
              <a16:creationId xmlns:a16="http://schemas.microsoft.com/office/drawing/2014/main" id="{00000000-0008-0000-0E00-000046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63" name="ZoneTexte 1862">
          <a:extLst>
            <a:ext uri="{FF2B5EF4-FFF2-40B4-BE49-F238E27FC236}">
              <a16:creationId xmlns:a16="http://schemas.microsoft.com/office/drawing/2014/main" id="{00000000-0008-0000-0E00-000047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64" name="ZoneTexte 1863">
          <a:extLst>
            <a:ext uri="{FF2B5EF4-FFF2-40B4-BE49-F238E27FC236}">
              <a16:creationId xmlns:a16="http://schemas.microsoft.com/office/drawing/2014/main" id="{00000000-0008-0000-0E00-000048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65" name="ZoneTexte 1864">
          <a:extLst>
            <a:ext uri="{FF2B5EF4-FFF2-40B4-BE49-F238E27FC236}">
              <a16:creationId xmlns:a16="http://schemas.microsoft.com/office/drawing/2014/main" id="{00000000-0008-0000-0E00-000049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66" name="ZoneTexte 1865">
          <a:extLst>
            <a:ext uri="{FF2B5EF4-FFF2-40B4-BE49-F238E27FC236}">
              <a16:creationId xmlns:a16="http://schemas.microsoft.com/office/drawing/2014/main" id="{00000000-0008-0000-0E00-00004A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67" name="ZoneTexte 1866">
          <a:extLst>
            <a:ext uri="{FF2B5EF4-FFF2-40B4-BE49-F238E27FC236}">
              <a16:creationId xmlns:a16="http://schemas.microsoft.com/office/drawing/2014/main" id="{00000000-0008-0000-0E00-00004B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68" name="ZoneTexte 1867">
          <a:extLst>
            <a:ext uri="{FF2B5EF4-FFF2-40B4-BE49-F238E27FC236}">
              <a16:creationId xmlns:a16="http://schemas.microsoft.com/office/drawing/2014/main" id="{00000000-0008-0000-0E00-00004C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69" name="ZoneTexte 1868">
          <a:extLst>
            <a:ext uri="{FF2B5EF4-FFF2-40B4-BE49-F238E27FC236}">
              <a16:creationId xmlns:a16="http://schemas.microsoft.com/office/drawing/2014/main" id="{00000000-0008-0000-0E00-00004D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70" name="ZoneTexte 1869">
          <a:extLst>
            <a:ext uri="{FF2B5EF4-FFF2-40B4-BE49-F238E27FC236}">
              <a16:creationId xmlns:a16="http://schemas.microsoft.com/office/drawing/2014/main" id="{00000000-0008-0000-0E00-00004E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71" name="ZoneTexte 1870">
          <a:extLst>
            <a:ext uri="{FF2B5EF4-FFF2-40B4-BE49-F238E27FC236}">
              <a16:creationId xmlns:a16="http://schemas.microsoft.com/office/drawing/2014/main" id="{00000000-0008-0000-0E00-00004F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72" name="ZoneTexte 1871">
          <a:extLst>
            <a:ext uri="{FF2B5EF4-FFF2-40B4-BE49-F238E27FC236}">
              <a16:creationId xmlns:a16="http://schemas.microsoft.com/office/drawing/2014/main" id="{00000000-0008-0000-0E00-000050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73" name="ZoneTexte 1872">
          <a:extLst>
            <a:ext uri="{FF2B5EF4-FFF2-40B4-BE49-F238E27FC236}">
              <a16:creationId xmlns:a16="http://schemas.microsoft.com/office/drawing/2014/main" id="{00000000-0008-0000-0E00-000051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74" name="ZoneTexte 1873">
          <a:extLst>
            <a:ext uri="{FF2B5EF4-FFF2-40B4-BE49-F238E27FC236}">
              <a16:creationId xmlns:a16="http://schemas.microsoft.com/office/drawing/2014/main" id="{00000000-0008-0000-0E00-000052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75" name="ZoneTexte 1874">
          <a:extLst>
            <a:ext uri="{FF2B5EF4-FFF2-40B4-BE49-F238E27FC236}">
              <a16:creationId xmlns:a16="http://schemas.microsoft.com/office/drawing/2014/main" id="{00000000-0008-0000-0E00-000053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76" name="ZoneTexte 1875">
          <a:extLst>
            <a:ext uri="{FF2B5EF4-FFF2-40B4-BE49-F238E27FC236}">
              <a16:creationId xmlns:a16="http://schemas.microsoft.com/office/drawing/2014/main" id="{00000000-0008-0000-0E00-000054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77" name="ZoneTexte 1876">
          <a:extLst>
            <a:ext uri="{FF2B5EF4-FFF2-40B4-BE49-F238E27FC236}">
              <a16:creationId xmlns:a16="http://schemas.microsoft.com/office/drawing/2014/main" id="{00000000-0008-0000-0E00-000055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78" name="ZoneTexte 1877">
          <a:extLst>
            <a:ext uri="{FF2B5EF4-FFF2-40B4-BE49-F238E27FC236}">
              <a16:creationId xmlns:a16="http://schemas.microsoft.com/office/drawing/2014/main" id="{00000000-0008-0000-0E00-000056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79" name="ZoneTexte 1878">
          <a:extLst>
            <a:ext uri="{FF2B5EF4-FFF2-40B4-BE49-F238E27FC236}">
              <a16:creationId xmlns:a16="http://schemas.microsoft.com/office/drawing/2014/main" id="{00000000-0008-0000-0E00-000057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80" name="ZoneTexte 1879">
          <a:extLst>
            <a:ext uri="{FF2B5EF4-FFF2-40B4-BE49-F238E27FC236}">
              <a16:creationId xmlns:a16="http://schemas.microsoft.com/office/drawing/2014/main" id="{00000000-0008-0000-0E00-000058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81" name="ZoneTexte 1880">
          <a:extLst>
            <a:ext uri="{FF2B5EF4-FFF2-40B4-BE49-F238E27FC236}">
              <a16:creationId xmlns:a16="http://schemas.microsoft.com/office/drawing/2014/main" id="{00000000-0008-0000-0E00-000059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82" name="ZoneTexte 1881">
          <a:extLst>
            <a:ext uri="{FF2B5EF4-FFF2-40B4-BE49-F238E27FC236}">
              <a16:creationId xmlns:a16="http://schemas.microsoft.com/office/drawing/2014/main" id="{00000000-0008-0000-0E00-00005A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83" name="ZoneTexte 1882">
          <a:extLst>
            <a:ext uri="{FF2B5EF4-FFF2-40B4-BE49-F238E27FC236}">
              <a16:creationId xmlns:a16="http://schemas.microsoft.com/office/drawing/2014/main" id="{00000000-0008-0000-0E00-00005B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84" name="ZoneTexte 1883">
          <a:extLst>
            <a:ext uri="{FF2B5EF4-FFF2-40B4-BE49-F238E27FC236}">
              <a16:creationId xmlns:a16="http://schemas.microsoft.com/office/drawing/2014/main" id="{00000000-0008-0000-0E00-00005C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85" name="ZoneTexte 1884">
          <a:extLst>
            <a:ext uri="{FF2B5EF4-FFF2-40B4-BE49-F238E27FC236}">
              <a16:creationId xmlns:a16="http://schemas.microsoft.com/office/drawing/2014/main" id="{00000000-0008-0000-0E00-00005D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86" name="ZoneTexte 1885">
          <a:extLst>
            <a:ext uri="{FF2B5EF4-FFF2-40B4-BE49-F238E27FC236}">
              <a16:creationId xmlns:a16="http://schemas.microsoft.com/office/drawing/2014/main" id="{00000000-0008-0000-0E00-00005E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87" name="ZoneTexte 1886">
          <a:extLst>
            <a:ext uri="{FF2B5EF4-FFF2-40B4-BE49-F238E27FC236}">
              <a16:creationId xmlns:a16="http://schemas.microsoft.com/office/drawing/2014/main" id="{00000000-0008-0000-0E00-00005F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88" name="ZoneTexte 1887">
          <a:extLst>
            <a:ext uri="{FF2B5EF4-FFF2-40B4-BE49-F238E27FC236}">
              <a16:creationId xmlns:a16="http://schemas.microsoft.com/office/drawing/2014/main" id="{00000000-0008-0000-0E00-000060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89" name="ZoneTexte 1888">
          <a:extLst>
            <a:ext uri="{FF2B5EF4-FFF2-40B4-BE49-F238E27FC236}">
              <a16:creationId xmlns:a16="http://schemas.microsoft.com/office/drawing/2014/main" id="{00000000-0008-0000-0E00-000061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90" name="ZoneTexte 1889">
          <a:extLst>
            <a:ext uri="{FF2B5EF4-FFF2-40B4-BE49-F238E27FC236}">
              <a16:creationId xmlns:a16="http://schemas.microsoft.com/office/drawing/2014/main" id="{00000000-0008-0000-0E00-000062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91" name="ZoneTexte 1890">
          <a:extLst>
            <a:ext uri="{FF2B5EF4-FFF2-40B4-BE49-F238E27FC236}">
              <a16:creationId xmlns:a16="http://schemas.microsoft.com/office/drawing/2014/main" id="{00000000-0008-0000-0E00-000063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92" name="ZoneTexte 1891">
          <a:extLst>
            <a:ext uri="{FF2B5EF4-FFF2-40B4-BE49-F238E27FC236}">
              <a16:creationId xmlns:a16="http://schemas.microsoft.com/office/drawing/2014/main" id="{00000000-0008-0000-0E00-000064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93" name="ZoneTexte 1892">
          <a:extLst>
            <a:ext uri="{FF2B5EF4-FFF2-40B4-BE49-F238E27FC236}">
              <a16:creationId xmlns:a16="http://schemas.microsoft.com/office/drawing/2014/main" id="{00000000-0008-0000-0E00-000065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94" name="ZoneTexte 1893">
          <a:extLst>
            <a:ext uri="{FF2B5EF4-FFF2-40B4-BE49-F238E27FC236}">
              <a16:creationId xmlns:a16="http://schemas.microsoft.com/office/drawing/2014/main" id="{00000000-0008-0000-0E00-000066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95" name="ZoneTexte 1894">
          <a:extLst>
            <a:ext uri="{FF2B5EF4-FFF2-40B4-BE49-F238E27FC236}">
              <a16:creationId xmlns:a16="http://schemas.microsoft.com/office/drawing/2014/main" id="{00000000-0008-0000-0E00-000067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96" name="ZoneTexte 1895">
          <a:extLst>
            <a:ext uri="{FF2B5EF4-FFF2-40B4-BE49-F238E27FC236}">
              <a16:creationId xmlns:a16="http://schemas.microsoft.com/office/drawing/2014/main" id="{00000000-0008-0000-0E00-000068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97" name="ZoneTexte 1896">
          <a:extLst>
            <a:ext uri="{FF2B5EF4-FFF2-40B4-BE49-F238E27FC236}">
              <a16:creationId xmlns:a16="http://schemas.microsoft.com/office/drawing/2014/main" id="{00000000-0008-0000-0E00-000069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98" name="ZoneTexte 1897">
          <a:extLst>
            <a:ext uri="{FF2B5EF4-FFF2-40B4-BE49-F238E27FC236}">
              <a16:creationId xmlns:a16="http://schemas.microsoft.com/office/drawing/2014/main" id="{00000000-0008-0000-0E00-00006A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899" name="ZoneTexte 1898">
          <a:extLst>
            <a:ext uri="{FF2B5EF4-FFF2-40B4-BE49-F238E27FC236}">
              <a16:creationId xmlns:a16="http://schemas.microsoft.com/office/drawing/2014/main" id="{00000000-0008-0000-0E00-00006B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00" name="ZoneTexte 1899">
          <a:extLst>
            <a:ext uri="{FF2B5EF4-FFF2-40B4-BE49-F238E27FC236}">
              <a16:creationId xmlns:a16="http://schemas.microsoft.com/office/drawing/2014/main" id="{00000000-0008-0000-0E00-00006C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01" name="ZoneTexte 1900">
          <a:extLst>
            <a:ext uri="{FF2B5EF4-FFF2-40B4-BE49-F238E27FC236}">
              <a16:creationId xmlns:a16="http://schemas.microsoft.com/office/drawing/2014/main" id="{00000000-0008-0000-0E00-00006D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02" name="ZoneTexte 1901">
          <a:extLst>
            <a:ext uri="{FF2B5EF4-FFF2-40B4-BE49-F238E27FC236}">
              <a16:creationId xmlns:a16="http://schemas.microsoft.com/office/drawing/2014/main" id="{00000000-0008-0000-0E00-00006E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03" name="ZoneTexte 1902">
          <a:extLst>
            <a:ext uri="{FF2B5EF4-FFF2-40B4-BE49-F238E27FC236}">
              <a16:creationId xmlns:a16="http://schemas.microsoft.com/office/drawing/2014/main" id="{00000000-0008-0000-0E00-00006F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04" name="ZoneTexte 1903">
          <a:extLst>
            <a:ext uri="{FF2B5EF4-FFF2-40B4-BE49-F238E27FC236}">
              <a16:creationId xmlns:a16="http://schemas.microsoft.com/office/drawing/2014/main" id="{00000000-0008-0000-0E00-000070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05" name="ZoneTexte 1904">
          <a:extLst>
            <a:ext uri="{FF2B5EF4-FFF2-40B4-BE49-F238E27FC236}">
              <a16:creationId xmlns:a16="http://schemas.microsoft.com/office/drawing/2014/main" id="{00000000-0008-0000-0E00-000071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06" name="ZoneTexte 1905">
          <a:extLst>
            <a:ext uri="{FF2B5EF4-FFF2-40B4-BE49-F238E27FC236}">
              <a16:creationId xmlns:a16="http://schemas.microsoft.com/office/drawing/2014/main" id="{00000000-0008-0000-0E00-000072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07" name="ZoneTexte 1906">
          <a:extLst>
            <a:ext uri="{FF2B5EF4-FFF2-40B4-BE49-F238E27FC236}">
              <a16:creationId xmlns:a16="http://schemas.microsoft.com/office/drawing/2014/main" id="{00000000-0008-0000-0E00-000073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08" name="ZoneTexte 1907">
          <a:extLst>
            <a:ext uri="{FF2B5EF4-FFF2-40B4-BE49-F238E27FC236}">
              <a16:creationId xmlns:a16="http://schemas.microsoft.com/office/drawing/2014/main" id="{00000000-0008-0000-0E00-000074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09" name="ZoneTexte 1908">
          <a:extLst>
            <a:ext uri="{FF2B5EF4-FFF2-40B4-BE49-F238E27FC236}">
              <a16:creationId xmlns:a16="http://schemas.microsoft.com/office/drawing/2014/main" id="{00000000-0008-0000-0E00-000075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10" name="ZoneTexte 1909">
          <a:extLst>
            <a:ext uri="{FF2B5EF4-FFF2-40B4-BE49-F238E27FC236}">
              <a16:creationId xmlns:a16="http://schemas.microsoft.com/office/drawing/2014/main" id="{00000000-0008-0000-0E00-000076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11" name="ZoneTexte 1910">
          <a:extLst>
            <a:ext uri="{FF2B5EF4-FFF2-40B4-BE49-F238E27FC236}">
              <a16:creationId xmlns:a16="http://schemas.microsoft.com/office/drawing/2014/main" id="{00000000-0008-0000-0E00-000077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12" name="ZoneTexte 1911">
          <a:extLst>
            <a:ext uri="{FF2B5EF4-FFF2-40B4-BE49-F238E27FC236}">
              <a16:creationId xmlns:a16="http://schemas.microsoft.com/office/drawing/2014/main" id="{00000000-0008-0000-0E00-000078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13" name="ZoneTexte 1912">
          <a:extLst>
            <a:ext uri="{FF2B5EF4-FFF2-40B4-BE49-F238E27FC236}">
              <a16:creationId xmlns:a16="http://schemas.microsoft.com/office/drawing/2014/main" id="{00000000-0008-0000-0E00-000079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14" name="ZoneTexte 1913">
          <a:extLst>
            <a:ext uri="{FF2B5EF4-FFF2-40B4-BE49-F238E27FC236}">
              <a16:creationId xmlns:a16="http://schemas.microsoft.com/office/drawing/2014/main" id="{00000000-0008-0000-0E00-00007A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15" name="ZoneTexte 1914">
          <a:extLst>
            <a:ext uri="{FF2B5EF4-FFF2-40B4-BE49-F238E27FC236}">
              <a16:creationId xmlns:a16="http://schemas.microsoft.com/office/drawing/2014/main" id="{00000000-0008-0000-0E00-00007B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16" name="ZoneTexte 1915">
          <a:extLst>
            <a:ext uri="{FF2B5EF4-FFF2-40B4-BE49-F238E27FC236}">
              <a16:creationId xmlns:a16="http://schemas.microsoft.com/office/drawing/2014/main" id="{00000000-0008-0000-0E00-00007C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83</xdr:row>
      <xdr:rowOff>3706090</xdr:rowOff>
    </xdr:from>
    <xdr:to>
      <xdr:col>2</xdr:col>
      <xdr:colOff>5142675</xdr:colOff>
      <xdr:row>83</xdr:row>
      <xdr:rowOff>4005447</xdr:rowOff>
    </xdr:to>
    <xdr:sp macro="" textlink="">
      <xdr:nvSpPr>
        <xdr:cNvPr id="1917" name="ZoneTexte 1916">
          <a:extLst>
            <a:ext uri="{FF2B5EF4-FFF2-40B4-BE49-F238E27FC236}">
              <a16:creationId xmlns:a16="http://schemas.microsoft.com/office/drawing/2014/main" id="{00000000-0008-0000-0E00-00007D070000}"/>
            </a:ext>
          </a:extLst>
        </xdr:cNvPr>
        <xdr:cNvSpPr txBox="1"/>
      </xdr:nvSpPr>
      <xdr:spPr>
        <a:xfrm>
          <a:off x="7278543" y="307285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100</xdr:row>
      <xdr:rowOff>0</xdr:rowOff>
    </xdr:from>
    <xdr:to>
      <xdr:col>2</xdr:col>
      <xdr:colOff>5142675</xdr:colOff>
      <xdr:row>100</xdr:row>
      <xdr:rowOff>0</xdr:rowOff>
    </xdr:to>
    <xdr:sp macro="" textlink="">
      <xdr:nvSpPr>
        <xdr:cNvPr id="2160" name="ZoneTexte 2159">
          <a:extLst>
            <a:ext uri="{FF2B5EF4-FFF2-40B4-BE49-F238E27FC236}">
              <a16:creationId xmlns:a16="http://schemas.microsoft.com/office/drawing/2014/main" id="{00000000-0008-0000-0E00-000070080000}"/>
            </a:ext>
          </a:extLst>
        </xdr:cNvPr>
        <xdr:cNvSpPr txBox="1"/>
      </xdr:nvSpPr>
      <xdr:spPr>
        <a:xfrm>
          <a:off x="7278543" y="433300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100</xdr:row>
      <xdr:rowOff>0</xdr:rowOff>
    </xdr:from>
    <xdr:to>
      <xdr:col>2</xdr:col>
      <xdr:colOff>5142675</xdr:colOff>
      <xdr:row>100</xdr:row>
      <xdr:rowOff>0</xdr:rowOff>
    </xdr:to>
    <xdr:sp macro="" textlink="">
      <xdr:nvSpPr>
        <xdr:cNvPr id="2161" name="ZoneTexte 2160">
          <a:extLst>
            <a:ext uri="{FF2B5EF4-FFF2-40B4-BE49-F238E27FC236}">
              <a16:creationId xmlns:a16="http://schemas.microsoft.com/office/drawing/2014/main" id="{00000000-0008-0000-0E00-000071080000}"/>
            </a:ext>
          </a:extLst>
        </xdr:cNvPr>
        <xdr:cNvSpPr txBox="1"/>
      </xdr:nvSpPr>
      <xdr:spPr>
        <a:xfrm>
          <a:off x="7278543" y="433300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102</xdr:row>
      <xdr:rowOff>3706090</xdr:rowOff>
    </xdr:from>
    <xdr:to>
      <xdr:col>2</xdr:col>
      <xdr:colOff>5142675</xdr:colOff>
      <xdr:row>102</xdr:row>
      <xdr:rowOff>4005447</xdr:rowOff>
    </xdr:to>
    <xdr:sp macro="" textlink="">
      <xdr:nvSpPr>
        <xdr:cNvPr id="2164" name="ZoneTexte 2163">
          <a:extLst>
            <a:ext uri="{FF2B5EF4-FFF2-40B4-BE49-F238E27FC236}">
              <a16:creationId xmlns:a16="http://schemas.microsoft.com/office/drawing/2014/main" id="{00000000-0008-0000-0E00-000074080000}"/>
            </a:ext>
          </a:extLst>
        </xdr:cNvPr>
        <xdr:cNvSpPr txBox="1"/>
      </xdr:nvSpPr>
      <xdr:spPr>
        <a:xfrm>
          <a:off x="7278543" y="44101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102</xdr:row>
      <xdr:rowOff>3706090</xdr:rowOff>
    </xdr:from>
    <xdr:to>
      <xdr:col>2</xdr:col>
      <xdr:colOff>5142675</xdr:colOff>
      <xdr:row>102</xdr:row>
      <xdr:rowOff>4005447</xdr:rowOff>
    </xdr:to>
    <xdr:sp macro="" textlink="">
      <xdr:nvSpPr>
        <xdr:cNvPr id="2165" name="ZoneTexte 2164">
          <a:extLst>
            <a:ext uri="{FF2B5EF4-FFF2-40B4-BE49-F238E27FC236}">
              <a16:creationId xmlns:a16="http://schemas.microsoft.com/office/drawing/2014/main" id="{00000000-0008-0000-0E00-000075080000}"/>
            </a:ext>
          </a:extLst>
        </xdr:cNvPr>
        <xdr:cNvSpPr txBox="1"/>
      </xdr:nvSpPr>
      <xdr:spPr>
        <a:xfrm>
          <a:off x="7278543" y="44101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111</xdr:row>
      <xdr:rowOff>0</xdr:rowOff>
    </xdr:from>
    <xdr:to>
      <xdr:col>2</xdr:col>
      <xdr:colOff>5142675</xdr:colOff>
      <xdr:row>111</xdr:row>
      <xdr:rowOff>0</xdr:rowOff>
    </xdr:to>
    <xdr:sp macro="" textlink="">
      <xdr:nvSpPr>
        <xdr:cNvPr id="2166" name="ZoneTexte 2165">
          <a:extLst>
            <a:ext uri="{FF2B5EF4-FFF2-40B4-BE49-F238E27FC236}">
              <a16:creationId xmlns:a16="http://schemas.microsoft.com/office/drawing/2014/main" id="{00000000-0008-0000-0E00-000076080000}"/>
            </a:ext>
          </a:extLst>
        </xdr:cNvPr>
        <xdr:cNvSpPr txBox="1"/>
      </xdr:nvSpPr>
      <xdr:spPr>
        <a:xfrm>
          <a:off x="7278543" y="46577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111</xdr:row>
      <xdr:rowOff>0</xdr:rowOff>
    </xdr:from>
    <xdr:to>
      <xdr:col>2</xdr:col>
      <xdr:colOff>5142675</xdr:colOff>
      <xdr:row>111</xdr:row>
      <xdr:rowOff>0</xdr:rowOff>
    </xdr:to>
    <xdr:sp macro="" textlink="">
      <xdr:nvSpPr>
        <xdr:cNvPr id="2167" name="ZoneTexte 2166">
          <a:extLst>
            <a:ext uri="{FF2B5EF4-FFF2-40B4-BE49-F238E27FC236}">
              <a16:creationId xmlns:a16="http://schemas.microsoft.com/office/drawing/2014/main" id="{00000000-0008-0000-0E00-000077080000}"/>
            </a:ext>
          </a:extLst>
        </xdr:cNvPr>
        <xdr:cNvSpPr txBox="1"/>
      </xdr:nvSpPr>
      <xdr:spPr>
        <a:xfrm>
          <a:off x="7278543" y="4657725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110</xdr:row>
      <xdr:rowOff>3706090</xdr:rowOff>
    </xdr:from>
    <xdr:to>
      <xdr:col>2</xdr:col>
      <xdr:colOff>5142675</xdr:colOff>
      <xdr:row>110</xdr:row>
      <xdr:rowOff>4005447</xdr:rowOff>
    </xdr:to>
    <xdr:sp macro="" textlink="">
      <xdr:nvSpPr>
        <xdr:cNvPr id="2168" name="ZoneTexte 2167">
          <a:extLst>
            <a:ext uri="{FF2B5EF4-FFF2-40B4-BE49-F238E27FC236}">
              <a16:creationId xmlns:a16="http://schemas.microsoft.com/office/drawing/2014/main" id="{00000000-0008-0000-0E00-000078080000}"/>
            </a:ext>
          </a:extLst>
        </xdr:cNvPr>
        <xdr:cNvSpPr txBox="1"/>
      </xdr:nvSpPr>
      <xdr:spPr>
        <a:xfrm>
          <a:off x="7278543" y="46578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110</xdr:row>
      <xdr:rowOff>3706090</xdr:rowOff>
    </xdr:from>
    <xdr:to>
      <xdr:col>2</xdr:col>
      <xdr:colOff>5142675</xdr:colOff>
      <xdr:row>110</xdr:row>
      <xdr:rowOff>4005447</xdr:rowOff>
    </xdr:to>
    <xdr:sp macro="" textlink="">
      <xdr:nvSpPr>
        <xdr:cNvPr id="2169" name="ZoneTexte 2168">
          <a:extLst>
            <a:ext uri="{FF2B5EF4-FFF2-40B4-BE49-F238E27FC236}">
              <a16:creationId xmlns:a16="http://schemas.microsoft.com/office/drawing/2014/main" id="{00000000-0008-0000-0E00-000079080000}"/>
            </a:ext>
          </a:extLst>
        </xdr:cNvPr>
        <xdr:cNvSpPr txBox="1"/>
      </xdr:nvSpPr>
      <xdr:spPr>
        <a:xfrm>
          <a:off x="7278543" y="46578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110</xdr:row>
      <xdr:rowOff>3706090</xdr:rowOff>
    </xdr:from>
    <xdr:to>
      <xdr:col>2</xdr:col>
      <xdr:colOff>5142675</xdr:colOff>
      <xdr:row>110</xdr:row>
      <xdr:rowOff>4005447</xdr:rowOff>
    </xdr:to>
    <xdr:sp macro="" textlink="">
      <xdr:nvSpPr>
        <xdr:cNvPr id="2170" name="ZoneTexte 2169">
          <a:extLst>
            <a:ext uri="{FF2B5EF4-FFF2-40B4-BE49-F238E27FC236}">
              <a16:creationId xmlns:a16="http://schemas.microsoft.com/office/drawing/2014/main" id="{00000000-0008-0000-0E00-00007A080000}"/>
            </a:ext>
          </a:extLst>
        </xdr:cNvPr>
        <xdr:cNvSpPr txBox="1"/>
      </xdr:nvSpPr>
      <xdr:spPr>
        <a:xfrm>
          <a:off x="7278543" y="46578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110</xdr:row>
      <xdr:rowOff>3706090</xdr:rowOff>
    </xdr:from>
    <xdr:to>
      <xdr:col>2</xdr:col>
      <xdr:colOff>5142675</xdr:colOff>
      <xdr:row>110</xdr:row>
      <xdr:rowOff>4005447</xdr:rowOff>
    </xdr:to>
    <xdr:sp macro="" textlink="">
      <xdr:nvSpPr>
        <xdr:cNvPr id="2171" name="ZoneTexte 2170">
          <a:extLst>
            <a:ext uri="{FF2B5EF4-FFF2-40B4-BE49-F238E27FC236}">
              <a16:creationId xmlns:a16="http://schemas.microsoft.com/office/drawing/2014/main" id="{00000000-0008-0000-0E00-00007B080000}"/>
            </a:ext>
          </a:extLst>
        </xdr:cNvPr>
        <xdr:cNvSpPr txBox="1"/>
      </xdr:nvSpPr>
      <xdr:spPr>
        <a:xfrm>
          <a:off x="7278543" y="46578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117</xdr:row>
      <xdr:rowOff>3706090</xdr:rowOff>
    </xdr:from>
    <xdr:to>
      <xdr:col>2</xdr:col>
      <xdr:colOff>5142675</xdr:colOff>
      <xdr:row>117</xdr:row>
      <xdr:rowOff>4005447</xdr:rowOff>
    </xdr:to>
    <xdr:sp macro="" textlink="">
      <xdr:nvSpPr>
        <xdr:cNvPr id="2172" name="ZoneTexte 2171">
          <a:extLst>
            <a:ext uri="{FF2B5EF4-FFF2-40B4-BE49-F238E27FC236}">
              <a16:creationId xmlns:a16="http://schemas.microsoft.com/office/drawing/2014/main" id="{00000000-0008-0000-0E00-00007C080000}"/>
            </a:ext>
          </a:extLst>
        </xdr:cNvPr>
        <xdr:cNvSpPr txBox="1"/>
      </xdr:nvSpPr>
      <xdr:spPr>
        <a:xfrm>
          <a:off x="7278543" y="4887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117</xdr:row>
      <xdr:rowOff>3706090</xdr:rowOff>
    </xdr:from>
    <xdr:to>
      <xdr:col>2</xdr:col>
      <xdr:colOff>5142675</xdr:colOff>
      <xdr:row>117</xdr:row>
      <xdr:rowOff>4005447</xdr:rowOff>
    </xdr:to>
    <xdr:sp macro="" textlink="">
      <xdr:nvSpPr>
        <xdr:cNvPr id="2173" name="ZoneTexte 2172">
          <a:extLst>
            <a:ext uri="{FF2B5EF4-FFF2-40B4-BE49-F238E27FC236}">
              <a16:creationId xmlns:a16="http://schemas.microsoft.com/office/drawing/2014/main" id="{00000000-0008-0000-0E00-00007D080000}"/>
            </a:ext>
          </a:extLst>
        </xdr:cNvPr>
        <xdr:cNvSpPr txBox="1"/>
      </xdr:nvSpPr>
      <xdr:spPr>
        <a:xfrm>
          <a:off x="7278543" y="488736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128</xdr:row>
      <xdr:rowOff>0</xdr:rowOff>
    </xdr:from>
    <xdr:to>
      <xdr:col>2</xdr:col>
      <xdr:colOff>5142675</xdr:colOff>
      <xdr:row>128</xdr:row>
      <xdr:rowOff>0</xdr:rowOff>
    </xdr:to>
    <xdr:sp macro="" textlink="">
      <xdr:nvSpPr>
        <xdr:cNvPr id="2174" name="ZoneTexte 2173">
          <a:extLst>
            <a:ext uri="{FF2B5EF4-FFF2-40B4-BE49-F238E27FC236}">
              <a16:creationId xmlns:a16="http://schemas.microsoft.com/office/drawing/2014/main" id="{00000000-0008-0000-0E00-00007E080000}"/>
            </a:ext>
          </a:extLst>
        </xdr:cNvPr>
        <xdr:cNvSpPr txBox="1"/>
      </xdr:nvSpPr>
      <xdr:spPr>
        <a:xfrm>
          <a:off x="7278543" y="51349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128</xdr:row>
      <xdr:rowOff>0</xdr:rowOff>
    </xdr:from>
    <xdr:to>
      <xdr:col>2</xdr:col>
      <xdr:colOff>5142675</xdr:colOff>
      <xdr:row>128</xdr:row>
      <xdr:rowOff>0</xdr:rowOff>
    </xdr:to>
    <xdr:sp macro="" textlink="">
      <xdr:nvSpPr>
        <xdr:cNvPr id="2175" name="ZoneTexte 2174">
          <a:extLst>
            <a:ext uri="{FF2B5EF4-FFF2-40B4-BE49-F238E27FC236}">
              <a16:creationId xmlns:a16="http://schemas.microsoft.com/office/drawing/2014/main" id="{00000000-0008-0000-0E00-00007F080000}"/>
            </a:ext>
          </a:extLst>
        </xdr:cNvPr>
        <xdr:cNvSpPr txBox="1"/>
      </xdr:nvSpPr>
      <xdr:spPr>
        <a:xfrm>
          <a:off x="7278543" y="5134927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125</xdr:row>
      <xdr:rowOff>3706090</xdr:rowOff>
    </xdr:from>
    <xdr:to>
      <xdr:col>2</xdr:col>
      <xdr:colOff>5142675</xdr:colOff>
      <xdr:row>125</xdr:row>
      <xdr:rowOff>4005447</xdr:rowOff>
    </xdr:to>
    <xdr:sp macro="" textlink="">
      <xdr:nvSpPr>
        <xdr:cNvPr id="2176" name="ZoneTexte 2175">
          <a:extLst>
            <a:ext uri="{FF2B5EF4-FFF2-40B4-BE49-F238E27FC236}">
              <a16:creationId xmlns:a16="http://schemas.microsoft.com/office/drawing/2014/main" id="{00000000-0008-0000-0E00-000080080000}"/>
            </a:ext>
          </a:extLst>
        </xdr:cNvPr>
        <xdr:cNvSpPr txBox="1"/>
      </xdr:nvSpPr>
      <xdr:spPr>
        <a:xfrm>
          <a:off x="7278543" y="51350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125</xdr:row>
      <xdr:rowOff>3706090</xdr:rowOff>
    </xdr:from>
    <xdr:to>
      <xdr:col>2</xdr:col>
      <xdr:colOff>5142675</xdr:colOff>
      <xdr:row>125</xdr:row>
      <xdr:rowOff>4005447</xdr:rowOff>
    </xdr:to>
    <xdr:sp macro="" textlink="">
      <xdr:nvSpPr>
        <xdr:cNvPr id="2177" name="ZoneTexte 2176">
          <a:extLst>
            <a:ext uri="{FF2B5EF4-FFF2-40B4-BE49-F238E27FC236}">
              <a16:creationId xmlns:a16="http://schemas.microsoft.com/office/drawing/2014/main" id="{00000000-0008-0000-0E00-000081080000}"/>
            </a:ext>
          </a:extLst>
        </xdr:cNvPr>
        <xdr:cNvSpPr txBox="1"/>
      </xdr:nvSpPr>
      <xdr:spPr>
        <a:xfrm>
          <a:off x="7278543" y="51350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125</xdr:row>
      <xdr:rowOff>3706090</xdr:rowOff>
    </xdr:from>
    <xdr:to>
      <xdr:col>2</xdr:col>
      <xdr:colOff>5142675</xdr:colOff>
      <xdr:row>125</xdr:row>
      <xdr:rowOff>4005447</xdr:rowOff>
    </xdr:to>
    <xdr:sp macro="" textlink="">
      <xdr:nvSpPr>
        <xdr:cNvPr id="2178" name="ZoneTexte 2177">
          <a:extLst>
            <a:ext uri="{FF2B5EF4-FFF2-40B4-BE49-F238E27FC236}">
              <a16:creationId xmlns:a16="http://schemas.microsoft.com/office/drawing/2014/main" id="{00000000-0008-0000-0E00-000082080000}"/>
            </a:ext>
          </a:extLst>
        </xdr:cNvPr>
        <xdr:cNvSpPr txBox="1"/>
      </xdr:nvSpPr>
      <xdr:spPr>
        <a:xfrm>
          <a:off x="7278543" y="51350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125</xdr:row>
      <xdr:rowOff>3706090</xdr:rowOff>
    </xdr:from>
    <xdr:to>
      <xdr:col>2</xdr:col>
      <xdr:colOff>5142675</xdr:colOff>
      <xdr:row>125</xdr:row>
      <xdr:rowOff>4005447</xdr:rowOff>
    </xdr:to>
    <xdr:sp macro="" textlink="">
      <xdr:nvSpPr>
        <xdr:cNvPr id="2179" name="ZoneTexte 2178">
          <a:extLst>
            <a:ext uri="{FF2B5EF4-FFF2-40B4-BE49-F238E27FC236}">
              <a16:creationId xmlns:a16="http://schemas.microsoft.com/office/drawing/2014/main" id="{00000000-0008-0000-0E00-000083080000}"/>
            </a:ext>
          </a:extLst>
        </xdr:cNvPr>
        <xdr:cNvSpPr txBox="1"/>
      </xdr:nvSpPr>
      <xdr:spPr>
        <a:xfrm>
          <a:off x="7278543" y="51350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115</xdr:row>
      <xdr:rowOff>0</xdr:rowOff>
    </xdr:from>
    <xdr:to>
      <xdr:col>2</xdr:col>
      <xdr:colOff>5142675</xdr:colOff>
      <xdr:row>115</xdr:row>
      <xdr:rowOff>0</xdr:rowOff>
    </xdr:to>
    <xdr:sp macro="" textlink="">
      <xdr:nvSpPr>
        <xdr:cNvPr id="2180" name="ZoneTexte 2179">
          <a:extLst>
            <a:ext uri="{FF2B5EF4-FFF2-40B4-BE49-F238E27FC236}">
              <a16:creationId xmlns:a16="http://schemas.microsoft.com/office/drawing/2014/main" id="{00000000-0008-0000-0E00-000084080000}"/>
            </a:ext>
          </a:extLst>
        </xdr:cNvPr>
        <xdr:cNvSpPr txBox="1"/>
      </xdr:nvSpPr>
      <xdr:spPr>
        <a:xfrm>
          <a:off x="7278543" y="48102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115</xdr:row>
      <xdr:rowOff>0</xdr:rowOff>
    </xdr:from>
    <xdr:to>
      <xdr:col>2</xdr:col>
      <xdr:colOff>5142675</xdr:colOff>
      <xdr:row>115</xdr:row>
      <xdr:rowOff>0</xdr:rowOff>
    </xdr:to>
    <xdr:sp macro="" textlink="">
      <xdr:nvSpPr>
        <xdr:cNvPr id="2181" name="ZoneTexte 2180">
          <a:extLst>
            <a:ext uri="{FF2B5EF4-FFF2-40B4-BE49-F238E27FC236}">
              <a16:creationId xmlns:a16="http://schemas.microsoft.com/office/drawing/2014/main" id="{00000000-0008-0000-0E00-000085080000}"/>
            </a:ext>
          </a:extLst>
        </xdr:cNvPr>
        <xdr:cNvSpPr txBox="1"/>
      </xdr:nvSpPr>
      <xdr:spPr>
        <a:xfrm>
          <a:off x="7278543" y="48102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112</xdr:row>
      <xdr:rowOff>3706090</xdr:rowOff>
    </xdr:from>
    <xdr:to>
      <xdr:col>2</xdr:col>
      <xdr:colOff>5142675</xdr:colOff>
      <xdr:row>112</xdr:row>
      <xdr:rowOff>4005447</xdr:rowOff>
    </xdr:to>
    <xdr:sp macro="" textlink="">
      <xdr:nvSpPr>
        <xdr:cNvPr id="2182" name="ZoneTexte 2181">
          <a:extLst>
            <a:ext uri="{FF2B5EF4-FFF2-40B4-BE49-F238E27FC236}">
              <a16:creationId xmlns:a16="http://schemas.microsoft.com/office/drawing/2014/main" id="{00000000-0008-0000-0E00-000086080000}"/>
            </a:ext>
          </a:extLst>
        </xdr:cNvPr>
        <xdr:cNvSpPr txBox="1"/>
      </xdr:nvSpPr>
      <xdr:spPr>
        <a:xfrm>
          <a:off x="7278543" y="47149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112</xdr:row>
      <xdr:rowOff>3706090</xdr:rowOff>
    </xdr:from>
    <xdr:to>
      <xdr:col>2</xdr:col>
      <xdr:colOff>5142675</xdr:colOff>
      <xdr:row>112</xdr:row>
      <xdr:rowOff>4005447</xdr:rowOff>
    </xdr:to>
    <xdr:sp macro="" textlink="">
      <xdr:nvSpPr>
        <xdr:cNvPr id="2183" name="ZoneTexte 2182">
          <a:extLst>
            <a:ext uri="{FF2B5EF4-FFF2-40B4-BE49-F238E27FC236}">
              <a16:creationId xmlns:a16="http://schemas.microsoft.com/office/drawing/2014/main" id="{00000000-0008-0000-0E00-000087080000}"/>
            </a:ext>
          </a:extLst>
        </xdr:cNvPr>
        <xdr:cNvSpPr txBox="1"/>
      </xdr:nvSpPr>
      <xdr:spPr>
        <a:xfrm>
          <a:off x="7278543" y="471496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128</xdr:row>
      <xdr:rowOff>3706090</xdr:rowOff>
    </xdr:from>
    <xdr:to>
      <xdr:col>2</xdr:col>
      <xdr:colOff>5142675</xdr:colOff>
      <xdr:row>128</xdr:row>
      <xdr:rowOff>4005447</xdr:rowOff>
    </xdr:to>
    <xdr:sp macro="" textlink="">
      <xdr:nvSpPr>
        <xdr:cNvPr id="2184" name="ZoneTexte 2183">
          <a:extLst>
            <a:ext uri="{FF2B5EF4-FFF2-40B4-BE49-F238E27FC236}">
              <a16:creationId xmlns:a16="http://schemas.microsoft.com/office/drawing/2014/main" id="{00000000-0008-0000-0E00-000088080000}"/>
            </a:ext>
          </a:extLst>
        </xdr:cNvPr>
        <xdr:cNvSpPr txBox="1"/>
      </xdr:nvSpPr>
      <xdr:spPr>
        <a:xfrm>
          <a:off x="7278543" y="51731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128</xdr:row>
      <xdr:rowOff>3706090</xdr:rowOff>
    </xdr:from>
    <xdr:to>
      <xdr:col>2</xdr:col>
      <xdr:colOff>5142675</xdr:colOff>
      <xdr:row>128</xdr:row>
      <xdr:rowOff>4005447</xdr:rowOff>
    </xdr:to>
    <xdr:sp macro="" textlink="">
      <xdr:nvSpPr>
        <xdr:cNvPr id="2185" name="ZoneTexte 2184">
          <a:extLst>
            <a:ext uri="{FF2B5EF4-FFF2-40B4-BE49-F238E27FC236}">
              <a16:creationId xmlns:a16="http://schemas.microsoft.com/office/drawing/2014/main" id="{00000000-0008-0000-0E00-000089080000}"/>
            </a:ext>
          </a:extLst>
        </xdr:cNvPr>
        <xdr:cNvSpPr txBox="1"/>
      </xdr:nvSpPr>
      <xdr:spPr>
        <a:xfrm>
          <a:off x="7278543" y="51731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115</xdr:row>
      <xdr:rowOff>2412999</xdr:rowOff>
    </xdr:from>
    <xdr:to>
      <xdr:col>2</xdr:col>
      <xdr:colOff>5327402</xdr:colOff>
      <xdr:row>115</xdr:row>
      <xdr:rowOff>2712356</xdr:rowOff>
    </xdr:to>
    <xdr:sp macro="" textlink="">
      <xdr:nvSpPr>
        <xdr:cNvPr id="2186" name="ZoneTexte 2185">
          <a:extLst>
            <a:ext uri="{FF2B5EF4-FFF2-40B4-BE49-F238E27FC236}">
              <a16:creationId xmlns:a16="http://schemas.microsoft.com/office/drawing/2014/main" id="{00000000-0008-0000-0E00-00008A080000}"/>
            </a:ext>
          </a:extLst>
        </xdr:cNvPr>
        <xdr:cNvSpPr txBox="1"/>
      </xdr:nvSpPr>
      <xdr:spPr>
        <a:xfrm>
          <a:off x="7272770" y="483044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115</xdr:row>
      <xdr:rowOff>3706090</xdr:rowOff>
    </xdr:from>
    <xdr:to>
      <xdr:col>2</xdr:col>
      <xdr:colOff>5142675</xdr:colOff>
      <xdr:row>115</xdr:row>
      <xdr:rowOff>4005447</xdr:rowOff>
    </xdr:to>
    <xdr:sp macro="" textlink="">
      <xdr:nvSpPr>
        <xdr:cNvPr id="2187" name="ZoneTexte 2186">
          <a:extLst>
            <a:ext uri="{FF2B5EF4-FFF2-40B4-BE49-F238E27FC236}">
              <a16:creationId xmlns:a16="http://schemas.microsoft.com/office/drawing/2014/main" id="{00000000-0008-0000-0E00-00008B080000}"/>
            </a:ext>
          </a:extLst>
        </xdr:cNvPr>
        <xdr:cNvSpPr txBox="1"/>
      </xdr:nvSpPr>
      <xdr:spPr>
        <a:xfrm>
          <a:off x="7278543" y="48302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115</xdr:row>
      <xdr:rowOff>2412999</xdr:rowOff>
    </xdr:from>
    <xdr:to>
      <xdr:col>2</xdr:col>
      <xdr:colOff>5327402</xdr:colOff>
      <xdr:row>115</xdr:row>
      <xdr:rowOff>2712356</xdr:rowOff>
    </xdr:to>
    <xdr:sp macro="" textlink="">
      <xdr:nvSpPr>
        <xdr:cNvPr id="2188" name="ZoneTexte 2187">
          <a:extLst>
            <a:ext uri="{FF2B5EF4-FFF2-40B4-BE49-F238E27FC236}">
              <a16:creationId xmlns:a16="http://schemas.microsoft.com/office/drawing/2014/main" id="{00000000-0008-0000-0E00-00008C080000}"/>
            </a:ext>
          </a:extLst>
        </xdr:cNvPr>
        <xdr:cNvSpPr txBox="1"/>
      </xdr:nvSpPr>
      <xdr:spPr>
        <a:xfrm>
          <a:off x="7272770" y="483044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115</xdr:row>
      <xdr:rowOff>3706090</xdr:rowOff>
    </xdr:from>
    <xdr:to>
      <xdr:col>2</xdr:col>
      <xdr:colOff>5142675</xdr:colOff>
      <xdr:row>115</xdr:row>
      <xdr:rowOff>4005447</xdr:rowOff>
    </xdr:to>
    <xdr:sp macro="" textlink="">
      <xdr:nvSpPr>
        <xdr:cNvPr id="2189" name="ZoneTexte 2188">
          <a:extLst>
            <a:ext uri="{FF2B5EF4-FFF2-40B4-BE49-F238E27FC236}">
              <a16:creationId xmlns:a16="http://schemas.microsoft.com/office/drawing/2014/main" id="{00000000-0008-0000-0E00-00008D080000}"/>
            </a:ext>
          </a:extLst>
        </xdr:cNvPr>
        <xdr:cNvSpPr txBox="1"/>
      </xdr:nvSpPr>
      <xdr:spPr>
        <a:xfrm>
          <a:off x="7278543" y="483021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100</xdr:row>
      <xdr:rowOff>0</xdr:rowOff>
    </xdr:from>
    <xdr:to>
      <xdr:col>2</xdr:col>
      <xdr:colOff>5142675</xdr:colOff>
      <xdr:row>100</xdr:row>
      <xdr:rowOff>0</xdr:rowOff>
    </xdr:to>
    <xdr:sp macro="" textlink="">
      <xdr:nvSpPr>
        <xdr:cNvPr id="2190" name="ZoneTexte 2189">
          <a:extLst>
            <a:ext uri="{FF2B5EF4-FFF2-40B4-BE49-F238E27FC236}">
              <a16:creationId xmlns:a16="http://schemas.microsoft.com/office/drawing/2014/main" id="{00000000-0008-0000-0E00-00008E080000}"/>
            </a:ext>
          </a:extLst>
        </xdr:cNvPr>
        <xdr:cNvSpPr txBox="1"/>
      </xdr:nvSpPr>
      <xdr:spPr>
        <a:xfrm>
          <a:off x="7278543" y="433300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100</xdr:row>
      <xdr:rowOff>0</xdr:rowOff>
    </xdr:from>
    <xdr:to>
      <xdr:col>2</xdr:col>
      <xdr:colOff>5142675</xdr:colOff>
      <xdr:row>100</xdr:row>
      <xdr:rowOff>0</xdr:rowOff>
    </xdr:to>
    <xdr:sp macro="" textlink="">
      <xdr:nvSpPr>
        <xdr:cNvPr id="2191" name="ZoneTexte 2190">
          <a:extLst>
            <a:ext uri="{FF2B5EF4-FFF2-40B4-BE49-F238E27FC236}">
              <a16:creationId xmlns:a16="http://schemas.microsoft.com/office/drawing/2014/main" id="{00000000-0008-0000-0E00-00008F080000}"/>
            </a:ext>
          </a:extLst>
        </xdr:cNvPr>
        <xdr:cNvSpPr txBox="1"/>
      </xdr:nvSpPr>
      <xdr:spPr>
        <a:xfrm>
          <a:off x="7278543" y="433300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100</xdr:row>
      <xdr:rowOff>2412999</xdr:rowOff>
    </xdr:from>
    <xdr:to>
      <xdr:col>2</xdr:col>
      <xdr:colOff>5327402</xdr:colOff>
      <xdr:row>100</xdr:row>
      <xdr:rowOff>2712356</xdr:rowOff>
    </xdr:to>
    <xdr:sp macro="" textlink="">
      <xdr:nvSpPr>
        <xdr:cNvPr id="2192" name="ZoneTexte 2191">
          <a:extLst>
            <a:ext uri="{FF2B5EF4-FFF2-40B4-BE49-F238E27FC236}">
              <a16:creationId xmlns:a16="http://schemas.microsoft.com/office/drawing/2014/main" id="{00000000-0008-0000-0E00-000090080000}"/>
            </a:ext>
          </a:extLst>
        </xdr:cNvPr>
        <xdr:cNvSpPr txBox="1"/>
      </xdr:nvSpPr>
      <xdr:spPr>
        <a:xfrm>
          <a:off x="7272770" y="435324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100</xdr:row>
      <xdr:rowOff>3706090</xdr:rowOff>
    </xdr:from>
    <xdr:to>
      <xdr:col>2</xdr:col>
      <xdr:colOff>5142675</xdr:colOff>
      <xdr:row>100</xdr:row>
      <xdr:rowOff>4005447</xdr:rowOff>
    </xdr:to>
    <xdr:sp macro="" textlink="">
      <xdr:nvSpPr>
        <xdr:cNvPr id="2193" name="ZoneTexte 2192">
          <a:extLst>
            <a:ext uri="{FF2B5EF4-FFF2-40B4-BE49-F238E27FC236}">
              <a16:creationId xmlns:a16="http://schemas.microsoft.com/office/drawing/2014/main" id="{00000000-0008-0000-0E00-000091080000}"/>
            </a:ext>
          </a:extLst>
        </xdr:cNvPr>
        <xdr:cNvSpPr txBox="1"/>
      </xdr:nvSpPr>
      <xdr:spPr>
        <a:xfrm>
          <a:off x="7278543" y="43530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100</xdr:row>
      <xdr:rowOff>2412999</xdr:rowOff>
    </xdr:from>
    <xdr:to>
      <xdr:col>2</xdr:col>
      <xdr:colOff>5327402</xdr:colOff>
      <xdr:row>100</xdr:row>
      <xdr:rowOff>2712356</xdr:rowOff>
    </xdr:to>
    <xdr:sp macro="" textlink="">
      <xdr:nvSpPr>
        <xdr:cNvPr id="2194" name="ZoneTexte 2193">
          <a:extLst>
            <a:ext uri="{FF2B5EF4-FFF2-40B4-BE49-F238E27FC236}">
              <a16:creationId xmlns:a16="http://schemas.microsoft.com/office/drawing/2014/main" id="{00000000-0008-0000-0E00-000092080000}"/>
            </a:ext>
          </a:extLst>
        </xdr:cNvPr>
        <xdr:cNvSpPr txBox="1"/>
      </xdr:nvSpPr>
      <xdr:spPr>
        <a:xfrm>
          <a:off x="7272770" y="435324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100</xdr:row>
      <xdr:rowOff>3706090</xdr:rowOff>
    </xdr:from>
    <xdr:to>
      <xdr:col>2</xdr:col>
      <xdr:colOff>5142675</xdr:colOff>
      <xdr:row>100</xdr:row>
      <xdr:rowOff>4005447</xdr:rowOff>
    </xdr:to>
    <xdr:sp macro="" textlink="">
      <xdr:nvSpPr>
        <xdr:cNvPr id="2195" name="ZoneTexte 2194">
          <a:extLst>
            <a:ext uri="{FF2B5EF4-FFF2-40B4-BE49-F238E27FC236}">
              <a16:creationId xmlns:a16="http://schemas.microsoft.com/office/drawing/2014/main" id="{00000000-0008-0000-0E00-000093080000}"/>
            </a:ext>
          </a:extLst>
        </xdr:cNvPr>
        <xdr:cNvSpPr txBox="1"/>
      </xdr:nvSpPr>
      <xdr:spPr>
        <a:xfrm>
          <a:off x="7278543" y="4353011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100</xdr:row>
      <xdr:rowOff>2412999</xdr:rowOff>
    </xdr:from>
    <xdr:to>
      <xdr:col>2</xdr:col>
      <xdr:colOff>5327402</xdr:colOff>
      <xdr:row>100</xdr:row>
      <xdr:rowOff>2712356</xdr:rowOff>
    </xdr:to>
    <xdr:sp macro="" textlink="">
      <xdr:nvSpPr>
        <xdr:cNvPr id="2196" name="ZoneTexte 2195">
          <a:extLst>
            <a:ext uri="{FF2B5EF4-FFF2-40B4-BE49-F238E27FC236}">
              <a16:creationId xmlns:a16="http://schemas.microsoft.com/office/drawing/2014/main" id="{00000000-0008-0000-0E00-000094080000}"/>
            </a:ext>
          </a:extLst>
        </xdr:cNvPr>
        <xdr:cNvSpPr txBox="1"/>
      </xdr:nvSpPr>
      <xdr:spPr>
        <a:xfrm>
          <a:off x="7272770" y="435324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100</xdr:row>
      <xdr:rowOff>2412999</xdr:rowOff>
    </xdr:from>
    <xdr:to>
      <xdr:col>2</xdr:col>
      <xdr:colOff>5327402</xdr:colOff>
      <xdr:row>100</xdr:row>
      <xdr:rowOff>2712356</xdr:rowOff>
    </xdr:to>
    <xdr:sp macro="" textlink="">
      <xdr:nvSpPr>
        <xdr:cNvPr id="2197" name="ZoneTexte 2196">
          <a:extLst>
            <a:ext uri="{FF2B5EF4-FFF2-40B4-BE49-F238E27FC236}">
              <a16:creationId xmlns:a16="http://schemas.microsoft.com/office/drawing/2014/main" id="{00000000-0008-0000-0E00-000095080000}"/>
            </a:ext>
          </a:extLst>
        </xdr:cNvPr>
        <xdr:cNvSpPr txBox="1"/>
      </xdr:nvSpPr>
      <xdr:spPr>
        <a:xfrm>
          <a:off x="7272770" y="435324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115</xdr:row>
      <xdr:rowOff>2412999</xdr:rowOff>
    </xdr:from>
    <xdr:to>
      <xdr:col>2</xdr:col>
      <xdr:colOff>5327402</xdr:colOff>
      <xdr:row>115</xdr:row>
      <xdr:rowOff>2712356</xdr:rowOff>
    </xdr:to>
    <xdr:sp macro="" textlink="">
      <xdr:nvSpPr>
        <xdr:cNvPr id="2198" name="ZoneTexte 2197">
          <a:extLst>
            <a:ext uri="{FF2B5EF4-FFF2-40B4-BE49-F238E27FC236}">
              <a16:creationId xmlns:a16="http://schemas.microsoft.com/office/drawing/2014/main" id="{00000000-0008-0000-0E00-000096080000}"/>
            </a:ext>
          </a:extLst>
        </xdr:cNvPr>
        <xdr:cNvSpPr txBox="1"/>
      </xdr:nvSpPr>
      <xdr:spPr>
        <a:xfrm>
          <a:off x="7272770" y="483044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115</xdr:row>
      <xdr:rowOff>2412999</xdr:rowOff>
    </xdr:from>
    <xdr:to>
      <xdr:col>2</xdr:col>
      <xdr:colOff>5327402</xdr:colOff>
      <xdr:row>115</xdr:row>
      <xdr:rowOff>2712356</xdr:rowOff>
    </xdr:to>
    <xdr:sp macro="" textlink="">
      <xdr:nvSpPr>
        <xdr:cNvPr id="2199" name="ZoneTexte 2198">
          <a:extLst>
            <a:ext uri="{FF2B5EF4-FFF2-40B4-BE49-F238E27FC236}">
              <a16:creationId xmlns:a16="http://schemas.microsoft.com/office/drawing/2014/main" id="{00000000-0008-0000-0E00-000097080000}"/>
            </a:ext>
          </a:extLst>
        </xdr:cNvPr>
        <xdr:cNvSpPr txBox="1"/>
      </xdr:nvSpPr>
      <xdr:spPr>
        <a:xfrm>
          <a:off x="7272770" y="483044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2200" name="ZoneTexte 2199">
          <a:extLst>
            <a:ext uri="{FF2B5EF4-FFF2-40B4-BE49-F238E27FC236}">
              <a16:creationId xmlns:a16="http://schemas.microsoft.com/office/drawing/2014/main" id="{00000000-0008-0000-0E00-000098080000}"/>
            </a:ext>
          </a:extLst>
        </xdr:cNvPr>
        <xdr:cNvSpPr txBox="1"/>
      </xdr:nvSpPr>
      <xdr:spPr>
        <a:xfrm>
          <a:off x="7272770" y="876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2201" name="ZoneTexte 2200">
          <a:extLst>
            <a:ext uri="{FF2B5EF4-FFF2-40B4-BE49-F238E27FC236}">
              <a16:creationId xmlns:a16="http://schemas.microsoft.com/office/drawing/2014/main" id="{00000000-0008-0000-0E00-000099080000}"/>
            </a:ext>
          </a:extLst>
        </xdr:cNvPr>
        <xdr:cNvSpPr txBox="1"/>
      </xdr:nvSpPr>
      <xdr:spPr>
        <a:xfrm>
          <a:off x="7272770" y="876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37</xdr:row>
      <xdr:rowOff>2412999</xdr:rowOff>
    </xdr:from>
    <xdr:to>
      <xdr:col>2</xdr:col>
      <xdr:colOff>5327402</xdr:colOff>
      <xdr:row>37</xdr:row>
      <xdr:rowOff>2712356</xdr:rowOff>
    </xdr:to>
    <xdr:sp macro="" textlink="">
      <xdr:nvSpPr>
        <xdr:cNvPr id="2202" name="ZoneTexte 2201">
          <a:extLst>
            <a:ext uri="{FF2B5EF4-FFF2-40B4-BE49-F238E27FC236}">
              <a16:creationId xmlns:a16="http://schemas.microsoft.com/office/drawing/2014/main" id="{00000000-0008-0000-0E00-00009A080000}"/>
            </a:ext>
          </a:extLst>
        </xdr:cNvPr>
        <xdr:cNvSpPr txBox="1"/>
      </xdr:nvSpPr>
      <xdr:spPr>
        <a:xfrm>
          <a:off x="7272770" y="990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37</xdr:row>
      <xdr:rowOff>2412999</xdr:rowOff>
    </xdr:from>
    <xdr:to>
      <xdr:col>2</xdr:col>
      <xdr:colOff>5327402</xdr:colOff>
      <xdr:row>37</xdr:row>
      <xdr:rowOff>2712356</xdr:rowOff>
    </xdr:to>
    <xdr:sp macro="" textlink="">
      <xdr:nvSpPr>
        <xdr:cNvPr id="2203" name="ZoneTexte 2202">
          <a:extLst>
            <a:ext uri="{FF2B5EF4-FFF2-40B4-BE49-F238E27FC236}">
              <a16:creationId xmlns:a16="http://schemas.microsoft.com/office/drawing/2014/main" id="{00000000-0008-0000-0E00-00009B080000}"/>
            </a:ext>
          </a:extLst>
        </xdr:cNvPr>
        <xdr:cNvSpPr txBox="1"/>
      </xdr:nvSpPr>
      <xdr:spPr>
        <a:xfrm>
          <a:off x="7272770" y="990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37</xdr:row>
      <xdr:rowOff>2412999</xdr:rowOff>
    </xdr:from>
    <xdr:to>
      <xdr:col>2</xdr:col>
      <xdr:colOff>5327402</xdr:colOff>
      <xdr:row>37</xdr:row>
      <xdr:rowOff>2712356</xdr:rowOff>
    </xdr:to>
    <xdr:sp macro="" textlink="">
      <xdr:nvSpPr>
        <xdr:cNvPr id="2204" name="ZoneTexte 2203">
          <a:extLst>
            <a:ext uri="{FF2B5EF4-FFF2-40B4-BE49-F238E27FC236}">
              <a16:creationId xmlns:a16="http://schemas.microsoft.com/office/drawing/2014/main" id="{00000000-0008-0000-0E00-00009C080000}"/>
            </a:ext>
          </a:extLst>
        </xdr:cNvPr>
        <xdr:cNvSpPr txBox="1"/>
      </xdr:nvSpPr>
      <xdr:spPr>
        <a:xfrm>
          <a:off x="7272770" y="990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37</xdr:row>
      <xdr:rowOff>2412999</xdr:rowOff>
    </xdr:from>
    <xdr:to>
      <xdr:col>2</xdr:col>
      <xdr:colOff>5327402</xdr:colOff>
      <xdr:row>37</xdr:row>
      <xdr:rowOff>2712356</xdr:rowOff>
    </xdr:to>
    <xdr:sp macro="" textlink="">
      <xdr:nvSpPr>
        <xdr:cNvPr id="2205" name="ZoneTexte 2204">
          <a:extLst>
            <a:ext uri="{FF2B5EF4-FFF2-40B4-BE49-F238E27FC236}">
              <a16:creationId xmlns:a16="http://schemas.microsoft.com/office/drawing/2014/main" id="{00000000-0008-0000-0E00-00009D080000}"/>
            </a:ext>
          </a:extLst>
        </xdr:cNvPr>
        <xdr:cNvSpPr txBox="1"/>
      </xdr:nvSpPr>
      <xdr:spPr>
        <a:xfrm>
          <a:off x="7272770" y="990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50</xdr:row>
      <xdr:rowOff>2412999</xdr:rowOff>
    </xdr:from>
    <xdr:to>
      <xdr:col>2</xdr:col>
      <xdr:colOff>5327402</xdr:colOff>
      <xdr:row>50</xdr:row>
      <xdr:rowOff>2712356</xdr:rowOff>
    </xdr:to>
    <xdr:sp macro="" textlink="">
      <xdr:nvSpPr>
        <xdr:cNvPr id="2218" name="ZoneTexte 2217">
          <a:extLst>
            <a:ext uri="{FF2B5EF4-FFF2-40B4-BE49-F238E27FC236}">
              <a16:creationId xmlns:a16="http://schemas.microsoft.com/office/drawing/2014/main" id="{00000000-0008-0000-0E00-0000AA080000}"/>
            </a:ext>
          </a:extLst>
        </xdr:cNvPr>
        <xdr:cNvSpPr txBox="1"/>
      </xdr:nvSpPr>
      <xdr:spPr>
        <a:xfrm>
          <a:off x="7272770" y="203199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50</xdr:row>
      <xdr:rowOff>2412999</xdr:rowOff>
    </xdr:from>
    <xdr:to>
      <xdr:col>2</xdr:col>
      <xdr:colOff>5327402</xdr:colOff>
      <xdr:row>50</xdr:row>
      <xdr:rowOff>2712356</xdr:rowOff>
    </xdr:to>
    <xdr:sp macro="" textlink="">
      <xdr:nvSpPr>
        <xdr:cNvPr id="2219" name="ZoneTexte 2218">
          <a:extLst>
            <a:ext uri="{FF2B5EF4-FFF2-40B4-BE49-F238E27FC236}">
              <a16:creationId xmlns:a16="http://schemas.microsoft.com/office/drawing/2014/main" id="{00000000-0008-0000-0E00-0000AB080000}"/>
            </a:ext>
          </a:extLst>
        </xdr:cNvPr>
        <xdr:cNvSpPr txBox="1"/>
      </xdr:nvSpPr>
      <xdr:spPr>
        <a:xfrm>
          <a:off x="7272770" y="203199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50</xdr:row>
      <xdr:rowOff>2412999</xdr:rowOff>
    </xdr:from>
    <xdr:to>
      <xdr:col>2</xdr:col>
      <xdr:colOff>5327402</xdr:colOff>
      <xdr:row>50</xdr:row>
      <xdr:rowOff>2712356</xdr:rowOff>
    </xdr:to>
    <xdr:sp macro="" textlink="">
      <xdr:nvSpPr>
        <xdr:cNvPr id="2220" name="ZoneTexte 2219">
          <a:extLst>
            <a:ext uri="{FF2B5EF4-FFF2-40B4-BE49-F238E27FC236}">
              <a16:creationId xmlns:a16="http://schemas.microsoft.com/office/drawing/2014/main" id="{00000000-0008-0000-0E00-0000AC080000}"/>
            </a:ext>
          </a:extLst>
        </xdr:cNvPr>
        <xdr:cNvSpPr txBox="1"/>
      </xdr:nvSpPr>
      <xdr:spPr>
        <a:xfrm>
          <a:off x="7272770" y="203199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50</xdr:row>
      <xdr:rowOff>2412999</xdr:rowOff>
    </xdr:from>
    <xdr:to>
      <xdr:col>2</xdr:col>
      <xdr:colOff>5327402</xdr:colOff>
      <xdr:row>50</xdr:row>
      <xdr:rowOff>2712356</xdr:rowOff>
    </xdr:to>
    <xdr:sp macro="" textlink="">
      <xdr:nvSpPr>
        <xdr:cNvPr id="2221" name="ZoneTexte 2220">
          <a:extLst>
            <a:ext uri="{FF2B5EF4-FFF2-40B4-BE49-F238E27FC236}">
              <a16:creationId xmlns:a16="http://schemas.microsoft.com/office/drawing/2014/main" id="{00000000-0008-0000-0E00-0000AD080000}"/>
            </a:ext>
          </a:extLst>
        </xdr:cNvPr>
        <xdr:cNvSpPr txBox="1"/>
      </xdr:nvSpPr>
      <xdr:spPr>
        <a:xfrm>
          <a:off x="7272770" y="203199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57</xdr:row>
      <xdr:rowOff>2412999</xdr:rowOff>
    </xdr:from>
    <xdr:to>
      <xdr:col>2</xdr:col>
      <xdr:colOff>5327402</xdr:colOff>
      <xdr:row>57</xdr:row>
      <xdr:rowOff>2712356</xdr:rowOff>
    </xdr:to>
    <xdr:sp macro="" textlink="">
      <xdr:nvSpPr>
        <xdr:cNvPr id="2222" name="ZoneTexte 2221">
          <a:extLst>
            <a:ext uri="{FF2B5EF4-FFF2-40B4-BE49-F238E27FC236}">
              <a16:creationId xmlns:a16="http://schemas.microsoft.com/office/drawing/2014/main" id="{00000000-0008-0000-0E00-0000AE080000}"/>
            </a:ext>
          </a:extLst>
        </xdr:cNvPr>
        <xdr:cNvSpPr txBox="1"/>
      </xdr:nvSpPr>
      <xdr:spPr>
        <a:xfrm>
          <a:off x="7272770" y="223773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57</xdr:row>
      <xdr:rowOff>2412999</xdr:rowOff>
    </xdr:from>
    <xdr:to>
      <xdr:col>2</xdr:col>
      <xdr:colOff>5327402</xdr:colOff>
      <xdr:row>57</xdr:row>
      <xdr:rowOff>2712356</xdr:rowOff>
    </xdr:to>
    <xdr:sp macro="" textlink="">
      <xdr:nvSpPr>
        <xdr:cNvPr id="2223" name="ZoneTexte 2222">
          <a:extLst>
            <a:ext uri="{FF2B5EF4-FFF2-40B4-BE49-F238E27FC236}">
              <a16:creationId xmlns:a16="http://schemas.microsoft.com/office/drawing/2014/main" id="{00000000-0008-0000-0E00-0000AF080000}"/>
            </a:ext>
          </a:extLst>
        </xdr:cNvPr>
        <xdr:cNvSpPr txBox="1"/>
      </xdr:nvSpPr>
      <xdr:spPr>
        <a:xfrm>
          <a:off x="7272770" y="223773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57</xdr:row>
      <xdr:rowOff>2412999</xdr:rowOff>
    </xdr:from>
    <xdr:to>
      <xdr:col>2</xdr:col>
      <xdr:colOff>5327402</xdr:colOff>
      <xdr:row>57</xdr:row>
      <xdr:rowOff>2712356</xdr:rowOff>
    </xdr:to>
    <xdr:sp macro="" textlink="">
      <xdr:nvSpPr>
        <xdr:cNvPr id="2224" name="ZoneTexte 2223">
          <a:extLst>
            <a:ext uri="{FF2B5EF4-FFF2-40B4-BE49-F238E27FC236}">
              <a16:creationId xmlns:a16="http://schemas.microsoft.com/office/drawing/2014/main" id="{00000000-0008-0000-0E00-0000B0080000}"/>
            </a:ext>
          </a:extLst>
        </xdr:cNvPr>
        <xdr:cNvSpPr txBox="1"/>
      </xdr:nvSpPr>
      <xdr:spPr>
        <a:xfrm>
          <a:off x="7272770" y="223773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57</xdr:row>
      <xdr:rowOff>2412999</xdr:rowOff>
    </xdr:from>
    <xdr:to>
      <xdr:col>2</xdr:col>
      <xdr:colOff>5327402</xdr:colOff>
      <xdr:row>57</xdr:row>
      <xdr:rowOff>2712356</xdr:rowOff>
    </xdr:to>
    <xdr:sp macro="" textlink="">
      <xdr:nvSpPr>
        <xdr:cNvPr id="2225" name="ZoneTexte 2224">
          <a:extLst>
            <a:ext uri="{FF2B5EF4-FFF2-40B4-BE49-F238E27FC236}">
              <a16:creationId xmlns:a16="http://schemas.microsoft.com/office/drawing/2014/main" id="{00000000-0008-0000-0E00-0000B1080000}"/>
            </a:ext>
          </a:extLst>
        </xdr:cNvPr>
        <xdr:cNvSpPr txBox="1"/>
      </xdr:nvSpPr>
      <xdr:spPr>
        <a:xfrm>
          <a:off x="7272770" y="223773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113</xdr:row>
      <xdr:rowOff>2412999</xdr:rowOff>
    </xdr:from>
    <xdr:to>
      <xdr:col>2</xdr:col>
      <xdr:colOff>5327402</xdr:colOff>
      <xdr:row>113</xdr:row>
      <xdr:rowOff>2712356</xdr:rowOff>
    </xdr:to>
    <xdr:sp macro="" textlink="">
      <xdr:nvSpPr>
        <xdr:cNvPr id="2230" name="ZoneTexte 2229">
          <a:extLst>
            <a:ext uri="{FF2B5EF4-FFF2-40B4-BE49-F238E27FC236}">
              <a16:creationId xmlns:a16="http://schemas.microsoft.com/office/drawing/2014/main" id="{00000000-0008-0000-0E00-0000B6080000}"/>
            </a:ext>
          </a:extLst>
        </xdr:cNvPr>
        <xdr:cNvSpPr txBox="1"/>
      </xdr:nvSpPr>
      <xdr:spPr>
        <a:xfrm>
          <a:off x="7272770" y="475329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113</xdr:row>
      <xdr:rowOff>2412999</xdr:rowOff>
    </xdr:from>
    <xdr:to>
      <xdr:col>2</xdr:col>
      <xdr:colOff>5327402</xdr:colOff>
      <xdr:row>113</xdr:row>
      <xdr:rowOff>2712356</xdr:rowOff>
    </xdr:to>
    <xdr:sp macro="" textlink="">
      <xdr:nvSpPr>
        <xdr:cNvPr id="2231" name="ZoneTexte 2230">
          <a:extLst>
            <a:ext uri="{FF2B5EF4-FFF2-40B4-BE49-F238E27FC236}">
              <a16:creationId xmlns:a16="http://schemas.microsoft.com/office/drawing/2014/main" id="{00000000-0008-0000-0E00-0000B7080000}"/>
            </a:ext>
          </a:extLst>
        </xdr:cNvPr>
        <xdr:cNvSpPr txBox="1"/>
      </xdr:nvSpPr>
      <xdr:spPr>
        <a:xfrm>
          <a:off x="7272770" y="475329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113</xdr:row>
      <xdr:rowOff>2412999</xdr:rowOff>
    </xdr:from>
    <xdr:to>
      <xdr:col>2</xdr:col>
      <xdr:colOff>5327402</xdr:colOff>
      <xdr:row>113</xdr:row>
      <xdr:rowOff>2712356</xdr:rowOff>
    </xdr:to>
    <xdr:sp macro="" textlink="">
      <xdr:nvSpPr>
        <xdr:cNvPr id="2232" name="ZoneTexte 2231">
          <a:extLst>
            <a:ext uri="{FF2B5EF4-FFF2-40B4-BE49-F238E27FC236}">
              <a16:creationId xmlns:a16="http://schemas.microsoft.com/office/drawing/2014/main" id="{00000000-0008-0000-0E00-0000B8080000}"/>
            </a:ext>
          </a:extLst>
        </xdr:cNvPr>
        <xdr:cNvSpPr txBox="1"/>
      </xdr:nvSpPr>
      <xdr:spPr>
        <a:xfrm>
          <a:off x="7272770" y="475329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113</xdr:row>
      <xdr:rowOff>2412999</xdr:rowOff>
    </xdr:from>
    <xdr:to>
      <xdr:col>2</xdr:col>
      <xdr:colOff>5327402</xdr:colOff>
      <xdr:row>113</xdr:row>
      <xdr:rowOff>2712356</xdr:rowOff>
    </xdr:to>
    <xdr:sp macro="" textlink="">
      <xdr:nvSpPr>
        <xdr:cNvPr id="2233" name="ZoneTexte 2232">
          <a:extLst>
            <a:ext uri="{FF2B5EF4-FFF2-40B4-BE49-F238E27FC236}">
              <a16:creationId xmlns:a16="http://schemas.microsoft.com/office/drawing/2014/main" id="{00000000-0008-0000-0E00-0000B9080000}"/>
            </a:ext>
          </a:extLst>
        </xdr:cNvPr>
        <xdr:cNvSpPr txBox="1"/>
      </xdr:nvSpPr>
      <xdr:spPr>
        <a:xfrm>
          <a:off x="7272770" y="4753292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6" name="ZoneTexte 5">
          <a:extLst>
            <a:ext uri="{FF2B5EF4-FFF2-40B4-BE49-F238E27FC236}">
              <a16:creationId xmlns:a16="http://schemas.microsoft.com/office/drawing/2014/main" id="{C396AC95-84BE-4CD5-995E-E1D982128556}"/>
            </a:ext>
          </a:extLst>
        </xdr:cNvPr>
        <xdr:cNvSpPr txBox="1"/>
      </xdr:nvSpPr>
      <xdr:spPr>
        <a:xfrm>
          <a:off x="7274502" y="899131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25</xdr:row>
      <xdr:rowOff>3706090</xdr:rowOff>
    </xdr:from>
    <xdr:to>
      <xdr:col>2</xdr:col>
      <xdr:colOff>5142675</xdr:colOff>
      <xdr:row>25</xdr:row>
      <xdr:rowOff>4005447</xdr:rowOff>
    </xdr:to>
    <xdr:sp macro="" textlink="">
      <xdr:nvSpPr>
        <xdr:cNvPr id="7" name="ZoneTexte 6">
          <a:extLst>
            <a:ext uri="{FF2B5EF4-FFF2-40B4-BE49-F238E27FC236}">
              <a16:creationId xmlns:a16="http://schemas.microsoft.com/office/drawing/2014/main" id="{0176A554-981B-4FDB-8AD7-9C3C496ECA50}"/>
            </a:ext>
          </a:extLst>
        </xdr:cNvPr>
        <xdr:cNvSpPr txBox="1"/>
      </xdr:nvSpPr>
      <xdr:spPr>
        <a:xfrm>
          <a:off x="7280275" y="8989001"/>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8" name="ZoneTexte 7">
          <a:extLst>
            <a:ext uri="{FF2B5EF4-FFF2-40B4-BE49-F238E27FC236}">
              <a16:creationId xmlns:a16="http://schemas.microsoft.com/office/drawing/2014/main" id="{60F4D5A3-487B-4D1E-9BE8-CB9FCB6EF651}"/>
            </a:ext>
          </a:extLst>
        </xdr:cNvPr>
        <xdr:cNvSpPr txBox="1"/>
      </xdr:nvSpPr>
      <xdr:spPr>
        <a:xfrm>
          <a:off x="7274502" y="8991310"/>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25</xdr:row>
      <xdr:rowOff>3706090</xdr:rowOff>
    </xdr:from>
    <xdr:to>
      <xdr:col>2</xdr:col>
      <xdr:colOff>5142675</xdr:colOff>
      <xdr:row>25</xdr:row>
      <xdr:rowOff>4005447</xdr:rowOff>
    </xdr:to>
    <xdr:sp macro="" textlink="">
      <xdr:nvSpPr>
        <xdr:cNvPr id="9" name="ZoneTexte 8">
          <a:extLst>
            <a:ext uri="{FF2B5EF4-FFF2-40B4-BE49-F238E27FC236}">
              <a16:creationId xmlns:a16="http://schemas.microsoft.com/office/drawing/2014/main" id="{B00EAA34-FBFE-46C8-B70B-16E1034BA0F8}"/>
            </a:ext>
          </a:extLst>
        </xdr:cNvPr>
        <xdr:cNvSpPr txBox="1"/>
      </xdr:nvSpPr>
      <xdr:spPr>
        <a:xfrm>
          <a:off x="7280275" y="8989001"/>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10" name="ZoneTexte 9">
          <a:extLst>
            <a:ext uri="{FF2B5EF4-FFF2-40B4-BE49-F238E27FC236}">
              <a16:creationId xmlns:a16="http://schemas.microsoft.com/office/drawing/2014/main" id="{B3D660BF-E15E-495A-9FC7-335A74D762FB}"/>
            </a:ext>
          </a:extLst>
        </xdr:cNvPr>
        <xdr:cNvSpPr txBox="1"/>
      </xdr:nvSpPr>
      <xdr:spPr>
        <a:xfrm>
          <a:off x="7274502" y="936798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11" name="ZoneTexte 10">
          <a:extLst>
            <a:ext uri="{FF2B5EF4-FFF2-40B4-BE49-F238E27FC236}">
              <a16:creationId xmlns:a16="http://schemas.microsoft.com/office/drawing/2014/main" id="{C34C907C-7030-4503-B036-7D7DA8F6B304}"/>
            </a:ext>
          </a:extLst>
        </xdr:cNvPr>
        <xdr:cNvSpPr txBox="1"/>
      </xdr:nvSpPr>
      <xdr:spPr>
        <a:xfrm>
          <a:off x="7274502" y="936798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12" name="ZoneTexte 11">
          <a:extLst>
            <a:ext uri="{FF2B5EF4-FFF2-40B4-BE49-F238E27FC236}">
              <a16:creationId xmlns:a16="http://schemas.microsoft.com/office/drawing/2014/main" id="{D57D7C78-12E7-4BA6-9D30-7882604FA4E7}"/>
            </a:ext>
          </a:extLst>
        </xdr:cNvPr>
        <xdr:cNvSpPr txBox="1"/>
      </xdr:nvSpPr>
      <xdr:spPr>
        <a:xfrm>
          <a:off x="7274502" y="936798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xdr:row>
      <xdr:rowOff>3706090</xdr:rowOff>
    </xdr:from>
    <xdr:to>
      <xdr:col>2</xdr:col>
      <xdr:colOff>5142675</xdr:colOff>
      <xdr:row>26</xdr:row>
      <xdr:rowOff>4005447</xdr:rowOff>
    </xdr:to>
    <xdr:sp macro="" textlink="">
      <xdr:nvSpPr>
        <xdr:cNvPr id="13" name="ZoneTexte 12">
          <a:extLst>
            <a:ext uri="{FF2B5EF4-FFF2-40B4-BE49-F238E27FC236}">
              <a16:creationId xmlns:a16="http://schemas.microsoft.com/office/drawing/2014/main" id="{DBBE16FA-9FF9-4803-9672-2EDE0B2138C7}"/>
            </a:ext>
          </a:extLst>
        </xdr:cNvPr>
        <xdr:cNvSpPr txBox="1"/>
      </xdr:nvSpPr>
      <xdr:spPr>
        <a:xfrm>
          <a:off x="7280275" y="936567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14" name="ZoneTexte 13">
          <a:extLst>
            <a:ext uri="{FF2B5EF4-FFF2-40B4-BE49-F238E27FC236}">
              <a16:creationId xmlns:a16="http://schemas.microsoft.com/office/drawing/2014/main" id="{990708F7-0079-4C94-9DED-35F2166DEBEE}"/>
            </a:ext>
          </a:extLst>
        </xdr:cNvPr>
        <xdr:cNvSpPr txBox="1"/>
      </xdr:nvSpPr>
      <xdr:spPr>
        <a:xfrm>
          <a:off x="7274502" y="936798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xdr:row>
      <xdr:rowOff>3706090</xdr:rowOff>
    </xdr:from>
    <xdr:to>
      <xdr:col>2</xdr:col>
      <xdr:colOff>5142675</xdr:colOff>
      <xdr:row>26</xdr:row>
      <xdr:rowOff>4005447</xdr:rowOff>
    </xdr:to>
    <xdr:sp macro="" textlink="">
      <xdr:nvSpPr>
        <xdr:cNvPr id="15" name="ZoneTexte 14">
          <a:extLst>
            <a:ext uri="{FF2B5EF4-FFF2-40B4-BE49-F238E27FC236}">
              <a16:creationId xmlns:a16="http://schemas.microsoft.com/office/drawing/2014/main" id="{A6C2BA49-8BC1-4FD0-AE7D-DA7954644924}"/>
            </a:ext>
          </a:extLst>
        </xdr:cNvPr>
        <xdr:cNvSpPr txBox="1"/>
      </xdr:nvSpPr>
      <xdr:spPr>
        <a:xfrm>
          <a:off x="7280275" y="936567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16" name="ZoneTexte 15">
          <a:extLst>
            <a:ext uri="{FF2B5EF4-FFF2-40B4-BE49-F238E27FC236}">
              <a16:creationId xmlns:a16="http://schemas.microsoft.com/office/drawing/2014/main" id="{A8FF1688-BBCC-4A33-BB67-EF284CB936F5}"/>
            </a:ext>
          </a:extLst>
        </xdr:cNvPr>
        <xdr:cNvSpPr txBox="1"/>
      </xdr:nvSpPr>
      <xdr:spPr>
        <a:xfrm>
          <a:off x="7274502" y="936798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17" name="ZoneTexte 16">
          <a:extLst>
            <a:ext uri="{FF2B5EF4-FFF2-40B4-BE49-F238E27FC236}">
              <a16:creationId xmlns:a16="http://schemas.microsoft.com/office/drawing/2014/main" id="{8886E301-3C27-4B73-A1E8-381A06C17DA5}"/>
            </a:ext>
          </a:extLst>
        </xdr:cNvPr>
        <xdr:cNvSpPr txBox="1"/>
      </xdr:nvSpPr>
      <xdr:spPr>
        <a:xfrm>
          <a:off x="7274502" y="936798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18" name="ZoneTexte 17">
          <a:extLst>
            <a:ext uri="{FF2B5EF4-FFF2-40B4-BE49-F238E27FC236}">
              <a16:creationId xmlns:a16="http://schemas.microsoft.com/office/drawing/2014/main" id="{FECB97CF-8C14-473A-844E-C8B539356000}"/>
            </a:ext>
          </a:extLst>
        </xdr:cNvPr>
        <xdr:cNvSpPr txBox="1"/>
      </xdr:nvSpPr>
      <xdr:spPr>
        <a:xfrm>
          <a:off x="7274502" y="936798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xdr:row>
      <xdr:rowOff>3706090</xdr:rowOff>
    </xdr:from>
    <xdr:to>
      <xdr:col>2</xdr:col>
      <xdr:colOff>5142675</xdr:colOff>
      <xdr:row>31</xdr:row>
      <xdr:rowOff>4005447</xdr:rowOff>
    </xdr:to>
    <xdr:sp macro="" textlink="">
      <xdr:nvSpPr>
        <xdr:cNvPr id="19" name="ZoneTexte 18">
          <a:extLst>
            <a:ext uri="{FF2B5EF4-FFF2-40B4-BE49-F238E27FC236}">
              <a16:creationId xmlns:a16="http://schemas.microsoft.com/office/drawing/2014/main" id="{62472108-10A7-4070-944F-9CE002F2688D}"/>
            </a:ext>
          </a:extLst>
        </xdr:cNvPr>
        <xdr:cNvSpPr txBox="1"/>
      </xdr:nvSpPr>
      <xdr:spPr>
        <a:xfrm>
          <a:off x="7280275" y="936567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20" name="ZoneTexte 19">
          <a:extLst>
            <a:ext uri="{FF2B5EF4-FFF2-40B4-BE49-F238E27FC236}">
              <a16:creationId xmlns:a16="http://schemas.microsoft.com/office/drawing/2014/main" id="{C330C24B-2A2B-4E45-BB4E-094B885B8841}"/>
            </a:ext>
          </a:extLst>
        </xdr:cNvPr>
        <xdr:cNvSpPr txBox="1"/>
      </xdr:nvSpPr>
      <xdr:spPr>
        <a:xfrm>
          <a:off x="7274502" y="936798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31</xdr:row>
      <xdr:rowOff>3706090</xdr:rowOff>
    </xdr:from>
    <xdr:to>
      <xdr:col>2</xdr:col>
      <xdr:colOff>5142675</xdr:colOff>
      <xdr:row>31</xdr:row>
      <xdr:rowOff>4005447</xdr:rowOff>
    </xdr:to>
    <xdr:sp macro="" textlink="">
      <xdr:nvSpPr>
        <xdr:cNvPr id="21" name="ZoneTexte 20">
          <a:extLst>
            <a:ext uri="{FF2B5EF4-FFF2-40B4-BE49-F238E27FC236}">
              <a16:creationId xmlns:a16="http://schemas.microsoft.com/office/drawing/2014/main" id="{EDFABBD0-903A-4ED3-80D6-21DA68F4C397}"/>
            </a:ext>
          </a:extLst>
        </xdr:cNvPr>
        <xdr:cNvSpPr txBox="1"/>
      </xdr:nvSpPr>
      <xdr:spPr>
        <a:xfrm>
          <a:off x="7280275" y="936567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xdr:row>
      <xdr:rowOff>2412999</xdr:rowOff>
    </xdr:from>
    <xdr:to>
      <xdr:col>2</xdr:col>
      <xdr:colOff>5327402</xdr:colOff>
      <xdr:row>32</xdr:row>
      <xdr:rowOff>2712356</xdr:rowOff>
    </xdr:to>
    <xdr:sp macro="" textlink="">
      <xdr:nvSpPr>
        <xdr:cNvPr id="22" name="ZoneTexte 21">
          <a:extLst>
            <a:ext uri="{FF2B5EF4-FFF2-40B4-BE49-F238E27FC236}">
              <a16:creationId xmlns:a16="http://schemas.microsoft.com/office/drawing/2014/main" id="{92B54573-E8E2-4114-AA03-5C9D8B73E52F}"/>
            </a:ext>
          </a:extLst>
        </xdr:cNvPr>
        <xdr:cNvSpPr txBox="1"/>
      </xdr:nvSpPr>
      <xdr:spPr>
        <a:xfrm>
          <a:off x="7274502" y="974681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xdr:row>
      <xdr:rowOff>2412999</xdr:rowOff>
    </xdr:from>
    <xdr:to>
      <xdr:col>2</xdr:col>
      <xdr:colOff>5327402</xdr:colOff>
      <xdr:row>32</xdr:row>
      <xdr:rowOff>2712356</xdr:rowOff>
    </xdr:to>
    <xdr:sp macro="" textlink="">
      <xdr:nvSpPr>
        <xdr:cNvPr id="23" name="ZoneTexte 22">
          <a:extLst>
            <a:ext uri="{FF2B5EF4-FFF2-40B4-BE49-F238E27FC236}">
              <a16:creationId xmlns:a16="http://schemas.microsoft.com/office/drawing/2014/main" id="{508D45B8-B220-466C-9ECD-E629BCD0CE04}"/>
            </a:ext>
          </a:extLst>
        </xdr:cNvPr>
        <xdr:cNvSpPr txBox="1"/>
      </xdr:nvSpPr>
      <xdr:spPr>
        <a:xfrm>
          <a:off x="7274502" y="974681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xdr:row>
      <xdr:rowOff>2412999</xdr:rowOff>
    </xdr:from>
    <xdr:to>
      <xdr:col>2</xdr:col>
      <xdr:colOff>5327402</xdr:colOff>
      <xdr:row>32</xdr:row>
      <xdr:rowOff>2712356</xdr:rowOff>
    </xdr:to>
    <xdr:sp macro="" textlink="">
      <xdr:nvSpPr>
        <xdr:cNvPr id="24" name="ZoneTexte 23">
          <a:extLst>
            <a:ext uri="{FF2B5EF4-FFF2-40B4-BE49-F238E27FC236}">
              <a16:creationId xmlns:a16="http://schemas.microsoft.com/office/drawing/2014/main" id="{F74C6811-5D7B-4381-9101-51178A8BE929}"/>
            </a:ext>
          </a:extLst>
        </xdr:cNvPr>
        <xdr:cNvSpPr txBox="1"/>
      </xdr:nvSpPr>
      <xdr:spPr>
        <a:xfrm>
          <a:off x="7274502" y="974681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32</xdr:row>
      <xdr:rowOff>3706090</xdr:rowOff>
    </xdr:from>
    <xdr:to>
      <xdr:col>2</xdr:col>
      <xdr:colOff>5142675</xdr:colOff>
      <xdr:row>32</xdr:row>
      <xdr:rowOff>4005447</xdr:rowOff>
    </xdr:to>
    <xdr:sp macro="" textlink="">
      <xdr:nvSpPr>
        <xdr:cNvPr id="25" name="ZoneTexte 24">
          <a:extLst>
            <a:ext uri="{FF2B5EF4-FFF2-40B4-BE49-F238E27FC236}">
              <a16:creationId xmlns:a16="http://schemas.microsoft.com/office/drawing/2014/main" id="{9CC823B8-3626-4A5A-8867-9043B00D2927}"/>
            </a:ext>
          </a:extLst>
        </xdr:cNvPr>
        <xdr:cNvSpPr txBox="1"/>
      </xdr:nvSpPr>
      <xdr:spPr>
        <a:xfrm>
          <a:off x="7280275" y="9744507"/>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32</xdr:row>
      <xdr:rowOff>2412999</xdr:rowOff>
    </xdr:from>
    <xdr:to>
      <xdr:col>2</xdr:col>
      <xdr:colOff>5327402</xdr:colOff>
      <xdr:row>32</xdr:row>
      <xdr:rowOff>2712356</xdr:rowOff>
    </xdr:to>
    <xdr:sp macro="" textlink="">
      <xdr:nvSpPr>
        <xdr:cNvPr id="26" name="ZoneTexte 25">
          <a:extLst>
            <a:ext uri="{FF2B5EF4-FFF2-40B4-BE49-F238E27FC236}">
              <a16:creationId xmlns:a16="http://schemas.microsoft.com/office/drawing/2014/main" id="{FB8ADE31-2B0C-4B02-B1B9-9DE49CEBE651}"/>
            </a:ext>
          </a:extLst>
        </xdr:cNvPr>
        <xdr:cNvSpPr txBox="1"/>
      </xdr:nvSpPr>
      <xdr:spPr>
        <a:xfrm>
          <a:off x="7274502" y="974681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32</xdr:row>
      <xdr:rowOff>3706090</xdr:rowOff>
    </xdr:from>
    <xdr:to>
      <xdr:col>2</xdr:col>
      <xdr:colOff>5142675</xdr:colOff>
      <xdr:row>32</xdr:row>
      <xdr:rowOff>4005447</xdr:rowOff>
    </xdr:to>
    <xdr:sp macro="" textlink="">
      <xdr:nvSpPr>
        <xdr:cNvPr id="27" name="ZoneTexte 26">
          <a:extLst>
            <a:ext uri="{FF2B5EF4-FFF2-40B4-BE49-F238E27FC236}">
              <a16:creationId xmlns:a16="http://schemas.microsoft.com/office/drawing/2014/main" id="{B0E8E0C4-E4F3-4B08-BD6F-FD2DBF15836C}"/>
            </a:ext>
          </a:extLst>
        </xdr:cNvPr>
        <xdr:cNvSpPr txBox="1"/>
      </xdr:nvSpPr>
      <xdr:spPr>
        <a:xfrm>
          <a:off x="7280275" y="9744507"/>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37</xdr:row>
      <xdr:rowOff>2412999</xdr:rowOff>
    </xdr:from>
    <xdr:to>
      <xdr:col>2</xdr:col>
      <xdr:colOff>5327402</xdr:colOff>
      <xdr:row>37</xdr:row>
      <xdr:rowOff>2712356</xdr:rowOff>
    </xdr:to>
    <xdr:sp macro="" textlink="">
      <xdr:nvSpPr>
        <xdr:cNvPr id="28" name="ZoneTexte 27">
          <a:extLst>
            <a:ext uri="{FF2B5EF4-FFF2-40B4-BE49-F238E27FC236}">
              <a16:creationId xmlns:a16="http://schemas.microsoft.com/office/drawing/2014/main" id="{3B5468CD-063C-4A0F-AC2F-6E8363B623DA}"/>
            </a:ext>
          </a:extLst>
        </xdr:cNvPr>
        <xdr:cNvSpPr txBox="1"/>
      </xdr:nvSpPr>
      <xdr:spPr>
        <a:xfrm>
          <a:off x="7274502" y="1165181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37</xdr:row>
      <xdr:rowOff>2412999</xdr:rowOff>
    </xdr:from>
    <xdr:to>
      <xdr:col>2</xdr:col>
      <xdr:colOff>5327402</xdr:colOff>
      <xdr:row>37</xdr:row>
      <xdr:rowOff>2712356</xdr:rowOff>
    </xdr:to>
    <xdr:sp macro="" textlink="">
      <xdr:nvSpPr>
        <xdr:cNvPr id="29" name="ZoneTexte 28">
          <a:extLst>
            <a:ext uri="{FF2B5EF4-FFF2-40B4-BE49-F238E27FC236}">
              <a16:creationId xmlns:a16="http://schemas.microsoft.com/office/drawing/2014/main" id="{DE2B2E90-A4C2-4ECD-BAE2-EAA5E6BAC72B}"/>
            </a:ext>
          </a:extLst>
        </xdr:cNvPr>
        <xdr:cNvSpPr txBox="1"/>
      </xdr:nvSpPr>
      <xdr:spPr>
        <a:xfrm>
          <a:off x="7274502" y="1165181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37</xdr:row>
      <xdr:rowOff>2412999</xdr:rowOff>
    </xdr:from>
    <xdr:to>
      <xdr:col>2</xdr:col>
      <xdr:colOff>5327402</xdr:colOff>
      <xdr:row>37</xdr:row>
      <xdr:rowOff>2712356</xdr:rowOff>
    </xdr:to>
    <xdr:sp macro="" textlink="">
      <xdr:nvSpPr>
        <xdr:cNvPr id="30" name="ZoneTexte 29">
          <a:extLst>
            <a:ext uri="{FF2B5EF4-FFF2-40B4-BE49-F238E27FC236}">
              <a16:creationId xmlns:a16="http://schemas.microsoft.com/office/drawing/2014/main" id="{4FED2C07-229A-43EB-83BE-E9275F201939}"/>
            </a:ext>
          </a:extLst>
        </xdr:cNvPr>
        <xdr:cNvSpPr txBox="1"/>
      </xdr:nvSpPr>
      <xdr:spPr>
        <a:xfrm>
          <a:off x="7274502" y="1165181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37</xdr:row>
      <xdr:rowOff>2412999</xdr:rowOff>
    </xdr:from>
    <xdr:to>
      <xdr:col>2</xdr:col>
      <xdr:colOff>5327402</xdr:colOff>
      <xdr:row>37</xdr:row>
      <xdr:rowOff>2712356</xdr:rowOff>
    </xdr:to>
    <xdr:sp macro="" textlink="">
      <xdr:nvSpPr>
        <xdr:cNvPr id="31" name="ZoneTexte 30">
          <a:extLst>
            <a:ext uri="{FF2B5EF4-FFF2-40B4-BE49-F238E27FC236}">
              <a16:creationId xmlns:a16="http://schemas.microsoft.com/office/drawing/2014/main" id="{02A51E80-BEF9-457F-AF54-DDC83EF2D1C9}"/>
            </a:ext>
          </a:extLst>
        </xdr:cNvPr>
        <xdr:cNvSpPr txBox="1"/>
      </xdr:nvSpPr>
      <xdr:spPr>
        <a:xfrm>
          <a:off x="7274502" y="1165181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37</xdr:row>
      <xdr:rowOff>2412999</xdr:rowOff>
    </xdr:from>
    <xdr:to>
      <xdr:col>2</xdr:col>
      <xdr:colOff>5327402</xdr:colOff>
      <xdr:row>37</xdr:row>
      <xdr:rowOff>2712356</xdr:rowOff>
    </xdr:to>
    <xdr:sp macro="" textlink="">
      <xdr:nvSpPr>
        <xdr:cNvPr id="32" name="ZoneTexte 31">
          <a:extLst>
            <a:ext uri="{FF2B5EF4-FFF2-40B4-BE49-F238E27FC236}">
              <a16:creationId xmlns:a16="http://schemas.microsoft.com/office/drawing/2014/main" id="{CFC4DC8F-FC0C-466A-A64E-140196F0C168}"/>
            </a:ext>
          </a:extLst>
        </xdr:cNvPr>
        <xdr:cNvSpPr txBox="1"/>
      </xdr:nvSpPr>
      <xdr:spPr>
        <a:xfrm>
          <a:off x="7274502" y="1165181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37</xdr:row>
      <xdr:rowOff>2412999</xdr:rowOff>
    </xdr:from>
    <xdr:to>
      <xdr:col>2</xdr:col>
      <xdr:colOff>5327402</xdr:colOff>
      <xdr:row>37</xdr:row>
      <xdr:rowOff>2712356</xdr:rowOff>
    </xdr:to>
    <xdr:sp macro="" textlink="">
      <xdr:nvSpPr>
        <xdr:cNvPr id="33" name="ZoneTexte 32">
          <a:extLst>
            <a:ext uri="{FF2B5EF4-FFF2-40B4-BE49-F238E27FC236}">
              <a16:creationId xmlns:a16="http://schemas.microsoft.com/office/drawing/2014/main" id="{8400C40B-B7E5-40D3-BD2D-FEBFA5122984}"/>
            </a:ext>
          </a:extLst>
        </xdr:cNvPr>
        <xdr:cNvSpPr txBox="1"/>
      </xdr:nvSpPr>
      <xdr:spPr>
        <a:xfrm>
          <a:off x="7274502" y="1165181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37</xdr:row>
      <xdr:rowOff>2412999</xdr:rowOff>
    </xdr:from>
    <xdr:to>
      <xdr:col>2</xdr:col>
      <xdr:colOff>5327402</xdr:colOff>
      <xdr:row>37</xdr:row>
      <xdr:rowOff>2712356</xdr:rowOff>
    </xdr:to>
    <xdr:sp macro="" textlink="">
      <xdr:nvSpPr>
        <xdr:cNvPr id="34" name="ZoneTexte 33">
          <a:extLst>
            <a:ext uri="{FF2B5EF4-FFF2-40B4-BE49-F238E27FC236}">
              <a16:creationId xmlns:a16="http://schemas.microsoft.com/office/drawing/2014/main" id="{28F3FCC2-368D-44F6-A36D-21DF4E032E2B}"/>
            </a:ext>
          </a:extLst>
        </xdr:cNvPr>
        <xdr:cNvSpPr txBox="1"/>
      </xdr:nvSpPr>
      <xdr:spPr>
        <a:xfrm>
          <a:off x="7274502" y="1165181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37</xdr:row>
      <xdr:rowOff>3706090</xdr:rowOff>
    </xdr:from>
    <xdr:to>
      <xdr:col>2</xdr:col>
      <xdr:colOff>5142675</xdr:colOff>
      <xdr:row>37</xdr:row>
      <xdr:rowOff>4005447</xdr:rowOff>
    </xdr:to>
    <xdr:sp macro="" textlink="">
      <xdr:nvSpPr>
        <xdr:cNvPr id="35" name="ZoneTexte 34">
          <a:extLst>
            <a:ext uri="{FF2B5EF4-FFF2-40B4-BE49-F238E27FC236}">
              <a16:creationId xmlns:a16="http://schemas.microsoft.com/office/drawing/2014/main" id="{C81E3A21-744C-472D-94CC-547F9E0309F1}"/>
            </a:ext>
          </a:extLst>
        </xdr:cNvPr>
        <xdr:cNvSpPr txBox="1"/>
      </xdr:nvSpPr>
      <xdr:spPr>
        <a:xfrm>
          <a:off x="7280275" y="11649507"/>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37</xdr:row>
      <xdr:rowOff>2412999</xdr:rowOff>
    </xdr:from>
    <xdr:to>
      <xdr:col>2</xdr:col>
      <xdr:colOff>5327402</xdr:colOff>
      <xdr:row>37</xdr:row>
      <xdr:rowOff>2712356</xdr:rowOff>
    </xdr:to>
    <xdr:sp macro="" textlink="">
      <xdr:nvSpPr>
        <xdr:cNvPr id="36" name="ZoneTexte 35">
          <a:extLst>
            <a:ext uri="{FF2B5EF4-FFF2-40B4-BE49-F238E27FC236}">
              <a16:creationId xmlns:a16="http://schemas.microsoft.com/office/drawing/2014/main" id="{9199EE89-0868-4F2C-86C3-0B91B829E7AA}"/>
            </a:ext>
          </a:extLst>
        </xdr:cNvPr>
        <xdr:cNvSpPr txBox="1"/>
      </xdr:nvSpPr>
      <xdr:spPr>
        <a:xfrm>
          <a:off x="7274502" y="1165181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37</xdr:row>
      <xdr:rowOff>3706090</xdr:rowOff>
    </xdr:from>
    <xdr:to>
      <xdr:col>2</xdr:col>
      <xdr:colOff>5142675</xdr:colOff>
      <xdr:row>37</xdr:row>
      <xdr:rowOff>4005447</xdr:rowOff>
    </xdr:to>
    <xdr:sp macro="" textlink="">
      <xdr:nvSpPr>
        <xdr:cNvPr id="37" name="ZoneTexte 36">
          <a:extLst>
            <a:ext uri="{FF2B5EF4-FFF2-40B4-BE49-F238E27FC236}">
              <a16:creationId xmlns:a16="http://schemas.microsoft.com/office/drawing/2014/main" id="{8991DF97-D829-4699-A9A3-EE7DCDD50F63}"/>
            </a:ext>
          </a:extLst>
        </xdr:cNvPr>
        <xdr:cNvSpPr txBox="1"/>
      </xdr:nvSpPr>
      <xdr:spPr>
        <a:xfrm>
          <a:off x="7280275" y="11649507"/>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38</xdr:row>
      <xdr:rowOff>2412999</xdr:rowOff>
    </xdr:from>
    <xdr:to>
      <xdr:col>2</xdr:col>
      <xdr:colOff>5327402</xdr:colOff>
      <xdr:row>38</xdr:row>
      <xdr:rowOff>2712356</xdr:rowOff>
    </xdr:to>
    <xdr:sp macro="" textlink="">
      <xdr:nvSpPr>
        <xdr:cNvPr id="38" name="ZoneTexte 37">
          <a:extLst>
            <a:ext uri="{FF2B5EF4-FFF2-40B4-BE49-F238E27FC236}">
              <a16:creationId xmlns:a16="http://schemas.microsoft.com/office/drawing/2014/main" id="{3B65C19A-20C2-4171-972C-91A77B0452A7}"/>
            </a:ext>
          </a:extLst>
        </xdr:cNvPr>
        <xdr:cNvSpPr txBox="1"/>
      </xdr:nvSpPr>
      <xdr:spPr>
        <a:xfrm>
          <a:off x="7274502" y="1203065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38</xdr:row>
      <xdr:rowOff>2412999</xdr:rowOff>
    </xdr:from>
    <xdr:to>
      <xdr:col>2</xdr:col>
      <xdr:colOff>5327402</xdr:colOff>
      <xdr:row>38</xdr:row>
      <xdr:rowOff>2712356</xdr:rowOff>
    </xdr:to>
    <xdr:sp macro="" textlink="">
      <xdr:nvSpPr>
        <xdr:cNvPr id="39" name="ZoneTexte 38">
          <a:extLst>
            <a:ext uri="{FF2B5EF4-FFF2-40B4-BE49-F238E27FC236}">
              <a16:creationId xmlns:a16="http://schemas.microsoft.com/office/drawing/2014/main" id="{B2DF44B4-04B6-40BC-A392-2E8E8270F0A6}"/>
            </a:ext>
          </a:extLst>
        </xdr:cNvPr>
        <xdr:cNvSpPr txBox="1"/>
      </xdr:nvSpPr>
      <xdr:spPr>
        <a:xfrm>
          <a:off x="7274502" y="1203065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38</xdr:row>
      <xdr:rowOff>2412999</xdr:rowOff>
    </xdr:from>
    <xdr:to>
      <xdr:col>2</xdr:col>
      <xdr:colOff>5327402</xdr:colOff>
      <xdr:row>38</xdr:row>
      <xdr:rowOff>2712356</xdr:rowOff>
    </xdr:to>
    <xdr:sp macro="" textlink="">
      <xdr:nvSpPr>
        <xdr:cNvPr id="40" name="ZoneTexte 39">
          <a:extLst>
            <a:ext uri="{FF2B5EF4-FFF2-40B4-BE49-F238E27FC236}">
              <a16:creationId xmlns:a16="http://schemas.microsoft.com/office/drawing/2014/main" id="{5A685731-1E15-4054-A83A-B86384DCE18B}"/>
            </a:ext>
          </a:extLst>
        </xdr:cNvPr>
        <xdr:cNvSpPr txBox="1"/>
      </xdr:nvSpPr>
      <xdr:spPr>
        <a:xfrm>
          <a:off x="7274502" y="1203065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38</xdr:row>
      <xdr:rowOff>3706090</xdr:rowOff>
    </xdr:from>
    <xdr:to>
      <xdr:col>2</xdr:col>
      <xdr:colOff>5142675</xdr:colOff>
      <xdr:row>38</xdr:row>
      <xdr:rowOff>4005447</xdr:rowOff>
    </xdr:to>
    <xdr:sp macro="" textlink="">
      <xdr:nvSpPr>
        <xdr:cNvPr id="41" name="ZoneTexte 40">
          <a:extLst>
            <a:ext uri="{FF2B5EF4-FFF2-40B4-BE49-F238E27FC236}">
              <a16:creationId xmlns:a16="http://schemas.microsoft.com/office/drawing/2014/main" id="{162B76E7-3A1F-4D93-8C2A-77F82608B063}"/>
            </a:ext>
          </a:extLst>
        </xdr:cNvPr>
        <xdr:cNvSpPr txBox="1"/>
      </xdr:nvSpPr>
      <xdr:spPr>
        <a:xfrm>
          <a:off x="7280275" y="1202834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38</xdr:row>
      <xdr:rowOff>2412999</xdr:rowOff>
    </xdr:from>
    <xdr:to>
      <xdr:col>2</xdr:col>
      <xdr:colOff>5327402</xdr:colOff>
      <xdr:row>38</xdr:row>
      <xdr:rowOff>2712356</xdr:rowOff>
    </xdr:to>
    <xdr:sp macro="" textlink="">
      <xdr:nvSpPr>
        <xdr:cNvPr id="42" name="ZoneTexte 41">
          <a:extLst>
            <a:ext uri="{FF2B5EF4-FFF2-40B4-BE49-F238E27FC236}">
              <a16:creationId xmlns:a16="http://schemas.microsoft.com/office/drawing/2014/main" id="{FA15445C-261A-41BD-8D14-F3EBB531EE77}"/>
            </a:ext>
          </a:extLst>
        </xdr:cNvPr>
        <xdr:cNvSpPr txBox="1"/>
      </xdr:nvSpPr>
      <xdr:spPr>
        <a:xfrm>
          <a:off x="7274502" y="1203065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38</xdr:row>
      <xdr:rowOff>3706090</xdr:rowOff>
    </xdr:from>
    <xdr:to>
      <xdr:col>2</xdr:col>
      <xdr:colOff>5142675</xdr:colOff>
      <xdr:row>38</xdr:row>
      <xdr:rowOff>4005447</xdr:rowOff>
    </xdr:to>
    <xdr:sp macro="" textlink="">
      <xdr:nvSpPr>
        <xdr:cNvPr id="43" name="ZoneTexte 42">
          <a:extLst>
            <a:ext uri="{FF2B5EF4-FFF2-40B4-BE49-F238E27FC236}">
              <a16:creationId xmlns:a16="http://schemas.microsoft.com/office/drawing/2014/main" id="{EAE3241D-9B4D-495D-84E2-ED2CB4BE8B56}"/>
            </a:ext>
          </a:extLst>
        </xdr:cNvPr>
        <xdr:cNvSpPr txBox="1"/>
      </xdr:nvSpPr>
      <xdr:spPr>
        <a:xfrm>
          <a:off x="7280275" y="1202834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2" name="ZoneTexte 1">
          <a:extLst>
            <a:ext uri="{FF2B5EF4-FFF2-40B4-BE49-F238E27FC236}">
              <a16:creationId xmlns:a16="http://schemas.microsoft.com/office/drawing/2014/main" id="{4EADD88F-E319-480F-A4E2-9F9EB0FEFD0E}"/>
            </a:ext>
          </a:extLst>
        </xdr:cNvPr>
        <xdr:cNvSpPr txBox="1"/>
      </xdr:nvSpPr>
      <xdr:spPr>
        <a:xfrm>
          <a:off x="7274502" y="803967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44</xdr:row>
      <xdr:rowOff>3706090</xdr:rowOff>
    </xdr:from>
    <xdr:to>
      <xdr:col>2</xdr:col>
      <xdr:colOff>5142675</xdr:colOff>
      <xdr:row>44</xdr:row>
      <xdr:rowOff>4005447</xdr:rowOff>
    </xdr:to>
    <xdr:sp macro="" textlink="">
      <xdr:nvSpPr>
        <xdr:cNvPr id="3" name="ZoneTexte 2">
          <a:extLst>
            <a:ext uri="{FF2B5EF4-FFF2-40B4-BE49-F238E27FC236}">
              <a16:creationId xmlns:a16="http://schemas.microsoft.com/office/drawing/2014/main" id="{12309249-5424-49E1-9D3C-F72DEF9826B4}"/>
            </a:ext>
          </a:extLst>
        </xdr:cNvPr>
        <xdr:cNvSpPr txBox="1"/>
      </xdr:nvSpPr>
      <xdr:spPr>
        <a:xfrm>
          <a:off x="7280275" y="8037367"/>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4" name="ZoneTexte 3">
          <a:extLst>
            <a:ext uri="{FF2B5EF4-FFF2-40B4-BE49-F238E27FC236}">
              <a16:creationId xmlns:a16="http://schemas.microsoft.com/office/drawing/2014/main" id="{ADBC373F-A934-47FC-A91F-418FA45C6432}"/>
            </a:ext>
          </a:extLst>
        </xdr:cNvPr>
        <xdr:cNvSpPr txBox="1"/>
      </xdr:nvSpPr>
      <xdr:spPr>
        <a:xfrm>
          <a:off x="7274502" y="803967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5" name="ZoneTexte 4">
          <a:extLst>
            <a:ext uri="{FF2B5EF4-FFF2-40B4-BE49-F238E27FC236}">
              <a16:creationId xmlns:a16="http://schemas.microsoft.com/office/drawing/2014/main" id="{32891B71-0D11-4477-9ECD-B2261825649C}"/>
            </a:ext>
          </a:extLst>
        </xdr:cNvPr>
        <xdr:cNvSpPr txBox="1"/>
      </xdr:nvSpPr>
      <xdr:spPr>
        <a:xfrm>
          <a:off x="7274502" y="803967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44</xdr:row>
      <xdr:rowOff>3706090</xdr:rowOff>
    </xdr:from>
    <xdr:to>
      <xdr:col>2</xdr:col>
      <xdr:colOff>5142675</xdr:colOff>
      <xdr:row>44</xdr:row>
      <xdr:rowOff>4005447</xdr:rowOff>
    </xdr:to>
    <xdr:sp macro="" textlink="">
      <xdr:nvSpPr>
        <xdr:cNvPr id="45" name="ZoneTexte 44">
          <a:extLst>
            <a:ext uri="{FF2B5EF4-FFF2-40B4-BE49-F238E27FC236}">
              <a16:creationId xmlns:a16="http://schemas.microsoft.com/office/drawing/2014/main" id="{1D5D8490-534D-42DB-8099-C5546C2A14FD}"/>
            </a:ext>
          </a:extLst>
        </xdr:cNvPr>
        <xdr:cNvSpPr txBox="1"/>
      </xdr:nvSpPr>
      <xdr:spPr>
        <a:xfrm>
          <a:off x="7280275" y="8037367"/>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44</xdr:row>
      <xdr:rowOff>2412999</xdr:rowOff>
    </xdr:from>
    <xdr:to>
      <xdr:col>2</xdr:col>
      <xdr:colOff>5327402</xdr:colOff>
      <xdr:row>44</xdr:row>
      <xdr:rowOff>2712356</xdr:rowOff>
    </xdr:to>
    <xdr:sp macro="" textlink="">
      <xdr:nvSpPr>
        <xdr:cNvPr id="48" name="ZoneTexte 47">
          <a:extLst>
            <a:ext uri="{FF2B5EF4-FFF2-40B4-BE49-F238E27FC236}">
              <a16:creationId xmlns:a16="http://schemas.microsoft.com/office/drawing/2014/main" id="{89E68DB1-322F-4CA1-AC53-3408724918CC}"/>
            </a:ext>
          </a:extLst>
        </xdr:cNvPr>
        <xdr:cNvSpPr txBox="1"/>
      </xdr:nvSpPr>
      <xdr:spPr>
        <a:xfrm>
          <a:off x="7274502" y="8039676"/>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50" name="ZoneTexte 49">
          <a:extLst>
            <a:ext uri="{FF2B5EF4-FFF2-40B4-BE49-F238E27FC236}">
              <a16:creationId xmlns:a16="http://schemas.microsoft.com/office/drawing/2014/main" id="{92989D8E-79F6-4D29-B933-42D7F4838054}"/>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51" name="ZoneTexte 50">
          <a:extLst>
            <a:ext uri="{FF2B5EF4-FFF2-40B4-BE49-F238E27FC236}">
              <a16:creationId xmlns:a16="http://schemas.microsoft.com/office/drawing/2014/main" id="{2981168B-C706-4ECC-BDD8-E78D71D3D9AA}"/>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62</xdr:row>
      <xdr:rowOff>2412999</xdr:rowOff>
    </xdr:from>
    <xdr:to>
      <xdr:col>2</xdr:col>
      <xdr:colOff>5327402</xdr:colOff>
      <xdr:row>62</xdr:row>
      <xdr:rowOff>2712356</xdr:rowOff>
    </xdr:to>
    <xdr:sp macro="" textlink="">
      <xdr:nvSpPr>
        <xdr:cNvPr id="52" name="ZoneTexte 51">
          <a:extLst>
            <a:ext uri="{FF2B5EF4-FFF2-40B4-BE49-F238E27FC236}">
              <a16:creationId xmlns:a16="http://schemas.microsoft.com/office/drawing/2014/main" id="{80C0675E-9A9B-4A2A-8C0A-EC8E4FE3B50A}"/>
            </a:ext>
          </a:extLst>
        </xdr:cNvPr>
        <xdr:cNvSpPr txBox="1"/>
      </xdr:nvSpPr>
      <xdr:spPr>
        <a:xfrm>
          <a:off x="7274502" y="156717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62</xdr:row>
      <xdr:rowOff>2412999</xdr:rowOff>
    </xdr:from>
    <xdr:to>
      <xdr:col>2</xdr:col>
      <xdr:colOff>5327402</xdr:colOff>
      <xdr:row>62</xdr:row>
      <xdr:rowOff>2712356</xdr:rowOff>
    </xdr:to>
    <xdr:sp macro="" textlink="">
      <xdr:nvSpPr>
        <xdr:cNvPr id="53" name="ZoneTexte 52">
          <a:extLst>
            <a:ext uri="{FF2B5EF4-FFF2-40B4-BE49-F238E27FC236}">
              <a16:creationId xmlns:a16="http://schemas.microsoft.com/office/drawing/2014/main" id="{B787975D-7FC2-40A9-8610-ADD217535584}"/>
            </a:ext>
          </a:extLst>
        </xdr:cNvPr>
        <xdr:cNvSpPr txBox="1"/>
      </xdr:nvSpPr>
      <xdr:spPr>
        <a:xfrm>
          <a:off x="7274502" y="156717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54" name="ZoneTexte 53">
          <a:extLst>
            <a:ext uri="{FF2B5EF4-FFF2-40B4-BE49-F238E27FC236}">
              <a16:creationId xmlns:a16="http://schemas.microsoft.com/office/drawing/2014/main" id="{4574B0D1-AF7A-4692-89FB-9F956AB1D227}"/>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55" name="ZoneTexte 54">
          <a:extLst>
            <a:ext uri="{FF2B5EF4-FFF2-40B4-BE49-F238E27FC236}">
              <a16:creationId xmlns:a16="http://schemas.microsoft.com/office/drawing/2014/main" id="{3B3FB5EE-D681-48A4-BEE2-5169BA90F413}"/>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56" name="ZoneTexte 55">
          <a:extLst>
            <a:ext uri="{FF2B5EF4-FFF2-40B4-BE49-F238E27FC236}">
              <a16:creationId xmlns:a16="http://schemas.microsoft.com/office/drawing/2014/main" id="{17D3827F-4348-45C2-9C0B-0A65D1B513BE}"/>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57" name="ZoneTexte 56">
          <a:extLst>
            <a:ext uri="{FF2B5EF4-FFF2-40B4-BE49-F238E27FC236}">
              <a16:creationId xmlns:a16="http://schemas.microsoft.com/office/drawing/2014/main" id="{CC31252C-82F5-441C-8547-841C0527828D}"/>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58" name="ZoneTexte 57">
          <a:extLst>
            <a:ext uri="{FF2B5EF4-FFF2-40B4-BE49-F238E27FC236}">
              <a16:creationId xmlns:a16="http://schemas.microsoft.com/office/drawing/2014/main" id="{1975B72B-65C0-4D22-BC2F-C1F6EAC066E6}"/>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59" name="ZoneTexte 58">
          <a:extLst>
            <a:ext uri="{FF2B5EF4-FFF2-40B4-BE49-F238E27FC236}">
              <a16:creationId xmlns:a16="http://schemas.microsoft.com/office/drawing/2014/main" id="{23231B85-32CF-4091-85A9-020D316F6D3B}"/>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60" name="ZoneTexte 59">
          <a:extLst>
            <a:ext uri="{FF2B5EF4-FFF2-40B4-BE49-F238E27FC236}">
              <a16:creationId xmlns:a16="http://schemas.microsoft.com/office/drawing/2014/main" id="{01B1F339-FFA4-4937-BC7A-8055AB797338}"/>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61" name="ZoneTexte 60">
          <a:extLst>
            <a:ext uri="{FF2B5EF4-FFF2-40B4-BE49-F238E27FC236}">
              <a16:creationId xmlns:a16="http://schemas.microsoft.com/office/drawing/2014/main" id="{CA604381-61F6-41C5-A3CC-BCC6B5A1CCBE}"/>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62" name="ZoneTexte 61">
          <a:extLst>
            <a:ext uri="{FF2B5EF4-FFF2-40B4-BE49-F238E27FC236}">
              <a16:creationId xmlns:a16="http://schemas.microsoft.com/office/drawing/2014/main" id="{B09125F1-B7A8-4DCC-9B61-0BA28968CC7C}"/>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63" name="ZoneTexte 62">
          <a:extLst>
            <a:ext uri="{FF2B5EF4-FFF2-40B4-BE49-F238E27FC236}">
              <a16:creationId xmlns:a16="http://schemas.microsoft.com/office/drawing/2014/main" id="{26E600F4-1F1F-4C5D-BD1C-82EEE72CA9C4}"/>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64" name="ZoneTexte 63">
          <a:extLst>
            <a:ext uri="{FF2B5EF4-FFF2-40B4-BE49-F238E27FC236}">
              <a16:creationId xmlns:a16="http://schemas.microsoft.com/office/drawing/2014/main" id="{F61CFF87-4447-4BBF-9FF3-246204CDFCA7}"/>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65" name="ZoneTexte 64">
          <a:extLst>
            <a:ext uri="{FF2B5EF4-FFF2-40B4-BE49-F238E27FC236}">
              <a16:creationId xmlns:a16="http://schemas.microsoft.com/office/drawing/2014/main" id="{D3043F99-5266-42A3-A66B-92FB6434E123}"/>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72" name="ZoneTexte 71">
          <a:extLst>
            <a:ext uri="{FF2B5EF4-FFF2-40B4-BE49-F238E27FC236}">
              <a16:creationId xmlns:a16="http://schemas.microsoft.com/office/drawing/2014/main" id="{DCDCB9EE-20B4-4050-BB55-BA843D0B1EB9}"/>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73" name="ZoneTexte 72">
          <a:extLst>
            <a:ext uri="{FF2B5EF4-FFF2-40B4-BE49-F238E27FC236}">
              <a16:creationId xmlns:a16="http://schemas.microsoft.com/office/drawing/2014/main" id="{77C1F76C-2518-4B24-9C34-1F06B4807924}"/>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74" name="ZoneTexte 73">
          <a:extLst>
            <a:ext uri="{FF2B5EF4-FFF2-40B4-BE49-F238E27FC236}">
              <a16:creationId xmlns:a16="http://schemas.microsoft.com/office/drawing/2014/main" id="{BA5E14A7-8684-4964-A0E1-FF7B10C395F8}"/>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75" name="ZoneTexte 74">
          <a:extLst>
            <a:ext uri="{FF2B5EF4-FFF2-40B4-BE49-F238E27FC236}">
              <a16:creationId xmlns:a16="http://schemas.microsoft.com/office/drawing/2014/main" id="{082D8486-DDD5-4343-81AB-5924C4031FC8}"/>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76" name="ZoneTexte 75">
          <a:extLst>
            <a:ext uri="{FF2B5EF4-FFF2-40B4-BE49-F238E27FC236}">
              <a16:creationId xmlns:a16="http://schemas.microsoft.com/office/drawing/2014/main" id="{91FAD9A1-0ECE-4E90-9B89-9AA76BDF3D70}"/>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77" name="ZoneTexte 76">
          <a:extLst>
            <a:ext uri="{FF2B5EF4-FFF2-40B4-BE49-F238E27FC236}">
              <a16:creationId xmlns:a16="http://schemas.microsoft.com/office/drawing/2014/main" id="{7FE9155E-044F-4C4E-8D8E-DDC259AA0BEC}"/>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78" name="ZoneTexte 77">
          <a:extLst>
            <a:ext uri="{FF2B5EF4-FFF2-40B4-BE49-F238E27FC236}">
              <a16:creationId xmlns:a16="http://schemas.microsoft.com/office/drawing/2014/main" id="{2A579A95-B04B-41A1-9731-BA3D1497A1FD}"/>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79" name="ZoneTexte 78">
          <a:extLst>
            <a:ext uri="{FF2B5EF4-FFF2-40B4-BE49-F238E27FC236}">
              <a16:creationId xmlns:a16="http://schemas.microsoft.com/office/drawing/2014/main" id="{77A7BD6D-298C-46E0-A339-95B84BA6B9F3}"/>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80" name="ZoneTexte 79">
          <a:extLst>
            <a:ext uri="{FF2B5EF4-FFF2-40B4-BE49-F238E27FC236}">
              <a16:creationId xmlns:a16="http://schemas.microsoft.com/office/drawing/2014/main" id="{A94D6AE6-0836-4F70-8791-C1B9B750E17D}"/>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81" name="ZoneTexte 80">
          <a:extLst>
            <a:ext uri="{FF2B5EF4-FFF2-40B4-BE49-F238E27FC236}">
              <a16:creationId xmlns:a16="http://schemas.microsoft.com/office/drawing/2014/main" id="{E2D24A1A-6BC1-409A-B60B-2C8A9296F741}"/>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82" name="ZoneTexte 81">
          <a:extLst>
            <a:ext uri="{FF2B5EF4-FFF2-40B4-BE49-F238E27FC236}">
              <a16:creationId xmlns:a16="http://schemas.microsoft.com/office/drawing/2014/main" id="{A89297F0-39C4-421B-B1C1-6EF6C68A887C}"/>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83" name="ZoneTexte 82">
          <a:extLst>
            <a:ext uri="{FF2B5EF4-FFF2-40B4-BE49-F238E27FC236}">
              <a16:creationId xmlns:a16="http://schemas.microsoft.com/office/drawing/2014/main" id="{139FE769-8B3E-4A25-BF2D-7E283CAFDDEB}"/>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84" name="ZoneTexte 83">
          <a:extLst>
            <a:ext uri="{FF2B5EF4-FFF2-40B4-BE49-F238E27FC236}">
              <a16:creationId xmlns:a16="http://schemas.microsoft.com/office/drawing/2014/main" id="{B4068259-6C11-44F7-B01B-6F60B4E9ADEE}"/>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85" name="ZoneTexte 84">
          <a:extLst>
            <a:ext uri="{FF2B5EF4-FFF2-40B4-BE49-F238E27FC236}">
              <a16:creationId xmlns:a16="http://schemas.microsoft.com/office/drawing/2014/main" id="{DBCE57B0-96F4-48D8-9708-DFB316FF7B93}"/>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86" name="ZoneTexte 85">
          <a:extLst>
            <a:ext uri="{FF2B5EF4-FFF2-40B4-BE49-F238E27FC236}">
              <a16:creationId xmlns:a16="http://schemas.microsoft.com/office/drawing/2014/main" id="{C0D071BA-792C-4CB7-9674-BFAD42E39337}"/>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87" name="ZoneTexte 86">
          <a:extLst>
            <a:ext uri="{FF2B5EF4-FFF2-40B4-BE49-F238E27FC236}">
              <a16:creationId xmlns:a16="http://schemas.microsoft.com/office/drawing/2014/main" id="{780FD473-DF44-4ECA-B199-D074EC94E248}"/>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88" name="ZoneTexte 87">
          <a:extLst>
            <a:ext uri="{FF2B5EF4-FFF2-40B4-BE49-F238E27FC236}">
              <a16:creationId xmlns:a16="http://schemas.microsoft.com/office/drawing/2014/main" id="{7B00B10D-D3DB-4CB0-9A5C-D5DFE4428209}"/>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60</xdr:row>
      <xdr:rowOff>3706090</xdr:rowOff>
    </xdr:from>
    <xdr:to>
      <xdr:col>2</xdr:col>
      <xdr:colOff>5142675</xdr:colOff>
      <xdr:row>60</xdr:row>
      <xdr:rowOff>4005447</xdr:rowOff>
    </xdr:to>
    <xdr:sp macro="" textlink="">
      <xdr:nvSpPr>
        <xdr:cNvPr id="89" name="ZoneTexte 88">
          <a:extLst>
            <a:ext uri="{FF2B5EF4-FFF2-40B4-BE49-F238E27FC236}">
              <a16:creationId xmlns:a16="http://schemas.microsoft.com/office/drawing/2014/main" id="{4A88AEA9-AD0D-470B-B69F-41F86E27986E}"/>
            </a:ext>
          </a:extLst>
        </xdr:cNvPr>
        <xdr:cNvSpPr txBox="1"/>
      </xdr:nvSpPr>
      <xdr:spPr>
        <a:xfrm>
          <a:off x="7280275" y="1547682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64</xdr:row>
      <xdr:rowOff>2412999</xdr:rowOff>
    </xdr:from>
    <xdr:to>
      <xdr:col>2</xdr:col>
      <xdr:colOff>5327402</xdr:colOff>
      <xdr:row>64</xdr:row>
      <xdr:rowOff>2712356</xdr:rowOff>
    </xdr:to>
    <xdr:sp macro="" textlink="">
      <xdr:nvSpPr>
        <xdr:cNvPr id="90" name="ZoneTexte 89">
          <a:extLst>
            <a:ext uri="{FF2B5EF4-FFF2-40B4-BE49-F238E27FC236}">
              <a16:creationId xmlns:a16="http://schemas.microsoft.com/office/drawing/2014/main" id="{CE857688-FA65-45A2-8259-63D8B9BEB4D4}"/>
            </a:ext>
          </a:extLst>
        </xdr:cNvPr>
        <xdr:cNvSpPr txBox="1"/>
      </xdr:nvSpPr>
      <xdr:spPr>
        <a:xfrm>
          <a:off x="7274502" y="1658749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64</xdr:row>
      <xdr:rowOff>2412999</xdr:rowOff>
    </xdr:from>
    <xdr:to>
      <xdr:col>2</xdr:col>
      <xdr:colOff>5327402</xdr:colOff>
      <xdr:row>64</xdr:row>
      <xdr:rowOff>2712356</xdr:rowOff>
    </xdr:to>
    <xdr:sp macro="" textlink="">
      <xdr:nvSpPr>
        <xdr:cNvPr id="91" name="ZoneTexte 90">
          <a:extLst>
            <a:ext uri="{FF2B5EF4-FFF2-40B4-BE49-F238E27FC236}">
              <a16:creationId xmlns:a16="http://schemas.microsoft.com/office/drawing/2014/main" id="{A7A39143-700B-4FA5-8DAD-F7A3B5B34E3F}"/>
            </a:ext>
          </a:extLst>
        </xdr:cNvPr>
        <xdr:cNvSpPr txBox="1"/>
      </xdr:nvSpPr>
      <xdr:spPr>
        <a:xfrm>
          <a:off x="7274502" y="1658749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64</xdr:row>
      <xdr:rowOff>2412999</xdr:rowOff>
    </xdr:from>
    <xdr:to>
      <xdr:col>2</xdr:col>
      <xdr:colOff>5327402</xdr:colOff>
      <xdr:row>64</xdr:row>
      <xdr:rowOff>2712356</xdr:rowOff>
    </xdr:to>
    <xdr:sp macro="" textlink="">
      <xdr:nvSpPr>
        <xdr:cNvPr id="92" name="ZoneTexte 91">
          <a:extLst>
            <a:ext uri="{FF2B5EF4-FFF2-40B4-BE49-F238E27FC236}">
              <a16:creationId xmlns:a16="http://schemas.microsoft.com/office/drawing/2014/main" id="{77FDAD92-1976-4D45-AE90-76A74E88FA64}"/>
            </a:ext>
          </a:extLst>
        </xdr:cNvPr>
        <xdr:cNvSpPr txBox="1"/>
      </xdr:nvSpPr>
      <xdr:spPr>
        <a:xfrm>
          <a:off x="7274502" y="1658749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64</xdr:row>
      <xdr:rowOff>2412999</xdr:rowOff>
    </xdr:from>
    <xdr:to>
      <xdr:col>2</xdr:col>
      <xdr:colOff>5327402</xdr:colOff>
      <xdr:row>64</xdr:row>
      <xdr:rowOff>2712356</xdr:rowOff>
    </xdr:to>
    <xdr:sp macro="" textlink="">
      <xdr:nvSpPr>
        <xdr:cNvPr id="93" name="ZoneTexte 92">
          <a:extLst>
            <a:ext uri="{FF2B5EF4-FFF2-40B4-BE49-F238E27FC236}">
              <a16:creationId xmlns:a16="http://schemas.microsoft.com/office/drawing/2014/main" id="{D1F401B6-7A99-4A3D-A305-B303708E35EC}"/>
            </a:ext>
          </a:extLst>
        </xdr:cNvPr>
        <xdr:cNvSpPr txBox="1"/>
      </xdr:nvSpPr>
      <xdr:spPr>
        <a:xfrm>
          <a:off x="7274502" y="16587498"/>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2210" name="ZoneTexte 2209">
          <a:extLst>
            <a:ext uri="{FF2B5EF4-FFF2-40B4-BE49-F238E27FC236}">
              <a16:creationId xmlns:a16="http://schemas.microsoft.com/office/drawing/2014/main" id="{69F0FD89-14A6-4DF2-B316-BC63409A8DEC}"/>
            </a:ext>
          </a:extLst>
        </xdr:cNvPr>
        <xdr:cNvSpPr txBox="1"/>
      </xdr:nvSpPr>
      <xdr:spPr>
        <a:xfrm>
          <a:off x="7274502" y="1317798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2211" name="ZoneTexte 2210">
          <a:extLst>
            <a:ext uri="{FF2B5EF4-FFF2-40B4-BE49-F238E27FC236}">
              <a16:creationId xmlns:a16="http://schemas.microsoft.com/office/drawing/2014/main" id="{3F5924F0-7DC7-4620-866D-26DFDED0701C}"/>
            </a:ext>
          </a:extLst>
        </xdr:cNvPr>
        <xdr:cNvSpPr txBox="1"/>
      </xdr:nvSpPr>
      <xdr:spPr>
        <a:xfrm>
          <a:off x="7274502" y="1317798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2212" name="ZoneTexte 2211">
          <a:extLst>
            <a:ext uri="{FF2B5EF4-FFF2-40B4-BE49-F238E27FC236}">
              <a16:creationId xmlns:a16="http://schemas.microsoft.com/office/drawing/2014/main" id="{A0DA68BA-B129-405A-BF1B-2C7D6D6159AC}"/>
            </a:ext>
          </a:extLst>
        </xdr:cNvPr>
        <xdr:cNvSpPr txBox="1"/>
      </xdr:nvSpPr>
      <xdr:spPr>
        <a:xfrm>
          <a:off x="7274502" y="1317798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xdr:row>
      <xdr:rowOff>3706090</xdr:rowOff>
    </xdr:from>
    <xdr:to>
      <xdr:col>2</xdr:col>
      <xdr:colOff>5142675</xdr:colOff>
      <xdr:row>26</xdr:row>
      <xdr:rowOff>4005447</xdr:rowOff>
    </xdr:to>
    <xdr:sp macro="" textlink="">
      <xdr:nvSpPr>
        <xdr:cNvPr id="2213" name="ZoneTexte 2212">
          <a:extLst>
            <a:ext uri="{FF2B5EF4-FFF2-40B4-BE49-F238E27FC236}">
              <a16:creationId xmlns:a16="http://schemas.microsoft.com/office/drawing/2014/main" id="{D10CBF55-E232-41C1-982B-3CA14E28863B}"/>
            </a:ext>
          </a:extLst>
        </xdr:cNvPr>
        <xdr:cNvSpPr txBox="1"/>
      </xdr:nvSpPr>
      <xdr:spPr>
        <a:xfrm>
          <a:off x="7280275" y="1317567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26</xdr:row>
      <xdr:rowOff>2412999</xdr:rowOff>
    </xdr:from>
    <xdr:to>
      <xdr:col>2</xdr:col>
      <xdr:colOff>5327402</xdr:colOff>
      <xdr:row>26</xdr:row>
      <xdr:rowOff>2712356</xdr:rowOff>
    </xdr:to>
    <xdr:sp macro="" textlink="">
      <xdr:nvSpPr>
        <xdr:cNvPr id="2214" name="ZoneTexte 2213">
          <a:extLst>
            <a:ext uri="{FF2B5EF4-FFF2-40B4-BE49-F238E27FC236}">
              <a16:creationId xmlns:a16="http://schemas.microsoft.com/office/drawing/2014/main" id="{C2A1F25C-AE64-4144-BC6A-67854928342E}"/>
            </a:ext>
          </a:extLst>
        </xdr:cNvPr>
        <xdr:cNvSpPr txBox="1"/>
      </xdr:nvSpPr>
      <xdr:spPr>
        <a:xfrm>
          <a:off x="7274502" y="13177981"/>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26</xdr:row>
      <xdr:rowOff>3706090</xdr:rowOff>
    </xdr:from>
    <xdr:to>
      <xdr:col>2</xdr:col>
      <xdr:colOff>5142675</xdr:colOff>
      <xdr:row>26</xdr:row>
      <xdr:rowOff>4005447</xdr:rowOff>
    </xdr:to>
    <xdr:sp macro="" textlink="">
      <xdr:nvSpPr>
        <xdr:cNvPr id="2215" name="ZoneTexte 2214">
          <a:extLst>
            <a:ext uri="{FF2B5EF4-FFF2-40B4-BE49-F238E27FC236}">
              <a16:creationId xmlns:a16="http://schemas.microsoft.com/office/drawing/2014/main" id="{32712422-E554-43BB-A8B0-2B2CFA3E7037}"/>
            </a:ext>
          </a:extLst>
        </xdr:cNvPr>
        <xdr:cNvSpPr txBox="1"/>
      </xdr:nvSpPr>
      <xdr:spPr>
        <a:xfrm>
          <a:off x="7280275" y="1317567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125</xdr:row>
      <xdr:rowOff>3706090</xdr:rowOff>
    </xdr:from>
    <xdr:to>
      <xdr:col>2</xdr:col>
      <xdr:colOff>5142675</xdr:colOff>
      <xdr:row>125</xdr:row>
      <xdr:rowOff>4005447</xdr:rowOff>
    </xdr:to>
    <xdr:sp macro="" textlink="">
      <xdr:nvSpPr>
        <xdr:cNvPr id="2216" name="ZoneTexte 2215">
          <a:extLst>
            <a:ext uri="{FF2B5EF4-FFF2-40B4-BE49-F238E27FC236}">
              <a16:creationId xmlns:a16="http://schemas.microsoft.com/office/drawing/2014/main" id="{D50DDA72-212D-4359-9910-64F8A8FFA7E8}"/>
            </a:ext>
          </a:extLst>
        </xdr:cNvPr>
        <xdr:cNvSpPr txBox="1"/>
      </xdr:nvSpPr>
      <xdr:spPr>
        <a:xfrm>
          <a:off x="7280275" y="44380871"/>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125</xdr:row>
      <xdr:rowOff>3706090</xdr:rowOff>
    </xdr:from>
    <xdr:to>
      <xdr:col>2</xdr:col>
      <xdr:colOff>5142675</xdr:colOff>
      <xdr:row>125</xdr:row>
      <xdr:rowOff>4005447</xdr:rowOff>
    </xdr:to>
    <xdr:sp macro="" textlink="">
      <xdr:nvSpPr>
        <xdr:cNvPr id="2217" name="ZoneTexte 2216">
          <a:extLst>
            <a:ext uri="{FF2B5EF4-FFF2-40B4-BE49-F238E27FC236}">
              <a16:creationId xmlns:a16="http://schemas.microsoft.com/office/drawing/2014/main" id="{F953F593-E35A-4426-8DC9-C1F26546CA59}"/>
            </a:ext>
          </a:extLst>
        </xdr:cNvPr>
        <xdr:cNvSpPr txBox="1"/>
      </xdr:nvSpPr>
      <xdr:spPr>
        <a:xfrm>
          <a:off x="7280275" y="44380871"/>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125</xdr:row>
      <xdr:rowOff>3706090</xdr:rowOff>
    </xdr:from>
    <xdr:to>
      <xdr:col>2</xdr:col>
      <xdr:colOff>5142675</xdr:colOff>
      <xdr:row>125</xdr:row>
      <xdr:rowOff>4005447</xdr:rowOff>
    </xdr:to>
    <xdr:sp macro="" textlink="">
      <xdr:nvSpPr>
        <xdr:cNvPr id="2234" name="ZoneTexte 2233">
          <a:extLst>
            <a:ext uri="{FF2B5EF4-FFF2-40B4-BE49-F238E27FC236}">
              <a16:creationId xmlns:a16="http://schemas.microsoft.com/office/drawing/2014/main" id="{A999E09F-062A-498D-8A4D-24A069F2F5D5}"/>
            </a:ext>
          </a:extLst>
        </xdr:cNvPr>
        <xdr:cNvSpPr txBox="1"/>
      </xdr:nvSpPr>
      <xdr:spPr>
        <a:xfrm>
          <a:off x="7280275" y="44380871"/>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125</xdr:row>
      <xdr:rowOff>3706090</xdr:rowOff>
    </xdr:from>
    <xdr:to>
      <xdr:col>2</xdr:col>
      <xdr:colOff>5142675</xdr:colOff>
      <xdr:row>125</xdr:row>
      <xdr:rowOff>4005447</xdr:rowOff>
    </xdr:to>
    <xdr:sp macro="" textlink="">
      <xdr:nvSpPr>
        <xdr:cNvPr id="2235" name="ZoneTexte 2234">
          <a:extLst>
            <a:ext uri="{FF2B5EF4-FFF2-40B4-BE49-F238E27FC236}">
              <a16:creationId xmlns:a16="http://schemas.microsoft.com/office/drawing/2014/main" id="{7A07A201-DA97-4709-AA86-7CA03CA25A20}"/>
            </a:ext>
          </a:extLst>
        </xdr:cNvPr>
        <xdr:cNvSpPr txBox="1"/>
      </xdr:nvSpPr>
      <xdr:spPr>
        <a:xfrm>
          <a:off x="7280275" y="44380871"/>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12" name="ZoneTexte 1211">
          <a:extLst>
            <a:ext uri="{FF2B5EF4-FFF2-40B4-BE49-F238E27FC236}">
              <a16:creationId xmlns:a16="http://schemas.microsoft.com/office/drawing/2014/main" id="{35EA1584-486E-4B19-96D5-C657A75F88C3}"/>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13" name="ZoneTexte 1212">
          <a:extLst>
            <a:ext uri="{FF2B5EF4-FFF2-40B4-BE49-F238E27FC236}">
              <a16:creationId xmlns:a16="http://schemas.microsoft.com/office/drawing/2014/main" id="{062D5171-2B80-45A9-87F4-10EF7A11A51B}"/>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14" name="ZoneTexte 1213">
          <a:extLst>
            <a:ext uri="{FF2B5EF4-FFF2-40B4-BE49-F238E27FC236}">
              <a16:creationId xmlns:a16="http://schemas.microsoft.com/office/drawing/2014/main" id="{915E2ED8-ED5E-4CF5-995D-33103A1AEFBC}"/>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15" name="ZoneTexte 1214">
          <a:extLst>
            <a:ext uri="{FF2B5EF4-FFF2-40B4-BE49-F238E27FC236}">
              <a16:creationId xmlns:a16="http://schemas.microsoft.com/office/drawing/2014/main" id="{3FD8C698-1A18-43FE-B21E-F2DD559AACD6}"/>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16" name="ZoneTexte 1215">
          <a:extLst>
            <a:ext uri="{FF2B5EF4-FFF2-40B4-BE49-F238E27FC236}">
              <a16:creationId xmlns:a16="http://schemas.microsoft.com/office/drawing/2014/main" id="{BEF4720A-B7A3-42B8-9B7D-8B977C05A159}"/>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17" name="ZoneTexte 1216">
          <a:extLst>
            <a:ext uri="{FF2B5EF4-FFF2-40B4-BE49-F238E27FC236}">
              <a16:creationId xmlns:a16="http://schemas.microsoft.com/office/drawing/2014/main" id="{BB30A1DF-C7D5-4DB7-A70E-1841A5E8F6FE}"/>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18" name="ZoneTexte 1217">
          <a:extLst>
            <a:ext uri="{FF2B5EF4-FFF2-40B4-BE49-F238E27FC236}">
              <a16:creationId xmlns:a16="http://schemas.microsoft.com/office/drawing/2014/main" id="{DB47340C-98A3-4983-BC57-8EE410FD13E7}"/>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19" name="ZoneTexte 1218">
          <a:extLst>
            <a:ext uri="{FF2B5EF4-FFF2-40B4-BE49-F238E27FC236}">
              <a16:creationId xmlns:a16="http://schemas.microsoft.com/office/drawing/2014/main" id="{09803DF3-8851-45A3-860A-5D7A2B18C9BF}"/>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26" name="ZoneTexte 1225">
          <a:extLst>
            <a:ext uri="{FF2B5EF4-FFF2-40B4-BE49-F238E27FC236}">
              <a16:creationId xmlns:a16="http://schemas.microsoft.com/office/drawing/2014/main" id="{3EDE5EBE-1CE9-4080-BD6D-3A415D17EA3D}"/>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27" name="ZoneTexte 1226">
          <a:extLst>
            <a:ext uri="{FF2B5EF4-FFF2-40B4-BE49-F238E27FC236}">
              <a16:creationId xmlns:a16="http://schemas.microsoft.com/office/drawing/2014/main" id="{0F41BC2D-41B9-48A7-903D-164CDF88DC9F}"/>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28" name="ZoneTexte 1227">
          <a:extLst>
            <a:ext uri="{FF2B5EF4-FFF2-40B4-BE49-F238E27FC236}">
              <a16:creationId xmlns:a16="http://schemas.microsoft.com/office/drawing/2014/main" id="{A62737D5-17F1-48CE-9DC2-2C8302EFF508}"/>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29" name="ZoneTexte 1228">
          <a:extLst>
            <a:ext uri="{FF2B5EF4-FFF2-40B4-BE49-F238E27FC236}">
              <a16:creationId xmlns:a16="http://schemas.microsoft.com/office/drawing/2014/main" id="{BD2CF1D7-0E58-497D-9104-CD4432A25E65}"/>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30" name="ZoneTexte 1229">
          <a:extLst>
            <a:ext uri="{FF2B5EF4-FFF2-40B4-BE49-F238E27FC236}">
              <a16:creationId xmlns:a16="http://schemas.microsoft.com/office/drawing/2014/main" id="{807BEFFD-B565-4DEE-80FD-C658A1DA8F7C}"/>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31" name="ZoneTexte 1230">
          <a:extLst>
            <a:ext uri="{FF2B5EF4-FFF2-40B4-BE49-F238E27FC236}">
              <a16:creationId xmlns:a16="http://schemas.microsoft.com/office/drawing/2014/main" id="{DEB8D10F-D646-45D7-BB5B-F6EDFAB3769B}"/>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32" name="ZoneTexte 1231">
          <a:extLst>
            <a:ext uri="{FF2B5EF4-FFF2-40B4-BE49-F238E27FC236}">
              <a16:creationId xmlns:a16="http://schemas.microsoft.com/office/drawing/2014/main" id="{18143254-D475-406D-B955-E4052E267F2A}"/>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33" name="ZoneTexte 1232">
          <a:extLst>
            <a:ext uri="{FF2B5EF4-FFF2-40B4-BE49-F238E27FC236}">
              <a16:creationId xmlns:a16="http://schemas.microsoft.com/office/drawing/2014/main" id="{EA152170-0F9D-403B-8E56-CF99FD597987}"/>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34" name="ZoneTexte 1233">
          <a:extLst>
            <a:ext uri="{FF2B5EF4-FFF2-40B4-BE49-F238E27FC236}">
              <a16:creationId xmlns:a16="http://schemas.microsoft.com/office/drawing/2014/main" id="{2C61F36B-8CA2-4AD2-9223-EA51B8762D66}"/>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35" name="ZoneTexte 1234">
          <a:extLst>
            <a:ext uri="{FF2B5EF4-FFF2-40B4-BE49-F238E27FC236}">
              <a16:creationId xmlns:a16="http://schemas.microsoft.com/office/drawing/2014/main" id="{7900D569-17E2-48BF-A7BE-FBF921C553B0}"/>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36" name="ZoneTexte 1235">
          <a:extLst>
            <a:ext uri="{FF2B5EF4-FFF2-40B4-BE49-F238E27FC236}">
              <a16:creationId xmlns:a16="http://schemas.microsoft.com/office/drawing/2014/main" id="{43A0CDD3-98CA-4CF2-861A-84C9E4F7AB14}"/>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37" name="ZoneTexte 1236">
          <a:extLst>
            <a:ext uri="{FF2B5EF4-FFF2-40B4-BE49-F238E27FC236}">
              <a16:creationId xmlns:a16="http://schemas.microsoft.com/office/drawing/2014/main" id="{82E8AC3E-506F-47ED-8670-380DBABC8DC3}"/>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38" name="ZoneTexte 1237">
          <a:extLst>
            <a:ext uri="{FF2B5EF4-FFF2-40B4-BE49-F238E27FC236}">
              <a16:creationId xmlns:a16="http://schemas.microsoft.com/office/drawing/2014/main" id="{58294852-9C96-478E-88D5-1710BEFA44C2}"/>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39" name="ZoneTexte 1238">
          <a:extLst>
            <a:ext uri="{FF2B5EF4-FFF2-40B4-BE49-F238E27FC236}">
              <a16:creationId xmlns:a16="http://schemas.microsoft.com/office/drawing/2014/main" id="{BFAC3F84-6679-4738-A443-C284D18CE15E}"/>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94" name="ZoneTexte 1293">
          <a:extLst>
            <a:ext uri="{FF2B5EF4-FFF2-40B4-BE49-F238E27FC236}">
              <a16:creationId xmlns:a16="http://schemas.microsoft.com/office/drawing/2014/main" id="{5D6272E9-1963-448C-86C1-58FC270E3003}"/>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95" name="ZoneTexte 1294">
          <a:extLst>
            <a:ext uri="{FF2B5EF4-FFF2-40B4-BE49-F238E27FC236}">
              <a16:creationId xmlns:a16="http://schemas.microsoft.com/office/drawing/2014/main" id="{74D58551-1A0F-43D2-A9A4-0B678F4BFF73}"/>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96" name="ZoneTexte 1295">
          <a:extLst>
            <a:ext uri="{FF2B5EF4-FFF2-40B4-BE49-F238E27FC236}">
              <a16:creationId xmlns:a16="http://schemas.microsoft.com/office/drawing/2014/main" id="{ECB3294C-840C-4DCC-B300-3507D272451F}"/>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97" name="ZoneTexte 1296">
          <a:extLst>
            <a:ext uri="{FF2B5EF4-FFF2-40B4-BE49-F238E27FC236}">
              <a16:creationId xmlns:a16="http://schemas.microsoft.com/office/drawing/2014/main" id="{62878655-DF2C-4B11-8CBF-2EE1F3DBBF25}"/>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98" name="ZoneTexte 1297">
          <a:extLst>
            <a:ext uri="{FF2B5EF4-FFF2-40B4-BE49-F238E27FC236}">
              <a16:creationId xmlns:a16="http://schemas.microsoft.com/office/drawing/2014/main" id="{353F76B4-932D-4CDA-B51C-F7930229D62D}"/>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299" name="ZoneTexte 1298">
          <a:extLst>
            <a:ext uri="{FF2B5EF4-FFF2-40B4-BE49-F238E27FC236}">
              <a16:creationId xmlns:a16="http://schemas.microsoft.com/office/drawing/2014/main" id="{82477F7A-CAB3-4C6F-AC37-6D6778F2946B}"/>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300" name="ZoneTexte 1299">
          <a:extLst>
            <a:ext uri="{FF2B5EF4-FFF2-40B4-BE49-F238E27FC236}">
              <a16:creationId xmlns:a16="http://schemas.microsoft.com/office/drawing/2014/main" id="{EE9784EF-A527-47B0-B480-81DC53262F15}"/>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301" name="ZoneTexte 1300">
          <a:extLst>
            <a:ext uri="{FF2B5EF4-FFF2-40B4-BE49-F238E27FC236}">
              <a16:creationId xmlns:a16="http://schemas.microsoft.com/office/drawing/2014/main" id="{F2C4898F-3A0F-4784-8256-C4ECDDCC757B}"/>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302" name="ZoneTexte 1301">
          <a:extLst>
            <a:ext uri="{FF2B5EF4-FFF2-40B4-BE49-F238E27FC236}">
              <a16:creationId xmlns:a16="http://schemas.microsoft.com/office/drawing/2014/main" id="{B9CCB472-7FD6-4B40-B412-5F0E6ABCF239}"/>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71</xdr:row>
      <xdr:rowOff>3706090</xdr:rowOff>
    </xdr:from>
    <xdr:to>
      <xdr:col>2</xdr:col>
      <xdr:colOff>5142675</xdr:colOff>
      <xdr:row>71</xdr:row>
      <xdr:rowOff>4005447</xdr:rowOff>
    </xdr:to>
    <xdr:sp macro="" textlink="">
      <xdr:nvSpPr>
        <xdr:cNvPr id="1303" name="ZoneTexte 1302">
          <a:extLst>
            <a:ext uri="{FF2B5EF4-FFF2-40B4-BE49-F238E27FC236}">
              <a16:creationId xmlns:a16="http://schemas.microsoft.com/office/drawing/2014/main" id="{AA7C2E57-F2A4-4377-AA9B-41C42B9B8F82}"/>
            </a:ext>
          </a:extLst>
        </xdr:cNvPr>
        <xdr:cNvSpPr txBox="1"/>
      </xdr:nvSpPr>
      <xdr:spPr>
        <a:xfrm>
          <a:off x="7280275" y="2339772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14" name="ZoneTexte 2313">
          <a:extLst>
            <a:ext uri="{FF2B5EF4-FFF2-40B4-BE49-F238E27FC236}">
              <a16:creationId xmlns:a16="http://schemas.microsoft.com/office/drawing/2014/main" id="{DC664FB4-DF00-4C10-A872-902FDFA6BD9B}"/>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15" name="ZoneTexte 2314">
          <a:extLst>
            <a:ext uri="{FF2B5EF4-FFF2-40B4-BE49-F238E27FC236}">
              <a16:creationId xmlns:a16="http://schemas.microsoft.com/office/drawing/2014/main" id="{3F125C40-AF17-402A-BA6D-DE3A53213C5A}"/>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16" name="ZoneTexte 2315">
          <a:extLst>
            <a:ext uri="{FF2B5EF4-FFF2-40B4-BE49-F238E27FC236}">
              <a16:creationId xmlns:a16="http://schemas.microsoft.com/office/drawing/2014/main" id="{9DC1E522-450C-4F50-81E4-514C393F8F66}"/>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17" name="ZoneTexte 2316">
          <a:extLst>
            <a:ext uri="{FF2B5EF4-FFF2-40B4-BE49-F238E27FC236}">
              <a16:creationId xmlns:a16="http://schemas.microsoft.com/office/drawing/2014/main" id="{0502E138-B5C4-4308-B31F-43B1FB062BBD}"/>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18" name="ZoneTexte 2317">
          <a:extLst>
            <a:ext uri="{FF2B5EF4-FFF2-40B4-BE49-F238E27FC236}">
              <a16:creationId xmlns:a16="http://schemas.microsoft.com/office/drawing/2014/main" id="{AD85E6D3-B3DE-47F0-91D0-7882A0CF7983}"/>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19" name="ZoneTexte 2318">
          <a:extLst>
            <a:ext uri="{FF2B5EF4-FFF2-40B4-BE49-F238E27FC236}">
              <a16:creationId xmlns:a16="http://schemas.microsoft.com/office/drawing/2014/main" id="{6ABB516F-E829-4307-ABFF-4D2A7441AA98}"/>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20" name="ZoneTexte 2319">
          <a:extLst>
            <a:ext uri="{FF2B5EF4-FFF2-40B4-BE49-F238E27FC236}">
              <a16:creationId xmlns:a16="http://schemas.microsoft.com/office/drawing/2014/main" id="{3F53D464-4618-44BE-AAA5-816AC5EA14B1}"/>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21" name="ZoneTexte 2320">
          <a:extLst>
            <a:ext uri="{FF2B5EF4-FFF2-40B4-BE49-F238E27FC236}">
              <a16:creationId xmlns:a16="http://schemas.microsoft.com/office/drawing/2014/main" id="{890A22FB-B2C2-4F3A-8BD5-88DAB964393A}"/>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22" name="ZoneTexte 2321">
          <a:extLst>
            <a:ext uri="{FF2B5EF4-FFF2-40B4-BE49-F238E27FC236}">
              <a16:creationId xmlns:a16="http://schemas.microsoft.com/office/drawing/2014/main" id="{1C2EC3C3-9787-4064-8369-6F22190E4269}"/>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23" name="ZoneTexte 2322">
          <a:extLst>
            <a:ext uri="{FF2B5EF4-FFF2-40B4-BE49-F238E27FC236}">
              <a16:creationId xmlns:a16="http://schemas.microsoft.com/office/drawing/2014/main" id="{335A6ECA-0424-4CA2-A1AA-773B57469F21}"/>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24" name="ZoneTexte 2323">
          <a:extLst>
            <a:ext uri="{FF2B5EF4-FFF2-40B4-BE49-F238E27FC236}">
              <a16:creationId xmlns:a16="http://schemas.microsoft.com/office/drawing/2014/main" id="{B7AC2D08-24D4-4218-B6EF-6DC9EEEC524C}"/>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25" name="ZoneTexte 2324">
          <a:extLst>
            <a:ext uri="{FF2B5EF4-FFF2-40B4-BE49-F238E27FC236}">
              <a16:creationId xmlns:a16="http://schemas.microsoft.com/office/drawing/2014/main" id="{97009807-99C7-4994-A163-321F0176E4EF}"/>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26" name="ZoneTexte 2325">
          <a:extLst>
            <a:ext uri="{FF2B5EF4-FFF2-40B4-BE49-F238E27FC236}">
              <a16:creationId xmlns:a16="http://schemas.microsoft.com/office/drawing/2014/main" id="{D1C8D261-9BE8-4D59-AB64-C2AE6F2693B1}"/>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27" name="ZoneTexte 2326">
          <a:extLst>
            <a:ext uri="{FF2B5EF4-FFF2-40B4-BE49-F238E27FC236}">
              <a16:creationId xmlns:a16="http://schemas.microsoft.com/office/drawing/2014/main" id="{C3FB6069-3F44-4387-830F-46580725BF6B}"/>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28" name="ZoneTexte 2327">
          <a:extLst>
            <a:ext uri="{FF2B5EF4-FFF2-40B4-BE49-F238E27FC236}">
              <a16:creationId xmlns:a16="http://schemas.microsoft.com/office/drawing/2014/main" id="{F4F26610-D122-4B6C-86F0-F7A89007FD42}"/>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76</xdr:row>
      <xdr:rowOff>0</xdr:rowOff>
    </xdr:from>
    <xdr:to>
      <xdr:col>2</xdr:col>
      <xdr:colOff>5142675</xdr:colOff>
      <xdr:row>76</xdr:row>
      <xdr:rowOff>0</xdr:rowOff>
    </xdr:to>
    <xdr:sp macro="" textlink="">
      <xdr:nvSpPr>
        <xdr:cNvPr id="2329" name="ZoneTexte 2328">
          <a:extLst>
            <a:ext uri="{FF2B5EF4-FFF2-40B4-BE49-F238E27FC236}">
              <a16:creationId xmlns:a16="http://schemas.microsoft.com/office/drawing/2014/main" id="{78AF5AFA-F58F-400B-A555-555B9B1E731A}"/>
            </a:ext>
          </a:extLst>
        </xdr:cNvPr>
        <xdr:cNvSpPr txBox="1"/>
      </xdr:nvSpPr>
      <xdr:spPr>
        <a:xfrm>
          <a:off x="7280275" y="30270882"/>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94" name="ZoneTexte 93">
          <a:extLst>
            <a:ext uri="{FF2B5EF4-FFF2-40B4-BE49-F238E27FC236}">
              <a16:creationId xmlns:a16="http://schemas.microsoft.com/office/drawing/2014/main" id="{FF39B8C7-9182-4343-A2A9-4AA27C1F16DB}"/>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95" name="ZoneTexte 94">
          <a:extLst>
            <a:ext uri="{FF2B5EF4-FFF2-40B4-BE49-F238E27FC236}">
              <a16:creationId xmlns:a16="http://schemas.microsoft.com/office/drawing/2014/main" id="{93B7BD0C-5843-4569-AC38-92120AC293AE}"/>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02" name="ZoneTexte 1501">
          <a:extLst>
            <a:ext uri="{FF2B5EF4-FFF2-40B4-BE49-F238E27FC236}">
              <a16:creationId xmlns:a16="http://schemas.microsoft.com/office/drawing/2014/main" id="{DF4E1DFA-5540-4063-81AE-1F9AA911A289}"/>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03" name="ZoneTexte 1502">
          <a:extLst>
            <a:ext uri="{FF2B5EF4-FFF2-40B4-BE49-F238E27FC236}">
              <a16:creationId xmlns:a16="http://schemas.microsoft.com/office/drawing/2014/main" id="{C871FFF2-4426-452D-B9E1-D79CFF0B6A31}"/>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04" name="ZoneTexte 1503">
          <a:extLst>
            <a:ext uri="{FF2B5EF4-FFF2-40B4-BE49-F238E27FC236}">
              <a16:creationId xmlns:a16="http://schemas.microsoft.com/office/drawing/2014/main" id="{24B2C894-BA78-4E0F-AAC5-18A8B57E5069}"/>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05" name="ZoneTexte 1504">
          <a:extLst>
            <a:ext uri="{FF2B5EF4-FFF2-40B4-BE49-F238E27FC236}">
              <a16:creationId xmlns:a16="http://schemas.microsoft.com/office/drawing/2014/main" id="{9C713FCF-2CA9-4D15-9BFE-5E26886C2DB4}"/>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06" name="ZoneTexte 1505">
          <a:extLst>
            <a:ext uri="{FF2B5EF4-FFF2-40B4-BE49-F238E27FC236}">
              <a16:creationId xmlns:a16="http://schemas.microsoft.com/office/drawing/2014/main" id="{BC72FBE4-7F73-4835-A5E4-E101DBD705A3}"/>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07" name="ZoneTexte 1506">
          <a:extLst>
            <a:ext uri="{FF2B5EF4-FFF2-40B4-BE49-F238E27FC236}">
              <a16:creationId xmlns:a16="http://schemas.microsoft.com/office/drawing/2014/main" id="{63BA957B-E96E-4F4C-A314-AC9D5660020E}"/>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08" name="ZoneTexte 1507">
          <a:extLst>
            <a:ext uri="{FF2B5EF4-FFF2-40B4-BE49-F238E27FC236}">
              <a16:creationId xmlns:a16="http://schemas.microsoft.com/office/drawing/2014/main" id="{CE01B8F5-61F2-4F02-B8E7-4069390840BB}"/>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09" name="ZoneTexte 1508">
          <a:extLst>
            <a:ext uri="{FF2B5EF4-FFF2-40B4-BE49-F238E27FC236}">
              <a16:creationId xmlns:a16="http://schemas.microsoft.com/office/drawing/2014/main" id="{44874BD9-81BA-47AE-AB58-AD895EB221CA}"/>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10" name="ZoneTexte 1509">
          <a:extLst>
            <a:ext uri="{FF2B5EF4-FFF2-40B4-BE49-F238E27FC236}">
              <a16:creationId xmlns:a16="http://schemas.microsoft.com/office/drawing/2014/main" id="{8947358F-3971-40A6-ACFA-330EFB59FC58}"/>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11" name="ZoneTexte 1510">
          <a:extLst>
            <a:ext uri="{FF2B5EF4-FFF2-40B4-BE49-F238E27FC236}">
              <a16:creationId xmlns:a16="http://schemas.microsoft.com/office/drawing/2014/main" id="{2E18919C-A500-459A-AC37-31B896AE5AA8}"/>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12" name="ZoneTexte 1511">
          <a:extLst>
            <a:ext uri="{FF2B5EF4-FFF2-40B4-BE49-F238E27FC236}">
              <a16:creationId xmlns:a16="http://schemas.microsoft.com/office/drawing/2014/main" id="{82A2BEEA-01C5-4164-AEB7-C3D5D843510D}"/>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13" name="ZoneTexte 1512">
          <a:extLst>
            <a:ext uri="{FF2B5EF4-FFF2-40B4-BE49-F238E27FC236}">
              <a16:creationId xmlns:a16="http://schemas.microsoft.com/office/drawing/2014/main" id="{B9417DD8-956E-4D66-B65B-34A3B6721BB2}"/>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14" name="ZoneTexte 1513">
          <a:extLst>
            <a:ext uri="{FF2B5EF4-FFF2-40B4-BE49-F238E27FC236}">
              <a16:creationId xmlns:a16="http://schemas.microsoft.com/office/drawing/2014/main" id="{6A740160-5B53-4133-9F39-DA1BEA6EF608}"/>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15" name="ZoneTexte 1514">
          <a:extLst>
            <a:ext uri="{FF2B5EF4-FFF2-40B4-BE49-F238E27FC236}">
              <a16:creationId xmlns:a16="http://schemas.microsoft.com/office/drawing/2014/main" id="{E7E22491-D5DF-4175-9F75-5987A3E5186E}"/>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16" name="ZoneTexte 1515">
          <a:extLst>
            <a:ext uri="{FF2B5EF4-FFF2-40B4-BE49-F238E27FC236}">
              <a16:creationId xmlns:a16="http://schemas.microsoft.com/office/drawing/2014/main" id="{E7951D9A-485B-4CF5-89BB-5251D96039FF}"/>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17" name="ZoneTexte 1516">
          <a:extLst>
            <a:ext uri="{FF2B5EF4-FFF2-40B4-BE49-F238E27FC236}">
              <a16:creationId xmlns:a16="http://schemas.microsoft.com/office/drawing/2014/main" id="{76437A3D-75FE-4D44-9C3D-9C0000155515}"/>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18" name="ZoneTexte 1517">
          <a:extLst>
            <a:ext uri="{FF2B5EF4-FFF2-40B4-BE49-F238E27FC236}">
              <a16:creationId xmlns:a16="http://schemas.microsoft.com/office/drawing/2014/main" id="{673BC531-7776-43A3-A253-53D0BD038369}"/>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19" name="ZoneTexte 1518">
          <a:extLst>
            <a:ext uri="{FF2B5EF4-FFF2-40B4-BE49-F238E27FC236}">
              <a16:creationId xmlns:a16="http://schemas.microsoft.com/office/drawing/2014/main" id="{76B1E6DA-B18C-484F-AC21-6D829B4AA9FD}"/>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20" name="ZoneTexte 1519">
          <a:extLst>
            <a:ext uri="{FF2B5EF4-FFF2-40B4-BE49-F238E27FC236}">
              <a16:creationId xmlns:a16="http://schemas.microsoft.com/office/drawing/2014/main" id="{6BB084CC-E09D-470B-AE9D-31864585276E}"/>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21" name="ZoneTexte 1520">
          <a:extLst>
            <a:ext uri="{FF2B5EF4-FFF2-40B4-BE49-F238E27FC236}">
              <a16:creationId xmlns:a16="http://schemas.microsoft.com/office/drawing/2014/main" id="{AEA4FC90-37C6-4960-B499-ECF197D701C8}"/>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22" name="ZoneTexte 1521">
          <a:extLst>
            <a:ext uri="{FF2B5EF4-FFF2-40B4-BE49-F238E27FC236}">
              <a16:creationId xmlns:a16="http://schemas.microsoft.com/office/drawing/2014/main" id="{31D70703-B55D-4396-BEE7-3270F547EF79}"/>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23" name="ZoneTexte 1522">
          <a:extLst>
            <a:ext uri="{FF2B5EF4-FFF2-40B4-BE49-F238E27FC236}">
              <a16:creationId xmlns:a16="http://schemas.microsoft.com/office/drawing/2014/main" id="{64EA8453-9EBF-48D1-A4FB-CB310BA83740}"/>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24" name="ZoneTexte 1523">
          <a:extLst>
            <a:ext uri="{FF2B5EF4-FFF2-40B4-BE49-F238E27FC236}">
              <a16:creationId xmlns:a16="http://schemas.microsoft.com/office/drawing/2014/main" id="{18A37394-7BDE-45E0-88B9-88462A3DB196}"/>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25" name="ZoneTexte 1524">
          <a:extLst>
            <a:ext uri="{FF2B5EF4-FFF2-40B4-BE49-F238E27FC236}">
              <a16:creationId xmlns:a16="http://schemas.microsoft.com/office/drawing/2014/main" id="{3E92DB6B-7E48-4C42-8806-B8B540B77ADC}"/>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26" name="ZoneTexte 1525">
          <a:extLst>
            <a:ext uri="{FF2B5EF4-FFF2-40B4-BE49-F238E27FC236}">
              <a16:creationId xmlns:a16="http://schemas.microsoft.com/office/drawing/2014/main" id="{DC74E599-BE70-4CEC-800A-38F0589B3690}"/>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27" name="ZoneTexte 1526">
          <a:extLst>
            <a:ext uri="{FF2B5EF4-FFF2-40B4-BE49-F238E27FC236}">
              <a16:creationId xmlns:a16="http://schemas.microsoft.com/office/drawing/2014/main" id="{DDF1DE26-5CDB-4BCB-BBEC-DA0D0CEBDBD0}"/>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28" name="ZoneTexte 1527">
          <a:extLst>
            <a:ext uri="{FF2B5EF4-FFF2-40B4-BE49-F238E27FC236}">
              <a16:creationId xmlns:a16="http://schemas.microsoft.com/office/drawing/2014/main" id="{DF298F65-6427-40E3-BE92-A24EDCEFD912}"/>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29" name="ZoneTexte 1528">
          <a:extLst>
            <a:ext uri="{FF2B5EF4-FFF2-40B4-BE49-F238E27FC236}">
              <a16:creationId xmlns:a16="http://schemas.microsoft.com/office/drawing/2014/main" id="{950F8933-C5F5-4BC0-B842-166D9BD9475C}"/>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30" name="ZoneTexte 1529">
          <a:extLst>
            <a:ext uri="{FF2B5EF4-FFF2-40B4-BE49-F238E27FC236}">
              <a16:creationId xmlns:a16="http://schemas.microsoft.com/office/drawing/2014/main" id="{F7A38BB2-63C4-4C27-BEE5-6749F3343FF9}"/>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54</xdr:row>
      <xdr:rowOff>3706090</xdr:rowOff>
    </xdr:from>
    <xdr:to>
      <xdr:col>2</xdr:col>
      <xdr:colOff>5142675</xdr:colOff>
      <xdr:row>54</xdr:row>
      <xdr:rowOff>4005447</xdr:rowOff>
    </xdr:to>
    <xdr:sp macro="" textlink="">
      <xdr:nvSpPr>
        <xdr:cNvPr id="1531" name="ZoneTexte 1530">
          <a:extLst>
            <a:ext uri="{FF2B5EF4-FFF2-40B4-BE49-F238E27FC236}">
              <a16:creationId xmlns:a16="http://schemas.microsoft.com/office/drawing/2014/main" id="{54016982-904A-4F72-B32D-3271F2E27364}"/>
            </a:ext>
          </a:extLst>
        </xdr:cNvPr>
        <xdr:cNvSpPr txBox="1"/>
      </xdr:nvSpPr>
      <xdr:spPr>
        <a:xfrm>
          <a:off x="7275765" y="18084474"/>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532" name="ZoneTexte 1531">
          <a:extLst>
            <a:ext uri="{FF2B5EF4-FFF2-40B4-BE49-F238E27FC236}">
              <a16:creationId xmlns:a16="http://schemas.microsoft.com/office/drawing/2014/main" id="{E9712863-8FC3-4CE5-8885-940EB6495E0B}"/>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533" name="ZoneTexte 1532">
          <a:extLst>
            <a:ext uri="{FF2B5EF4-FFF2-40B4-BE49-F238E27FC236}">
              <a16:creationId xmlns:a16="http://schemas.microsoft.com/office/drawing/2014/main" id="{8DFBB09E-4495-4885-AB23-8920DC49B4E4}"/>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598" name="ZoneTexte 1597">
          <a:extLst>
            <a:ext uri="{FF2B5EF4-FFF2-40B4-BE49-F238E27FC236}">
              <a16:creationId xmlns:a16="http://schemas.microsoft.com/office/drawing/2014/main" id="{5F3B788D-FC29-4E03-88E5-5BE792205CC3}"/>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599" name="ZoneTexte 1598">
          <a:extLst>
            <a:ext uri="{FF2B5EF4-FFF2-40B4-BE49-F238E27FC236}">
              <a16:creationId xmlns:a16="http://schemas.microsoft.com/office/drawing/2014/main" id="{7DF09B58-2C33-4928-AC55-8A92AB34222D}"/>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60" name="ZoneTexte 1759">
          <a:extLst>
            <a:ext uri="{FF2B5EF4-FFF2-40B4-BE49-F238E27FC236}">
              <a16:creationId xmlns:a16="http://schemas.microsoft.com/office/drawing/2014/main" id="{72722BF3-7033-406A-91D9-75A54300F4EC}"/>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61" name="ZoneTexte 1760">
          <a:extLst>
            <a:ext uri="{FF2B5EF4-FFF2-40B4-BE49-F238E27FC236}">
              <a16:creationId xmlns:a16="http://schemas.microsoft.com/office/drawing/2014/main" id="{805A604D-2B51-4CC1-ADA8-45C8E714257F}"/>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62" name="ZoneTexte 1761">
          <a:extLst>
            <a:ext uri="{FF2B5EF4-FFF2-40B4-BE49-F238E27FC236}">
              <a16:creationId xmlns:a16="http://schemas.microsoft.com/office/drawing/2014/main" id="{7A60451E-03C0-4BF4-B280-30F317DE734D}"/>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63" name="ZoneTexte 1762">
          <a:extLst>
            <a:ext uri="{FF2B5EF4-FFF2-40B4-BE49-F238E27FC236}">
              <a16:creationId xmlns:a16="http://schemas.microsoft.com/office/drawing/2014/main" id="{9BAF931F-C5D8-47BB-9F6C-1E397BC5DA3A}"/>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64" name="ZoneTexte 1763">
          <a:extLst>
            <a:ext uri="{FF2B5EF4-FFF2-40B4-BE49-F238E27FC236}">
              <a16:creationId xmlns:a16="http://schemas.microsoft.com/office/drawing/2014/main" id="{F62A9A36-75C2-48E8-A880-6A4898429949}"/>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65" name="ZoneTexte 1764">
          <a:extLst>
            <a:ext uri="{FF2B5EF4-FFF2-40B4-BE49-F238E27FC236}">
              <a16:creationId xmlns:a16="http://schemas.microsoft.com/office/drawing/2014/main" id="{E1EE90E9-536C-406A-831E-110E82F629DB}"/>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66" name="ZoneTexte 1765">
          <a:extLst>
            <a:ext uri="{FF2B5EF4-FFF2-40B4-BE49-F238E27FC236}">
              <a16:creationId xmlns:a16="http://schemas.microsoft.com/office/drawing/2014/main" id="{BD627741-FE45-486A-9E33-67CB65F4C991}"/>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67" name="ZoneTexte 1766">
          <a:extLst>
            <a:ext uri="{FF2B5EF4-FFF2-40B4-BE49-F238E27FC236}">
              <a16:creationId xmlns:a16="http://schemas.microsoft.com/office/drawing/2014/main" id="{86F7AF59-93D9-42F8-AB6E-C38F2436ADA4}"/>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68" name="ZoneTexte 1767">
          <a:extLst>
            <a:ext uri="{FF2B5EF4-FFF2-40B4-BE49-F238E27FC236}">
              <a16:creationId xmlns:a16="http://schemas.microsoft.com/office/drawing/2014/main" id="{F0D0080C-FA48-40DD-A049-2A30AEF526CC}"/>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69" name="ZoneTexte 1768">
          <a:extLst>
            <a:ext uri="{FF2B5EF4-FFF2-40B4-BE49-F238E27FC236}">
              <a16:creationId xmlns:a16="http://schemas.microsoft.com/office/drawing/2014/main" id="{0B3AB9FE-4C71-4163-9E0A-0B639CD197AC}"/>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70" name="ZoneTexte 1769">
          <a:extLst>
            <a:ext uri="{FF2B5EF4-FFF2-40B4-BE49-F238E27FC236}">
              <a16:creationId xmlns:a16="http://schemas.microsoft.com/office/drawing/2014/main" id="{01E54700-E263-4D83-9B16-0CEC91394819}"/>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71" name="ZoneTexte 1770">
          <a:extLst>
            <a:ext uri="{FF2B5EF4-FFF2-40B4-BE49-F238E27FC236}">
              <a16:creationId xmlns:a16="http://schemas.microsoft.com/office/drawing/2014/main" id="{43E6ECB5-7588-44CD-A9D0-062792BEECC7}"/>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72" name="ZoneTexte 1771">
          <a:extLst>
            <a:ext uri="{FF2B5EF4-FFF2-40B4-BE49-F238E27FC236}">
              <a16:creationId xmlns:a16="http://schemas.microsoft.com/office/drawing/2014/main" id="{87DD53FC-0013-4B72-BD2C-534AA417B375}"/>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773" name="ZoneTexte 1772">
          <a:extLst>
            <a:ext uri="{FF2B5EF4-FFF2-40B4-BE49-F238E27FC236}">
              <a16:creationId xmlns:a16="http://schemas.microsoft.com/office/drawing/2014/main" id="{5F879353-478B-476F-A9D1-F5F8C0F29DF3}"/>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918" name="ZoneTexte 1917">
          <a:extLst>
            <a:ext uri="{FF2B5EF4-FFF2-40B4-BE49-F238E27FC236}">
              <a16:creationId xmlns:a16="http://schemas.microsoft.com/office/drawing/2014/main" id="{351A4E35-C621-4805-BC0B-694D1E98D607}"/>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1919" name="ZoneTexte 1918">
          <a:extLst>
            <a:ext uri="{FF2B5EF4-FFF2-40B4-BE49-F238E27FC236}">
              <a16:creationId xmlns:a16="http://schemas.microsoft.com/office/drawing/2014/main" id="{12FC5032-910A-48D2-8A74-4CF74C3BBC1E}"/>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2144" name="ZoneTexte 2143">
          <a:extLst>
            <a:ext uri="{FF2B5EF4-FFF2-40B4-BE49-F238E27FC236}">
              <a16:creationId xmlns:a16="http://schemas.microsoft.com/office/drawing/2014/main" id="{E7DA59A1-E3A8-44F6-9DFB-EDA6AED4CF16}"/>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2145" name="ZoneTexte 2144">
          <a:extLst>
            <a:ext uri="{FF2B5EF4-FFF2-40B4-BE49-F238E27FC236}">
              <a16:creationId xmlns:a16="http://schemas.microsoft.com/office/drawing/2014/main" id="{DF4C7BC6-C511-4775-ABCB-BA8D0EF58E2A}"/>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2146" name="ZoneTexte 2145">
          <a:extLst>
            <a:ext uri="{FF2B5EF4-FFF2-40B4-BE49-F238E27FC236}">
              <a16:creationId xmlns:a16="http://schemas.microsoft.com/office/drawing/2014/main" id="{E29683B8-C3C5-4507-B6EC-0642EE3C98EF}"/>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2147" name="ZoneTexte 2146">
          <a:extLst>
            <a:ext uri="{FF2B5EF4-FFF2-40B4-BE49-F238E27FC236}">
              <a16:creationId xmlns:a16="http://schemas.microsoft.com/office/drawing/2014/main" id="{69C04261-F833-43F9-BFAA-7F0C4A35368A}"/>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2148" name="ZoneTexte 2147">
          <a:extLst>
            <a:ext uri="{FF2B5EF4-FFF2-40B4-BE49-F238E27FC236}">
              <a16:creationId xmlns:a16="http://schemas.microsoft.com/office/drawing/2014/main" id="{D3B57083-AA36-4ED7-800B-4B890ECC823A}"/>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2149" name="ZoneTexte 2148">
          <a:extLst>
            <a:ext uri="{FF2B5EF4-FFF2-40B4-BE49-F238E27FC236}">
              <a16:creationId xmlns:a16="http://schemas.microsoft.com/office/drawing/2014/main" id="{7126515F-2B67-4149-A48A-6924083386DE}"/>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2150" name="ZoneTexte 2149">
          <a:extLst>
            <a:ext uri="{FF2B5EF4-FFF2-40B4-BE49-F238E27FC236}">
              <a16:creationId xmlns:a16="http://schemas.microsoft.com/office/drawing/2014/main" id="{723DA10F-3E61-4F5F-B263-0FD779964815}"/>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2151" name="ZoneTexte 2150">
          <a:extLst>
            <a:ext uri="{FF2B5EF4-FFF2-40B4-BE49-F238E27FC236}">
              <a16:creationId xmlns:a16="http://schemas.microsoft.com/office/drawing/2014/main" id="{76F2EC11-4071-4991-B942-C310122225DF}"/>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2152" name="ZoneTexte 2151">
          <a:extLst>
            <a:ext uri="{FF2B5EF4-FFF2-40B4-BE49-F238E27FC236}">
              <a16:creationId xmlns:a16="http://schemas.microsoft.com/office/drawing/2014/main" id="{2254E61B-4009-4F85-B641-182D1468685F}"/>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2153" name="ZoneTexte 2152">
          <a:extLst>
            <a:ext uri="{FF2B5EF4-FFF2-40B4-BE49-F238E27FC236}">
              <a16:creationId xmlns:a16="http://schemas.microsoft.com/office/drawing/2014/main" id="{EC291178-518F-4685-AD92-F648EB22126B}"/>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2154" name="ZoneTexte 2153">
          <a:extLst>
            <a:ext uri="{FF2B5EF4-FFF2-40B4-BE49-F238E27FC236}">
              <a16:creationId xmlns:a16="http://schemas.microsoft.com/office/drawing/2014/main" id="{55860DE0-9BE5-459E-8C0B-16BE89A9D525}"/>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47</xdr:row>
      <xdr:rowOff>3706090</xdr:rowOff>
    </xdr:from>
    <xdr:to>
      <xdr:col>2</xdr:col>
      <xdr:colOff>5142675</xdr:colOff>
      <xdr:row>47</xdr:row>
      <xdr:rowOff>4005447</xdr:rowOff>
    </xdr:to>
    <xdr:sp macro="" textlink="">
      <xdr:nvSpPr>
        <xdr:cNvPr id="2155" name="ZoneTexte 2154">
          <a:extLst>
            <a:ext uri="{FF2B5EF4-FFF2-40B4-BE49-F238E27FC236}">
              <a16:creationId xmlns:a16="http://schemas.microsoft.com/office/drawing/2014/main" id="{43EB117A-BAE5-4C5B-9045-45D80E3E7422}"/>
            </a:ext>
          </a:extLst>
        </xdr:cNvPr>
        <xdr:cNvSpPr txBox="1"/>
      </xdr:nvSpPr>
      <xdr:spPr>
        <a:xfrm>
          <a:off x="7275765" y="1908459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156" name="ZoneTexte 2155">
          <a:extLst>
            <a:ext uri="{FF2B5EF4-FFF2-40B4-BE49-F238E27FC236}">
              <a16:creationId xmlns:a16="http://schemas.microsoft.com/office/drawing/2014/main" id="{8F7702B7-C2B1-4777-9A7D-75862AC1FEB2}"/>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157" name="ZoneTexte 2156">
          <a:extLst>
            <a:ext uri="{FF2B5EF4-FFF2-40B4-BE49-F238E27FC236}">
              <a16:creationId xmlns:a16="http://schemas.microsoft.com/office/drawing/2014/main" id="{71A556F2-5572-472E-9CD0-68F683DE65EF}"/>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158" name="ZoneTexte 2157">
          <a:extLst>
            <a:ext uri="{FF2B5EF4-FFF2-40B4-BE49-F238E27FC236}">
              <a16:creationId xmlns:a16="http://schemas.microsoft.com/office/drawing/2014/main" id="{7CBE47B2-7463-4F7A-95F5-B5E866B9C695}"/>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159" name="ZoneTexte 2158">
          <a:extLst>
            <a:ext uri="{FF2B5EF4-FFF2-40B4-BE49-F238E27FC236}">
              <a16:creationId xmlns:a16="http://schemas.microsoft.com/office/drawing/2014/main" id="{593D8C08-E6DF-47BA-9CFC-B991C75F1EE2}"/>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162" name="ZoneTexte 2161">
          <a:extLst>
            <a:ext uri="{FF2B5EF4-FFF2-40B4-BE49-F238E27FC236}">
              <a16:creationId xmlns:a16="http://schemas.microsoft.com/office/drawing/2014/main" id="{6C5295AF-215F-43B1-BCEC-5837DCA6E990}"/>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163" name="ZoneTexte 2162">
          <a:extLst>
            <a:ext uri="{FF2B5EF4-FFF2-40B4-BE49-F238E27FC236}">
              <a16:creationId xmlns:a16="http://schemas.microsoft.com/office/drawing/2014/main" id="{A81F2736-C907-463A-9A3C-0155698C6C89}"/>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206" name="ZoneTexte 2205">
          <a:extLst>
            <a:ext uri="{FF2B5EF4-FFF2-40B4-BE49-F238E27FC236}">
              <a16:creationId xmlns:a16="http://schemas.microsoft.com/office/drawing/2014/main" id="{899455B3-7B96-4B4F-9265-C209AFB1E6A5}"/>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207" name="ZoneTexte 2206">
          <a:extLst>
            <a:ext uri="{FF2B5EF4-FFF2-40B4-BE49-F238E27FC236}">
              <a16:creationId xmlns:a16="http://schemas.microsoft.com/office/drawing/2014/main" id="{53C545E7-4736-4392-8CC3-C3FB504984F7}"/>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208" name="ZoneTexte 2207">
          <a:extLst>
            <a:ext uri="{FF2B5EF4-FFF2-40B4-BE49-F238E27FC236}">
              <a16:creationId xmlns:a16="http://schemas.microsoft.com/office/drawing/2014/main" id="{7F225F02-7DD4-4D06-86A0-BDBBEA8C9403}"/>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209" name="ZoneTexte 2208">
          <a:extLst>
            <a:ext uri="{FF2B5EF4-FFF2-40B4-BE49-F238E27FC236}">
              <a16:creationId xmlns:a16="http://schemas.microsoft.com/office/drawing/2014/main" id="{71EC90C6-27D5-414F-ABF1-3ED2D4C92C3C}"/>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226" name="ZoneTexte 2225">
          <a:extLst>
            <a:ext uri="{FF2B5EF4-FFF2-40B4-BE49-F238E27FC236}">
              <a16:creationId xmlns:a16="http://schemas.microsoft.com/office/drawing/2014/main" id="{83978440-B9BF-4095-95F6-DAD6F760CCE8}"/>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227" name="ZoneTexte 2226">
          <a:extLst>
            <a:ext uri="{FF2B5EF4-FFF2-40B4-BE49-F238E27FC236}">
              <a16:creationId xmlns:a16="http://schemas.microsoft.com/office/drawing/2014/main" id="{D7129327-D2FF-4D8E-AE4F-0D11E2C6BB75}"/>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228" name="ZoneTexte 2227">
          <a:extLst>
            <a:ext uri="{FF2B5EF4-FFF2-40B4-BE49-F238E27FC236}">
              <a16:creationId xmlns:a16="http://schemas.microsoft.com/office/drawing/2014/main" id="{938412CA-A496-4F6F-A08B-8D7193F840E1}"/>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229" name="ZoneTexte 2228">
          <a:extLst>
            <a:ext uri="{FF2B5EF4-FFF2-40B4-BE49-F238E27FC236}">
              <a16:creationId xmlns:a16="http://schemas.microsoft.com/office/drawing/2014/main" id="{C8586674-0AEE-450C-8FB4-78D8057B8BF5}"/>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236" name="ZoneTexte 2235">
          <a:extLst>
            <a:ext uri="{FF2B5EF4-FFF2-40B4-BE49-F238E27FC236}">
              <a16:creationId xmlns:a16="http://schemas.microsoft.com/office/drawing/2014/main" id="{A9C354CB-18A9-46BF-8FA8-EFD1F4A67F4E}"/>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237" name="ZoneTexte 2236">
          <a:extLst>
            <a:ext uri="{FF2B5EF4-FFF2-40B4-BE49-F238E27FC236}">
              <a16:creationId xmlns:a16="http://schemas.microsoft.com/office/drawing/2014/main" id="{33EDA03D-7A8D-489E-A397-4110EBB24A4E}"/>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238" name="ZoneTexte 2237">
          <a:extLst>
            <a:ext uri="{FF2B5EF4-FFF2-40B4-BE49-F238E27FC236}">
              <a16:creationId xmlns:a16="http://schemas.microsoft.com/office/drawing/2014/main" id="{A582A160-3CB3-4E34-83B5-A0B5A5225D41}"/>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239" name="ZoneTexte 2238">
          <a:extLst>
            <a:ext uri="{FF2B5EF4-FFF2-40B4-BE49-F238E27FC236}">
              <a16:creationId xmlns:a16="http://schemas.microsoft.com/office/drawing/2014/main" id="{464DA08B-51A9-4056-A1F8-DC2F0753E545}"/>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330" name="ZoneTexte 2329">
          <a:extLst>
            <a:ext uri="{FF2B5EF4-FFF2-40B4-BE49-F238E27FC236}">
              <a16:creationId xmlns:a16="http://schemas.microsoft.com/office/drawing/2014/main" id="{847E0AFE-20CF-4218-B7F2-D8440DC029E4}"/>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331" name="ZoneTexte 2330">
          <a:extLst>
            <a:ext uri="{FF2B5EF4-FFF2-40B4-BE49-F238E27FC236}">
              <a16:creationId xmlns:a16="http://schemas.microsoft.com/office/drawing/2014/main" id="{5652E098-E077-47A9-B658-35D0ECF593A2}"/>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332" name="ZoneTexte 2331">
          <a:extLst>
            <a:ext uri="{FF2B5EF4-FFF2-40B4-BE49-F238E27FC236}">
              <a16:creationId xmlns:a16="http://schemas.microsoft.com/office/drawing/2014/main" id="{F204F7F6-AF58-4F77-A649-AB1CFC4337CB}"/>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333" name="ZoneTexte 2332">
          <a:extLst>
            <a:ext uri="{FF2B5EF4-FFF2-40B4-BE49-F238E27FC236}">
              <a16:creationId xmlns:a16="http://schemas.microsoft.com/office/drawing/2014/main" id="{CAE7FCA6-1B9F-4DC8-AECA-0E6E7DF650F5}"/>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334" name="ZoneTexte 2333">
          <a:extLst>
            <a:ext uri="{FF2B5EF4-FFF2-40B4-BE49-F238E27FC236}">
              <a16:creationId xmlns:a16="http://schemas.microsoft.com/office/drawing/2014/main" id="{413E354E-9DD3-40ED-9940-55CC443B0487}"/>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2335" name="ZoneTexte 2334">
          <a:extLst>
            <a:ext uri="{FF2B5EF4-FFF2-40B4-BE49-F238E27FC236}">
              <a16:creationId xmlns:a16="http://schemas.microsoft.com/office/drawing/2014/main" id="{DFA4E821-A728-4B37-B6AE-CF3AE16D5BC2}"/>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1120" name="ZoneTexte 1119">
          <a:extLst>
            <a:ext uri="{FF2B5EF4-FFF2-40B4-BE49-F238E27FC236}">
              <a16:creationId xmlns:a16="http://schemas.microsoft.com/office/drawing/2014/main" id="{5949C0A2-C002-43B4-BA61-40A73D30DC33}"/>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1121" name="ZoneTexte 1120">
          <a:extLst>
            <a:ext uri="{FF2B5EF4-FFF2-40B4-BE49-F238E27FC236}">
              <a16:creationId xmlns:a16="http://schemas.microsoft.com/office/drawing/2014/main" id="{928ADC42-8007-4712-BEB1-F254FC635381}"/>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1122" name="ZoneTexte 1121">
          <a:extLst>
            <a:ext uri="{FF2B5EF4-FFF2-40B4-BE49-F238E27FC236}">
              <a16:creationId xmlns:a16="http://schemas.microsoft.com/office/drawing/2014/main" id="{D93A4F9D-2792-4B6E-BA5B-C78E4276A372}"/>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1123" name="ZoneTexte 1122">
          <a:extLst>
            <a:ext uri="{FF2B5EF4-FFF2-40B4-BE49-F238E27FC236}">
              <a16:creationId xmlns:a16="http://schemas.microsoft.com/office/drawing/2014/main" id="{6323D692-3DAF-4919-B2AF-4DC515E3EF4E}"/>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1124" name="ZoneTexte 1123">
          <a:extLst>
            <a:ext uri="{FF2B5EF4-FFF2-40B4-BE49-F238E27FC236}">
              <a16:creationId xmlns:a16="http://schemas.microsoft.com/office/drawing/2014/main" id="{11856753-642F-40BA-AAF8-EFF77F01BBD4}"/>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1125" name="ZoneTexte 1124">
          <a:extLst>
            <a:ext uri="{FF2B5EF4-FFF2-40B4-BE49-F238E27FC236}">
              <a16:creationId xmlns:a16="http://schemas.microsoft.com/office/drawing/2014/main" id="{484903B3-99F5-4492-8AA1-04C3A901AEFD}"/>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1126" name="ZoneTexte 1125">
          <a:extLst>
            <a:ext uri="{FF2B5EF4-FFF2-40B4-BE49-F238E27FC236}">
              <a16:creationId xmlns:a16="http://schemas.microsoft.com/office/drawing/2014/main" id="{DBD0E4D9-57A0-403F-856B-113FA2B784FC}"/>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61</xdr:row>
      <xdr:rowOff>3706090</xdr:rowOff>
    </xdr:from>
    <xdr:to>
      <xdr:col>2</xdr:col>
      <xdr:colOff>5142675</xdr:colOff>
      <xdr:row>61</xdr:row>
      <xdr:rowOff>4005447</xdr:rowOff>
    </xdr:to>
    <xdr:sp macro="" textlink="">
      <xdr:nvSpPr>
        <xdr:cNvPr id="1127" name="ZoneTexte 1126">
          <a:extLst>
            <a:ext uri="{FF2B5EF4-FFF2-40B4-BE49-F238E27FC236}">
              <a16:creationId xmlns:a16="http://schemas.microsoft.com/office/drawing/2014/main" id="{90069EDA-8A23-4E69-B296-3EA705BDC49A}"/>
            </a:ext>
          </a:extLst>
        </xdr:cNvPr>
        <xdr:cNvSpPr txBox="1"/>
      </xdr:nvSpPr>
      <xdr:spPr>
        <a:xfrm>
          <a:off x="7275765" y="18848459"/>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4710545</xdr:colOff>
      <xdr:row>35</xdr:row>
      <xdr:rowOff>2412999</xdr:rowOff>
    </xdr:from>
    <xdr:to>
      <xdr:col>2</xdr:col>
      <xdr:colOff>5327402</xdr:colOff>
      <xdr:row>35</xdr:row>
      <xdr:rowOff>2712356</xdr:rowOff>
    </xdr:to>
    <xdr:sp macro="" textlink="">
      <xdr:nvSpPr>
        <xdr:cNvPr id="2" name="ZoneTexte 1">
          <a:extLst>
            <a:ext uri="{FF2B5EF4-FFF2-40B4-BE49-F238E27FC236}">
              <a16:creationId xmlns:a16="http://schemas.microsoft.com/office/drawing/2014/main" id="{00000000-0008-0000-0F00-000002000000}"/>
            </a:ext>
          </a:extLst>
        </xdr:cNvPr>
        <xdr:cNvSpPr txBox="1"/>
      </xdr:nvSpPr>
      <xdr:spPr>
        <a:xfrm>
          <a:off x="1824470" y="6861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35</xdr:row>
      <xdr:rowOff>3706090</xdr:rowOff>
    </xdr:from>
    <xdr:to>
      <xdr:col>2</xdr:col>
      <xdr:colOff>5142675</xdr:colOff>
      <xdr:row>35</xdr:row>
      <xdr:rowOff>4005447</xdr:rowOff>
    </xdr:to>
    <xdr:sp macro="" textlink="">
      <xdr:nvSpPr>
        <xdr:cNvPr id="3" name="ZoneTexte 2">
          <a:extLst>
            <a:ext uri="{FF2B5EF4-FFF2-40B4-BE49-F238E27FC236}">
              <a16:creationId xmlns:a16="http://schemas.microsoft.com/office/drawing/2014/main" id="{00000000-0008-0000-0F00-000003000000}"/>
            </a:ext>
          </a:extLst>
        </xdr:cNvPr>
        <xdr:cNvSpPr txBox="1"/>
      </xdr:nvSpPr>
      <xdr:spPr>
        <a:xfrm>
          <a:off x="1830243" y="6858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xdr:row>
      <xdr:rowOff>2412999</xdr:rowOff>
    </xdr:from>
    <xdr:to>
      <xdr:col>2</xdr:col>
      <xdr:colOff>5327402</xdr:colOff>
      <xdr:row>15</xdr:row>
      <xdr:rowOff>2712356</xdr:rowOff>
    </xdr:to>
    <xdr:sp macro="" textlink="">
      <xdr:nvSpPr>
        <xdr:cNvPr id="4" name="ZoneTexte 3">
          <a:extLst>
            <a:ext uri="{FF2B5EF4-FFF2-40B4-BE49-F238E27FC236}">
              <a16:creationId xmlns:a16="http://schemas.microsoft.com/office/drawing/2014/main" id="{00000000-0008-0000-0F00-000004000000}"/>
            </a:ext>
          </a:extLst>
        </xdr:cNvPr>
        <xdr:cNvSpPr txBox="1"/>
      </xdr:nvSpPr>
      <xdr:spPr>
        <a:xfrm>
          <a:off x="1824470" y="3051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xdr:row>
      <xdr:rowOff>3706090</xdr:rowOff>
    </xdr:from>
    <xdr:to>
      <xdr:col>2</xdr:col>
      <xdr:colOff>5142675</xdr:colOff>
      <xdr:row>15</xdr:row>
      <xdr:rowOff>4005447</xdr:rowOff>
    </xdr:to>
    <xdr:sp macro="" textlink="">
      <xdr:nvSpPr>
        <xdr:cNvPr id="5" name="ZoneTexte 4">
          <a:extLst>
            <a:ext uri="{FF2B5EF4-FFF2-40B4-BE49-F238E27FC236}">
              <a16:creationId xmlns:a16="http://schemas.microsoft.com/office/drawing/2014/main" id="{00000000-0008-0000-0F00-000005000000}"/>
            </a:ext>
          </a:extLst>
        </xdr:cNvPr>
        <xdr:cNvSpPr txBox="1"/>
      </xdr:nvSpPr>
      <xdr:spPr>
        <a:xfrm>
          <a:off x="1830243" y="3048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xdr:row>
      <xdr:rowOff>2412999</xdr:rowOff>
    </xdr:from>
    <xdr:to>
      <xdr:col>2</xdr:col>
      <xdr:colOff>5327402</xdr:colOff>
      <xdr:row>15</xdr:row>
      <xdr:rowOff>2712356</xdr:rowOff>
    </xdr:to>
    <xdr:sp macro="" textlink="">
      <xdr:nvSpPr>
        <xdr:cNvPr id="6" name="ZoneTexte 5">
          <a:extLst>
            <a:ext uri="{FF2B5EF4-FFF2-40B4-BE49-F238E27FC236}">
              <a16:creationId xmlns:a16="http://schemas.microsoft.com/office/drawing/2014/main" id="{00000000-0008-0000-0F00-000006000000}"/>
            </a:ext>
          </a:extLst>
        </xdr:cNvPr>
        <xdr:cNvSpPr txBox="1"/>
      </xdr:nvSpPr>
      <xdr:spPr>
        <a:xfrm>
          <a:off x="1824470" y="3051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xdr:row>
      <xdr:rowOff>2412999</xdr:rowOff>
    </xdr:from>
    <xdr:to>
      <xdr:col>2</xdr:col>
      <xdr:colOff>5327402</xdr:colOff>
      <xdr:row>8</xdr:row>
      <xdr:rowOff>2712356</xdr:rowOff>
    </xdr:to>
    <xdr:sp macro="" textlink="">
      <xdr:nvSpPr>
        <xdr:cNvPr id="7" name="ZoneTexte 6">
          <a:extLst>
            <a:ext uri="{FF2B5EF4-FFF2-40B4-BE49-F238E27FC236}">
              <a16:creationId xmlns:a16="http://schemas.microsoft.com/office/drawing/2014/main" id="{00000000-0008-0000-0F00-000007000000}"/>
            </a:ext>
          </a:extLst>
        </xdr:cNvPr>
        <xdr:cNvSpPr txBox="1"/>
      </xdr:nvSpPr>
      <xdr:spPr>
        <a:xfrm>
          <a:off x="1824470" y="1717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35</xdr:row>
      <xdr:rowOff>2412999</xdr:rowOff>
    </xdr:from>
    <xdr:to>
      <xdr:col>2</xdr:col>
      <xdr:colOff>5327402</xdr:colOff>
      <xdr:row>35</xdr:row>
      <xdr:rowOff>2712356</xdr:rowOff>
    </xdr:to>
    <xdr:sp macro="" textlink="">
      <xdr:nvSpPr>
        <xdr:cNvPr id="8" name="ZoneTexte 7">
          <a:extLst>
            <a:ext uri="{FF2B5EF4-FFF2-40B4-BE49-F238E27FC236}">
              <a16:creationId xmlns:a16="http://schemas.microsoft.com/office/drawing/2014/main" id="{00000000-0008-0000-0F00-000008000000}"/>
            </a:ext>
          </a:extLst>
        </xdr:cNvPr>
        <xdr:cNvSpPr txBox="1"/>
      </xdr:nvSpPr>
      <xdr:spPr>
        <a:xfrm>
          <a:off x="1824470" y="6861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35</xdr:row>
      <xdr:rowOff>3706090</xdr:rowOff>
    </xdr:from>
    <xdr:to>
      <xdr:col>2</xdr:col>
      <xdr:colOff>5142675</xdr:colOff>
      <xdr:row>35</xdr:row>
      <xdr:rowOff>4005447</xdr:rowOff>
    </xdr:to>
    <xdr:sp macro="" textlink="">
      <xdr:nvSpPr>
        <xdr:cNvPr id="9" name="ZoneTexte 8">
          <a:extLst>
            <a:ext uri="{FF2B5EF4-FFF2-40B4-BE49-F238E27FC236}">
              <a16:creationId xmlns:a16="http://schemas.microsoft.com/office/drawing/2014/main" id="{00000000-0008-0000-0F00-000009000000}"/>
            </a:ext>
          </a:extLst>
        </xdr:cNvPr>
        <xdr:cNvSpPr txBox="1"/>
      </xdr:nvSpPr>
      <xdr:spPr>
        <a:xfrm>
          <a:off x="1830243" y="6858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xdr:row>
      <xdr:rowOff>2412999</xdr:rowOff>
    </xdr:from>
    <xdr:to>
      <xdr:col>2</xdr:col>
      <xdr:colOff>5327402</xdr:colOff>
      <xdr:row>15</xdr:row>
      <xdr:rowOff>2712356</xdr:rowOff>
    </xdr:to>
    <xdr:sp macro="" textlink="">
      <xdr:nvSpPr>
        <xdr:cNvPr id="10" name="ZoneTexte 9">
          <a:extLst>
            <a:ext uri="{FF2B5EF4-FFF2-40B4-BE49-F238E27FC236}">
              <a16:creationId xmlns:a16="http://schemas.microsoft.com/office/drawing/2014/main" id="{00000000-0008-0000-0F00-00000A000000}"/>
            </a:ext>
          </a:extLst>
        </xdr:cNvPr>
        <xdr:cNvSpPr txBox="1"/>
      </xdr:nvSpPr>
      <xdr:spPr>
        <a:xfrm>
          <a:off x="1824470" y="3051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xdr:row>
      <xdr:rowOff>3706090</xdr:rowOff>
    </xdr:from>
    <xdr:to>
      <xdr:col>2</xdr:col>
      <xdr:colOff>5142675</xdr:colOff>
      <xdr:row>15</xdr:row>
      <xdr:rowOff>4005447</xdr:rowOff>
    </xdr:to>
    <xdr:sp macro="" textlink="">
      <xdr:nvSpPr>
        <xdr:cNvPr id="11" name="ZoneTexte 10">
          <a:extLst>
            <a:ext uri="{FF2B5EF4-FFF2-40B4-BE49-F238E27FC236}">
              <a16:creationId xmlns:a16="http://schemas.microsoft.com/office/drawing/2014/main" id="{00000000-0008-0000-0F00-00000B000000}"/>
            </a:ext>
          </a:extLst>
        </xdr:cNvPr>
        <xdr:cNvSpPr txBox="1"/>
      </xdr:nvSpPr>
      <xdr:spPr>
        <a:xfrm>
          <a:off x="1830243" y="3048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xdr:row>
      <xdr:rowOff>2412999</xdr:rowOff>
    </xdr:from>
    <xdr:to>
      <xdr:col>2</xdr:col>
      <xdr:colOff>5327402</xdr:colOff>
      <xdr:row>15</xdr:row>
      <xdr:rowOff>2712356</xdr:rowOff>
    </xdr:to>
    <xdr:sp macro="" textlink="">
      <xdr:nvSpPr>
        <xdr:cNvPr id="12" name="ZoneTexte 11">
          <a:extLst>
            <a:ext uri="{FF2B5EF4-FFF2-40B4-BE49-F238E27FC236}">
              <a16:creationId xmlns:a16="http://schemas.microsoft.com/office/drawing/2014/main" id="{00000000-0008-0000-0F00-00000C000000}"/>
            </a:ext>
          </a:extLst>
        </xdr:cNvPr>
        <xdr:cNvSpPr txBox="1"/>
      </xdr:nvSpPr>
      <xdr:spPr>
        <a:xfrm>
          <a:off x="1824470" y="3051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xdr:row>
      <xdr:rowOff>2412999</xdr:rowOff>
    </xdr:from>
    <xdr:to>
      <xdr:col>2</xdr:col>
      <xdr:colOff>5327402</xdr:colOff>
      <xdr:row>8</xdr:row>
      <xdr:rowOff>2712356</xdr:rowOff>
    </xdr:to>
    <xdr:sp macro="" textlink="">
      <xdr:nvSpPr>
        <xdr:cNvPr id="13" name="ZoneTexte 12">
          <a:extLst>
            <a:ext uri="{FF2B5EF4-FFF2-40B4-BE49-F238E27FC236}">
              <a16:creationId xmlns:a16="http://schemas.microsoft.com/office/drawing/2014/main" id="{00000000-0008-0000-0F00-00000D000000}"/>
            </a:ext>
          </a:extLst>
        </xdr:cNvPr>
        <xdr:cNvSpPr txBox="1"/>
      </xdr:nvSpPr>
      <xdr:spPr>
        <a:xfrm>
          <a:off x="1824470" y="1717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xdr:row>
      <xdr:rowOff>2412999</xdr:rowOff>
    </xdr:from>
    <xdr:to>
      <xdr:col>2</xdr:col>
      <xdr:colOff>5327402</xdr:colOff>
      <xdr:row>10</xdr:row>
      <xdr:rowOff>2712356</xdr:rowOff>
    </xdr:to>
    <xdr:sp macro="" textlink="">
      <xdr:nvSpPr>
        <xdr:cNvPr id="14" name="ZoneTexte 13">
          <a:extLst>
            <a:ext uri="{FF2B5EF4-FFF2-40B4-BE49-F238E27FC236}">
              <a16:creationId xmlns:a16="http://schemas.microsoft.com/office/drawing/2014/main" id="{00000000-0008-0000-0F00-00000E000000}"/>
            </a:ext>
          </a:extLst>
        </xdr:cNvPr>
        <xdr:cNvSpPr txBox="1"/>
      </xdr:nvSpPr>
      <xdr:spPr>
        <a:xfrm>
          <a:off x="1824470" y="2098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xdr:row>
      <xdr:rowOff>2412999</xdr:rowOff>
    </xdr:from>
    <xdr:to>
      <xdr:col>2</xdr:col>
      <xdr:colOff>5327402</xdr:colOff>
      <xdr:row>10</xdr:row>
      <xdr:rowOff>2712356</xdr:rowOff>
    </xdr:to>
    <xdr:sp macro="" textlink="">
      <xdr:nvSpPr>
        <xdr:cNvPr id="15" name="ZoneTexte 14">
          <a:extLst>
            <a:ext uri="{FF2B5EF4-FFF2-40B4-BE49-F238E27FC236}">
              <a16:creationId xmlns:a16="http://schemas.microsoft.com/office/drawing/2014/main" id="{00000000-0008-0000-0F00-00000F000000}"/>
            </a:ext>
          </a:extLst>
        </xdr:cNvPr>
        <xdr:cNvSpPr txBox="1"/>
      </xdr:nvSpPr>
      <xdr:spPr>
        <a:xfrm>
          <a:off x="1824470" y="2098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xdr:row>
      <xdr:rowOff>2412999</xdr:rowOff>
    </xdr:from>
    <xdr:to>
      <xdr:col>2</xdr:col>
      <xdr:colOff>5327402</xdr:colOff>
      <xdr:row>12</xdr:row>
      <xdr:rowOff>2712356</xdr:rowOff>
    </xdr:to>
    <xdr:sp macro="" textlink="">
      <xdr:nvSpPr>
        <xdr:cNvPr id="16" name="ZoneTexte 15">
          <a:extLst>
            <a:ext uri="{FF2B5EF4-FFF2-40B4-BE49-F238E27FC236}">
              <a16:creationId xmlns:a16="http://schemas.microsoft.com/office/drawing/2014/main" id="{00000000-0008-0000-0F00-000010000000}"/>
            </a:ext>
          </a:extLst>
        </xdr:cNvPr>
        <xdr:cNvSpPr txBox="1"/>
      </xdr:nvSpPr>
      <xdr:spPr>
        <a:xfrm>
          <a:off x="1824470" y="2479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xdr:row>
      <xdr:rowOff>2412999</xdr:rowOff>
    </xdr:from>
    <xdr:to>
      <xdr:col>2</xdr:col>
      <xdr:colOff>5327402</xdr:colOff>
      <xdr:row>12</xdr:row>
      <xdr:rowOff>2712356</xdr:rowOff>
    </xdr:to>
    <xdr:sp macro="" textlink="">
      <xdr:nvSpPr>
        <xdr:cNvPr id="17" name="ZoneTexte 16">
          <a:extLst>
            <a:ext uri="{FF2B5EF4-FFF2-40B4-BE49-F238E27FC236}">
              <a16:creationId xmlns:a16="http://schemas.microsoft.com/office/drawing/2014/main" id="{00000000-0008-0000-0F00-000011000000}"/>
            </a:ext>
          </a:extLst>
        </xdr:cNvPr>
        <xdr:cNvSpPr txBox="1"/>
      </xdr:nvSpPr>
      <xdr:spPr>
        <a:xfrm>
          <a:off x="1824470" y="2479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xdr:row>
      <xdr:rowOff>2412999</xdr:rowOff>
    </xdr:from>
    <xdr:to>
      <xdr:col>2</xdr:col>
      <xdr:colOff>5327402</xdr:colOff>
      <xdr:row>18</xdr:row>
      <xdr:rowOff>2712356</xdr:rowOff>
    </xdr:to>
    <xdr:sp macro="" textlink="">
      <xdr:nvSpPr>
        <xdr:cNvPr id="18" name="ZoneTexte 17">
          <a:extLst>
            <a:ext uri="{FF2B5EF4-FFF2-40B4-BE49-F238E27FC236}">
              <a16:creationId xmlns:a16="http://schemas.microsoft.com/office/drawing/2014/main" id="{00000000-0008-0000-0F00-000012000000}"/>
            </a:ext>
          </a:extLst>
        </xdr:cNvPr>
        <xdr:cNvSpPr txBox="1"/>
      </xdr:nvSpPr>
      <xdr:spPr>
        <a:xfrm>
          <a:off x="1824470" y="3622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xdr:row>
      <xdr:rowOff>2412999</xdr:rowOff>
    </xdr:from>
    <xdr:to>
      <xdr:col>2</xdr:col>
      <xdr:colOff>5327402</xdr:colOff>
      <xdr:row>18</xdr:row>
      <xdr:rowOff>2712356</xdr:rowOff>
    </xdr:to>
    <xdr:sp macro="" textlink="">
      <xdr:nvSpPr>
        <xdr:cNvPr id="19" name="ZoneTexte 18">
          <a:extLst>
            <a:ext uri="{FF2B5EF4-FFF2-40B4-BE49-F238E27FC236}">
              <a16:creationId xmlns:a16="http://schemas.microsoft.com/office/drawing/2014/main" id="{00000000-0008-0000-0F00-000013000000}"/>
            </a:ext>
          </a:extLst>
        </xdr:cNvPr>
        <xdr:cNvSpPr txBox="1"/>
      </xdr:nvSpPr>
      <xdr:spPr>
        <a:xfrm>
          <a:off x="1824470" y="3622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xdr:row>
      <xdr:rowOff>2412999</xdr:rowOff>
    </xdr:from>
    <xdr:to>
      <xdr:col>2</xdr:col>
      <xdr:colOff>5327402</xdr:colOff>
      <xdr:row>10</xdr:row>
      <xdr:rowOff>2712356</xdr:rowOff>
    </xdr:to>
    <xdr:sp macro="" textlink="">
      <xdr:nvSpPr>
        <xdr:cNvPr id="20" name="ZoneTexte 19">
          <a:extLst>
            <a:ext uri="{FF2B5EF4-FFF2-40B4-BE49-F238E27FC236}">
              <a16:creationId xmlns:a16="http://schemas.microsoft.com/office/drawing/2014/main" id="{00000000-0008-0000-0F00-000014000000}"/>
            </a:ext>
          </a:extLst>
        </xdr:cNvPr>
        <xdr:cNvSpPr txBox="1"/>
      </xdr:nvSpPr>
      <xdr:spPr>
        <a:xfrm>
          <a:off x="1824470" y="2098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10</xdr:row>
      <xdr:rowOff>2412999</xdr:rowOff>
    </xdr:from>
    <xdr:to>
      <xdr:col>2</xdr:col>
      <xdr:colOff>5327402</xdr:colOff>
      <xdr:row>10</xdr:row>
      <xdr:rowOff>2712356</xdr:rowOff>
    </xdr:to>
    <xdr:sp macro="" textlink="">
      <xdr:nvSpPr>
        <xdr:cNvPr id="21" name="ZoneTexte 20">
          <a:extLst>
            <a:ext uri="{FF2B5EF4-FFF2-40B4-BE49-F238E27FC236}">
              <a16:creationId xmlns:a16="http://schemas.microsoft.com/office/drawing/2014/main" id="{00000000-0008-0000-0F00-000015000000}"/>
            </a:ext>
          </a:extLst>
        </xdr:cNvPr>
        <xdr:cNvSpPr txBox="1"/>
      </xdr:nvSpPr>
      <xdr:spPr>
        <a:xfrm>
          <a:off x="1824470" y="2098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xdr:row>
      <xdr:rowOff>2412999</xdr:rowOff>
    </xdr:from>
    <xdr:to>
      <xdr:col>2</xdr:col>
      <xdr:colOff>5327402</xdr:colOff>
      <xdr:row>12</xdr:row>
      <xdr:rowOff>2712356</xdr:rowOff>
    </xdr:to>
    <xdr:sp macro="" textlink="">
      <xdr:nvSpPr>
        <xdr:cNvPr id="22" name="ZoneTexte 21">
          <a:extLst>
            <a:ext uri="{FF2B5EF4-FFF2-40B4-BE49-F238E27FC236}">
              <a16:creationId xmlns:a16="http://schemas.microsoft.com/office/drawing/2014/main" id="{00000000-0008-0000-0F00-000016000000}"/>
            </a:ext>
          </a:extLst>
        </xdr:cNvPr>
        <xdr:cNvSpPr txBox="1"/>
      </xdr:nvSpPr>
      <xdr:spPr>
        <a:xfrm>
          <a:off x="1824470" y="2479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12</xdr:row>
      <xdr:rowOff>2412999</xdr:rowOff>
    </xdr:from>
    <xdr:to>
      <xdr:col>2</xdr:col>
      <xdr:colOff>5327402</xdr:colOff>
      <xdr:row>12</xdr:row>
      <xdr:rowOff>2712356</xdr:rowOff>
    </xdr:to>
    <xdr:sp macro="" textlink="">
      <xdr:nvSpPr>
        <xdr:cNvPr id="23" name="ZoneTexte 22">
          <a:extLst>
            <a:ext uri="{FF2B5EF4-FFF2-40B4-BE49-F238E27FC236}">
              <a16:creationId xmlns:a16="http://schemas.microsoft.com/office/drawing/2014/main" id="{00000000-0008-0000-0F00-000017000000}"/>
            </a:ext>
          </a:extLst>
        </xdr:cNvPr>
        <xdr:cNvSpPr txBox="1"/>
      </xdr:nvSpPr>
      <xdr:spPr>
        <a:xfrm>
          <a:off x="1824470" y="2479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24" name="ZoneTexte 23">
          <a:extLst>
            <a:ext uri="{FF2B5EF4-FFF2-40B4-BE49-F238E27FC236}">
              <a16:creationId xmlns:a16="http://schemas.microsoft.com/office/drawing/2014/main" id="{00000000-0008-0000-0F00-000018000000}"/>
            </a:ext>
          </a:extLst>
        </xdr:cNvPr>
        <xdr:cNvSpPr txBox="1"/>
      </xdr:nvSpPr>
      <xdr:spPr>
        <a:xfrm>
          <a:off x="1824470" y="4003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25" name="ZoneTexte 24">
          <a:extLst>
            <a:ext uri="{FF2B5EF4-FFF2-40B4-BE49-F238E27FC236}">
              <a16:creationId xmlns:a16="http://schemas.microsoft.com/office/drawing/2014/main" id="{00000000-0008-0000-0F00-000019000000}"/>
            </a:ext>
          </a:extLst>
        </xdr:cNvPr>
        <xdr:cNvSpPr txBox="1"/>
      </xdr:nvSpPr>
      <xdr:spPr>
        <a:xfrm>
          <a:off x="1824470" y="4003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26" name="ZoneTexte 25">
          <a:extLst>
            <a:ext uri="{FF2B5EF4-FFF2-40B4-BE49-F238E27FC236}">
              <a16:creationId xmlns:a16="http://schemas.microsoft.com/office/drawing/2014/main" id="{00000000-0008-0000-0F00-00001A000000}"/>
            </a:ext>
          </a:extLst>
        </xdr:cNvPr>
        <xdr:cNvSpPr txBox="1"/>
      </xdr:nvSpPr>
      <xdr:spPr>
        <a:xfrm>
          <a:off x="1824470" y="419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27" name="ZoneTexte 26">
          <a:extLst>
            <a:ext uri="{FF2B5EF4-FFF2-40B4-BE49-F238E27FC236}">
              <a16:creationId xmlns:a16="http://schemas.microsoft.com/office/drawing/2014/main" id="{00000000-0008-0000-0F00-00001B000000}"/>
            </a:ext>
          </a:extLst>
        </xdr:cNvPr>
        <xdr:cNvSpPr txBox="1"/>
      </xdr:nvSpPr>
      <xdr:spPr>
        <a:xfrm>
          <a:off x="1824470" y="419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28" name="ZoneTexte 27">
          <a:extLst>
            <a:ext uri="{FF2B5EF4-FFF2-40B4-BE49-F238E27FC236}">
              <a16:creationId xmlns:a16="http://schemas.microsoft.com/office/drawing/2014/main" id="{00000000-0008-0000-0F00-00001C000000}"/>
            </a:ext>
          </a:extLst>
        </xdr:cNvPr>
        <xdr:cNvSpPr txBox="1"/>
      </xdr:nvSpPr>
      <xdr:spPr>
        <a:xfrm>
          <a:off x="1824470" y="4765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29" name="ZoneTexte 28">
          <a:extLst>
            <a:ext uri="{FF2B5EF4-FFF2-40B4-BE49-F238E27FC236}">
              <a16:creationId xmlns:a16="http://schemas.microsoft.com/office/drawing/2014/main" id="{00000000-0008-0000-0F00-00001D000000}"/>
            </a:ext>
          </a:extLst>
        </xdr:cNvPr>
        <xdr:cNvSpPr txBox="1"/>
      </xdr:nvSpPr>
      <xdr:spPr>
        <a:xfrm>
          <a:off x="1824470" y="4765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30" name="ZoneTexte 29">
          <a:extLst>
            <a:ext uri="{FF2B5EF4-FFF2-40B4-BE49-F238E27FC236}">
              <a16:creationId xmlns:a16="http://schemas.microsoft.com/office/drawing/2014/main" id="{00000000-0008-0000-0F00-00001E000000}"/>
            </a:ext>
          </a:extLst>
        </xdr:cNvPr>
        <xdr:cNvSpPr txBox="1"/>
      </xdr:nvSpPr>
      <xdr:spPr>
        <a:xfrm>
          <a:off x="182447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31" name="ZoneTexte 30">
          <a:extLst>
            <a:ext uri="{FF2B5EF4-FFF2-40B4-BE49-F238E27FC236}">
              <a16:creationId xmlns:a16="http://schemas.microsoft.com/office/drawing/2014/main" id="{00000000-0008-0000-0F00-00001F000000}"/>
            </a:ext>
          </a:extLst>
        </xdr:cNvPr>
        <xdr:cNvSpPr txBox="1"/>
      </xdr:nvSpPr>
      <xdr:spPr>
        <a:xfrm>
          <a:off x="182447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oneCellAnchor>
    <xdr:from>
      <xdr:col>5</xdr:col>
      <xdr:colOff>108857</xdr:colOff>
      <xdr:row>25</xdr:row>
      <xdr:rowOff>204108</xdr:rowOff>
    </xdr:from>
    <xdr:ext cx="3123809" cy="2209524"/>
    <xdr:pic>
      <xdr:nvPicPr>
        <xdr:cNvPr id="32" name="Image 31">
          <a:extLst>
            <a:ext uri="{FF2B5EF4-FFF2-40B4-BE49-F238E27FC236}">
              <a16:creationId xmlns:a16="http://schemas.microsoft.com/office/drawing/2014/main" id="{00000000-0008-0000-0F00-000020000000}"/>
            </a:ext>
          </a:extLst>
        </xdr:cNvPr>
        <xdr:cNvPicPr>
          <a:picLocks noChangeAspect="1"/>
        </xdr:cNvPicPr>
      </xdr:nvPicPr>
      <xdr:blipFill>
        <a:blip xmlns:r="http://schemas.openxmlformats.org/officeDocument/2006/relationships" r:embed="rId1"/>
        <a:stretch>
          <a:fillRect/>
        </a:stretch>
      </xdr:blipFill>
      <xdr:spPr>
        <a:xfrm>
          <a:off x="3156857" y="4957083"/>
          <a:ext cx="3123809" cy="2209524"/>
        </a:xfrm>
        <a:prstGeom prst="rect">
          <a:avLst/>
        </a:prstGeom>
      </xdr:spPr>
    </xdr:pic>
    <xdr:clientData/>
  </xdr:oneCellAnchor>
  <xdr:twoCellAnchor>
    <xdr:from>
      <xdr:col>2</xdr:col>
      <xdr:colOff>4710545</xdr:colOff>
      <xdr:row>30</xdr:row>
      <xdr:rowOff>2412999</xdr:rowOff>
    </xdr:from>
    <xdr:to>
      <xdr:col>2</xdr:col>
      <xdr:colOff>5327402</xdr:colOff>
      <xdr:row>30</xdr:row>
      <xdr:rowOff>2712356</xdr:rowOff>
    </xdr:to>
    <xdr:sp macro="" textlink="">
      <xdr:nvSpPr>
        <xdr:cNvPr id="33" name="ZoneTexte 32">
          <a:extLst>
            <a:ext uri="{FF2B5EF4-FFF2-40B4-BE49-F238E27FC236}">
              <a16:creationId xmlns:a16="http://schemas.microsoft.com/office/drawing/2014/main" id="{00000000-0008-0000-0F00-000021000000}"/>
            </a:ext>
          </a:extLst>
        </xdr:cNvPr>
        <xdr:cNvSpPr txBox="1"/>
      </xdr:nvSpPr>
      <xdr:spPr>
        <a:xfrm>
          <a:off x="1824470" y="5908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xdr:row>
      <xdr:rowOff>2412999</xdr:rowOff>
    </xdr:from>
    <xdr:to>
      <xdr:col>2</xdr:col>
      <xdr:colOff>5327402</xdr:colOff>
      <xdr:row>30</xdr:row>
      <xdr:rowOff>2712356</xdr:rowOff>
    </xdr:to>
    <xdr:sp macro="" textlink="">
      <xdr:nvSpPr>
        <xdr:cNvPr id="34" name="ZoneTexte 33">
          <a:extLst>
            <a:ext uri="{FF2B5EF4-FFF2-40B4-BE49-F238E27FC236}">
              <a16:creationId xmlns:a16="http://schemas.microsoft.com/office/drawing/2014/main" id="{00000000-0008-0000-0F00-000022000000}"/>
            </a:ext>
          </a:extLst>
        </xdr:cNvPr>
        <xdr:cNvSpPr txBox="1"/>
      </xdr:nvSpPr>
      <xdr:spPr>
        <a:xfrm>
          <a:off x="1824470" y="5908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35" name="ZoneTexte 34">
          <a:extLst>
            <a:ext uri="{FF2B5EF4-FFF2-40B4-BE49-F238E27FC236}">
              <a16:creationId xmlns:a16="http://schemas.microsoft.com/office/drawing/2014/main" id="{00000000-0008-0000-0F00-000023000000}"/>
            </a:ext>
          </a:extLst>
        </xdr:cNvPr>
        <xdr:cNvSpPr txBox="1"/>
      </xdr:nvSpPr>
      <xdr:spPr>
        <a:xfrm>
          <a:off x="1824470" y="609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36" name="ZoneTexte 35">
          <a:extLst>
            <a:ext uri="{FF2B5EF4-FFF2-40B4-BE49-F238E27FC236}">
              <a16:creationId xmlns:a16="http://schemas.microsoft.com/office/drawing/2014/main" id="{00000000-0008-0000-0F00-000024000000}"/>
            </a:ext>
          </a:extLst>
        </xdr:cNvPr>
        <xdr:cNvSpPr txBox="1"/>
      </xdr:nvSpPr>
      <xdr:spPr>
        <a:xfrm>
          <a:off x="1824470" y="609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oneCellAnchor>
    <xdr:from>
      <xdr:col>5</xdr:col>
      <xdr:colOff>108857</xdr:colOff>
      <xdr:row>31</xdr:row>
      <xdr:rowOff>204108</xdr:rowOff>
    </xdr:from>
    <xdr:ext cx="3123809" cy="2209524"/>
    <xdr:pic>
      <xdr:nvPicPr>
        <xdr:cNvPr id="37" name="Image 36">
          <a:extLst>
            <a:ext uri="{FF2B5EF4-FFF2-40B4-BE49-F238E27FC236}">
              <a16:creationId xmlns:a16="http://schemas.microsoft.com/office/drawing/2014/main" id="{00000000-0008-0000-0F00-000025000000}"/>
            </a:ext>
          </a:extLst>
        </xdr:cNvPr>
        <xdr:cNvPicPr>
          <a:picLocks noChangeAspect="1"/>
        </xdr:cNvPicPr>
      </xdr:nvPicPr>
      <xdr:blipFill>
        <a:blip xmlns:r="http://schemas.openxmlformats.org/officeDocument/2006/relationships" r:embed="rId1"/>
        <a:stretch>
          <a:fillRect/>
        </a:stretch>
      </xdr:blipFill>
      <xdr:spPr>
        <a:xfrm>
          <a:off x="3156857" y="6100083"/>
          <a:ext cx="3123809" cy="2209524"/>
        </a:xfrm>
        <a:prstGeom prst="rect">
          <a:avLst/>
        </a:prstGeom>
      </xdr:spPr>
    </xdr:pic>
    <xdr:clientData/>
  </xdr:oneCellAnchor>
  <xdr:twoCellAnchor>
    <xdr:from>
      <xdr:col>2</xdr:col>
      <xdr:colOff>4710545</xdr:colOff>
      <xdr:row>27</xdr:row>
      <xdr:rowOff>2412999</xdr:rowOff>
    </xdr:from>
    <xdr:to>
      <xdr:col>2</xdr:col>
      <xdr:colOff>5327402</xdr:colOff>
      <xdr:row>27</xdr:row>
      <xdr:rowOff>2712356</xdr:rowOff>
    </xdr:to>
    <xdr:sp macro="" textlink="">
      <xdr:nvSpPr>
        <xdr:cNvPr id="38" name="ZoneTexte 37">
          <a:extLst>
            <a:ext uri="{FF2B5EF4-FFF2-40B4-BE49-F238E27FC236}">
              <a16:creationId xmlns:a16="http://schemas.microsoft.com/office/drawing/2014/main" id="{00000000-0008-0000-0F00-000026000000}"/>
            </a:ext>
          </a:extLst>
        </xdr:cNvPr>
        <xdr:cNvSpPr txBox="1"/>
      </xdr:nvSpPr>
      <xdr:spPr>
        <a:xfrm>
          <a:off x="1824470" y="5337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27</xdr:row>
      <xdr:rowOff>2412999</xdr:rowOff>
    </xdr:from>
    <xdr:to>
      <xdr:col>2</xdr:col>
      <xdr:colOff>5327402</xdr:colOff>
      <xdr:row>27</xdr:row>
      <xdr:rowOff>2712356</xdr:rowOff>
    </xdr:to>
    <xdr:sp macro="" textlink="">
      <xdr:nvSpPr>
        <xdr:cNvPr id="39" name="ZoneTexte 38">
          <a:extLst>
            <a:ext uri="{FF2B5EF4-FFF2-40B4-BE49-F238E27FC236}">
              <a16:creationId xmlns:a16="http://schemas.microsoft.com/office/drawing/2014/main" id="{00000000-0008-0000-0F00-000027000000}"/>
            </a:ext>
          </a:extLst>
        </xdr:cNvPr>
        <xdr:cNvSpPr txBox="1"/>
      </xdr:nvSpPr>
      <xdr:spPr>
        <a:xfrm>
          <a:off x="1824470" y="5337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xdr:row>
      <xdr:rowOff>2412999</xdr:rowOff>
    </xdr:from>
    <xdr:to>
      <xdr:col>2</xdr:col>
      <xdr:colOff>5327402</xdr:colOff>
      <xdr:row>28</xdr:row>
      <xdr:rowOff>2712356</xdr:rowOff>
    </xdr:to>
    <xdr:sp macro="" textlink="">
      <xdr:nvSpPr>
        <xdr:cNvPr id="40" name="ZoneTexte 39">
          <a:extLst>
            <a:ext uri="{FF2B5EF4-FFF2-40B4-BE49-F238E27FC236}">
              <a16:creationId xmlns:a16="http://schemas.microsoft.com/office/drawing/2014/main" id="{00000000-0008-0000-0F00-000028000000}"/>
            </a:ext>
          </a:extLst>
        </xdr:cNvPr>
        <xdr:cNvSpPr txBox="1"/>
      </xdr:nvSpPr>
      <xdr:spPr>
        <a:xfrm>
          <a:off x="1824470" y="5527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xdr:row>
      <xdr:rowOff>2412999</xdr:rowOff>
    </xdr:from>
    <xdr:to>
      <xdr:col>2</xdr:col>
      <xdr:colOff>5327402</xdr:colOff>
      <xdr:row>28</xdr:row>
      <xdr:rowOff>2712356</xdr:rowOff>
    </xdr:to>
    <xdr:sp macro="" textlink="">
      <xdr:nvSpPr>
        <xdr:cNvPr id="41" name="ZoneTexte 40">
          <a:extLst>
            <a:ext uri="{FF2B5EF4-FFF2-40B4-BE49-F238E27FC236}">
              <a16:creationId xmlns:a16="http://schemas.microsoft.com/office/drawing/2014/main" id="{00000000-0008-0000-0F00-000029000000}"/>
            </a:ext>
          </a:extLst>
        </xdr:cNvPr>
        <xdr:cNvSpPr txBox="1"/>
      </xdr:nvSpPr>
      <xdr:spPr>
        <a:xfrm>
          <a:off x="1824470" y="5527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xdr:row>
      <xdr:rowOff>2412999</xdr:rowOff>
    </xdr:from>
    <xdr:to>
      <xdr:col>2</xdr:col>
      <xdr:colOff>5327402</xdr:colOff>
      <xdr:row>14</xdr:row>
      <xdr:rowOff>2712356</xdr:rowOff>
    </xdr:to>
    <xdr:sp macro="" textlink="">
      <xdr:nvSpPr>
        <xdr:cNvPr id="42" name="ZoneTexte 41">
          <a:extLst>
            <a:ext uri="{FF2B5EF4-FFF2-40B4-BE49-F238E27FC236}">
              <a16:creationId xmlns:a16="http://schemas.microsoft.com/office/drawing/2014/main" id="{00000000-0008-0000-0F00-00002A000000}"/>
            </a:ext>
          </a:extLst>
        </xdr:cNvPr>
        <xdr:cNvSpPr txBox="1"/>
      </xdr:nvSpPr>
      <xdr:spPr>
        <a:xfrm>
          <a:off x="1824470" y="286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xdr:row>
      <xdr:rowOff>2412999</xdr:rowOff>
    </xdr:from>
    <xdr:to>
      <xdr:col>2</xdr:col>
      <xdr:colOff>5327402</xdr:colOff>
      <xdr:row>14</xdr:row>
      <xdr:rowOff>2712356</xdr:rowOff>
    </xdr:to>
    <xdr:sp macro="" textlink="">
      <xdr:nvSpPr>
        <xdr:cNvPr id="43" name="ZoneTexte 42">
          <a:extLst>
            <a:ext uri="{FF2B5EF4-FFF2-40B4-BE49-F238E27FC236}">
              <a16:creationId xmlns:a16="http://schemas.microsoft.com/office/drawing/2014/main" id="{00000000-0008-0000-0F00-00002B000000}"/>
            </a:ext>
          </a:extLst>
        </xdr:cNvPr>
        <xdr:cNvSpPr txBox="1"/>
      </xdr:nvSpPr>
      <xdr:spPr>
        <a:xfrm>
          <a:off x="1824470" y="286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xdr:row>
      <xdr:rowOff>2412999</xdr:rowOff>
    </xdr:from>
    <xdr:to>
      <xdr:col>2</xdr:col>
      <xdr:colOff>5327402</xdr:colOff>
      <xdr:row>14</xdr:row>
      <xdr:rowOff>2712356</xdr:rowOff>
    </xdr:to>
    <xdr:sp macro="" textlink="">
      <xdr:nvSpPr>
        <xdr:cNvPr id="44" name="ZoneTexte 43">
          <a:extLst>
            <a:ext uri="{FF2B5EF4-FFF2-40B4-BE49-F238E27FC236}">
              <a16:creationId xmlns:a16="http://schemas.microsoft.com/office/drawing/2014/main" id="{00000000-0008-0000-0F00-00002C000000}"/>
            </a:ext>
          </a:extLst>
        </xdr:cNvPr>
        <xdr:cNvSpPr txBox="1"/>
      </xdr:nvSpPr>
      <xdr:spPr>
        <a:xfrm>
          <a:off x="1824470" y="286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14</xdr:row>
      <xdr:rowOff>2412999</xdr:rowOff>
    </xdr:from>
    <xdr:to>
      <xdr:col>2</xdr:col>
      <xdr:colOff>5327402</xdr:colOff>
      <xdr:row>14</xdr:row>
      <xdr:rowOff>2712356</xdr:rowOff>
    </xdr:to>
    <xdr:sp macro="" textlink="">
      <xdr:nvSpPr>
        <xdr:cNvPr id="45" name="ZoneTexte 44">
          <a:extLst>
            <a:ext uri="{FF2B5EF4-FFF2-40B4-BE49-F238E27FC236}">
              <a16:creationId xmlns:a16="http://schemas.microsoft.com/office/drawing/2014/main" id="{00000000-0008-0000-0F00-00002D000000}"/>
            </a:ext>
          </a:extLst>
        </xdr:cNvPr>
        <xdr:cNvSpPr txBox="1"/>
      </xdr:nvSpPr>
      <xdr:spPr>
        <a:xfrm>
          <a:off x="1824470" y="286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xdr:row>
      <xdr:rowOff>2412999</xdr:rowOff>
    </xdr:from>
    <xdr:to>
      <xdr:col>2</xdr:col>
      <xdr:colOff>5327402</xdr:colOff>
      <xdr:row>33</xdr:row>
      <xdr:rowOff>2712356</xdr:rowOff>
    </xdr:to>
    <xdr:sp macro="" textlink="">
      <xdr:nvSpPr>
        <xdr:cNvPr id="46" name="ZoneTexte 45">
          <a:extLst>
            <a:ext uri="{FF2B5EF4-FFF2-40B4-BE49-F238E27FC236}">
              <a16:creationId xmlns:a16="http://schemas.microsoft.com/office/drawing/2014/main" id="{00000000-0008-0000-0F00-00002E000000}"/>
            </a:ext>
          </a:extLst>
        </xdr:cNvPr>
        <xdr:cNvSpPr txBox="1"/>
      </xdr:nvSpPr>
      <xdr:spPr>
        <a:xfrm>
          <a:off x="1824470" y="6480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xdr:row>
      <xdr:rowOff>2412999</xdr:rowOff>
    </xdr:from>
    <xdr:to>
      <xdr:col>2</xdr:col>
      <xdr:colOff>5327402</xdr:colOff>
      <xdr:row>33</xdr:row>
      <xdr:rowOff>2712356</xdr:rowOff>
    </xdr:to>
    <xdr:sp macro="" textlink="">
      <xdr:nvSpPr>
        <xdr:cNvPr id="47" name="ZoneTexte 46">
          <a:extLst>
            <a:ext uri="{FF2B5EF4-FFF2-40B4-BE49-F238E27FC236}">
              <a16:creationId xmlns:a16="http://schemas.microsoft.com/office/drawing/2014/main" id="{00000000-0008-0000-0F00-00002F000000}"/>
            </a:ext>
          </a:extLst>
        </xdr:cNvPr>
        <xdr:cNvSpPr txBox="1"/>
      </xdr:nvSpPr>
      <xdr:spPr>
        <a:xfrm>
          <a:off x="1824470" y="6480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34</xdr:row>
      <xdr:rowOff>2412999</xdr:rowOff>
    </xdr:from>
    <xdr:to>
      <xdr:col>2</xdr:col>
      <xdr:colOff>5327402</xdr:colOff>
      <xdr:row>34</xdr:row>
      <xdr:rowOff>2712356</xdr:rowOff>
    </xdr:to>
    <xdr:sp macro="" textlink="">
      <xdr:nvSpPr>
        <xdr:cNvPr id="48" name="ZoneTexte 47">
          <a:extLst>
            <a:ext uri="{FF2B5EF4-FFF2-40B4-BE49-F238E27FC236}">
              <a16:creationId xmlns:a16="http://schemas.microsoft.com/office/drawing/2014/main" id="{00000000-0008-0000-0F00-000030000000}"/>
            </a:ext>
          </a:extLst>
        </xdr:cNvPr>
        <xdr:cNvSpPr txBox="1"/>
      </xdr:nvSpPr>
      <xdr:spPr>
        <a:xfrm>
          <a:off x="1824470" y="667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34</xdr:row>
      <xdr:rowOff>2412999</xdr:rowOff>
    </xdr:from>
    <xdr:to>
      <xdr:col>2</xdr:col>
      <xdr:colOff>5327402</xdr:colOff>
      <xdr:row>34</xdr:row>
      <xdr:rowOff>2712356</xdr:rowOff>
    </xdr:to>
    <xdr:sp macro="" textlink="">
      <xdr:nvSpPr>
        <xdr:cNvPr id="49" name="ZoneTexte 48">
          <a:extLst>
            <a:ext uri="{FF2B5EF4-FFF2-40B4-BE49-F238E27FC236}">
              <a16:creationId xmlns:a16="http://schemas.microsoft.com/office/drawing/2014/main" id="{00000000-0008-0000-0F00-000031000000}"/>
            </a:ext>
          </a:extLst>
        </xdr:cNvPr>
        <xdr:cNvSpPr txBox="1"/>
      </xdr:nvSpPr>
      <xdr:spPr>
        <a:xfrm>
          <a:off x="1824470" y="667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50" name="ZoneTexte 49">
          <a:extLst>
            <a:ext uri="{FF2B5EF4-FFF2-40B4-BE49-F238E27FC236}">
              <a16:creationId xmlns:a16="http://schemas.microsoft.com/office/drawing/2014/main" id="{00000000-0008-0000-0F00-000032000000}"/>
            </a:ext>
          </a:extLst>
        </xdr:cNvPr>
        <xdr:cNvSpPr txBox="1"/>
      </xdr:nvSpPr>
      <xdr:spPr>
        <a:xfrm>
          <a:off x="1824470" y="419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51" name="ZoneTexte 50">
          <a:extLst>
            <a:ext uri="{FF2B5EF4-FFF2-40B4-BE49-F238E27FC236}">
              <a16:creationId xmlns:a16="http://schemas.microsoft.com/office/drawing/2014/main" id="{00000000-0008-0000-0F00-000033000000}"/>
            </a:ext>
          </a:extLst>
        </xdr:cNvPr>
        <xdr:cNvSpPr txBox="1"/>
      </xdr:nvSpPr>
      <xdr:spPr>
        <a:xfrm>
          <a:off x="1824470" y="4194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52" name="ZoneTexte 51">
          <a:extLst>
            <a:ext uri="{FF2B5EF4-FFF2-40B4-BE49-F238E27FC236}">
              <a16:creationId xmlns:a16="http://schemas.microsoft.com/office/drawing/2014/main" id="{00000000-0008-0000-0F00-000034000000}"/>
            </a:ext>
          </a:extLst>
        </xdr:cNvPr>
        <xdr:cNvSpPr txBox="1"/>
      </xdr:nvSpPr>
      <xdr:spPr>
        <a:xfrm>
          <a:off x="1824470" y="4384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53" name="ZoneTexte 52">
          <a:extLst>
            <a:ext uri="{FF2B5EF4-FFF2-40B4-BE49-F238E27FC236}">
              <a16:creationId xmlns:a16="http://schemas.microsoft.com/office/drawing/2014/main" id="{00000000-0008-0000-0F00-000035000000}"/>
            </a:ext>
          </a:extLst>
        </xdr:cNvPr>
        <xdr:cNvSpPr txBox="1"/>
      </xdr:nvSpPr>
      <xdr:spPr>
        <a:xfrm>
          <a:off x="1824470" y="4384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54" name="ZoneTexte 53">
          <a:extLst>
            <a:ext uri="{FF2B5EF4-FFF2-40B4-BE49-F238E27FC236}">
              <a16:creationId xmlns:a16="http://schemas.microsoft.com/office/drawing/2014/main" id="{00000000-0008-0000-0F00-000036000000}"/>
            </a:ext>
          </a:extLst>
        </xdr:cNvPr>
        <xdr:cNvSpPr txBox="1"/>
      </xdr:nvSpPr>
      <xdr:spPr>
        <a:xfrm>
          <a:off x="1824470" y="4765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55" name="ZoneTexte 54">
          <a:extLst>
            <a:ext uri="{FF2B5EF4-FFF2-40B4-BE49-F238E27FC236}">
              <a16:creationId xmlns:a16="http://schemas.microsoft.com/office/drawing/2014/main" id="{00000000-0008-0000-0F00-000037000000}"/>
            </a:ext>
          </a:extLst>
        </xdr:cNvPr>
        <xdr:cNvSpPr txBox="1"/>
      </xdr:nvSpPr>
      <xdr:spPr>
        <a:xfrm>
          <a:off x="1824470" y="4765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56" name="ZoneTexte 55">
          <a:extLst>
            <a:ext uri="{FF2B5EF4-FFF2-40B4-BE49-F238E27FC236}">
              <a16:creationId xmlns:a16="http://schemas.microsoft.com/office/drawing/2014/main" id="{00000000-0008-0000-0F00-000038000000}"/>
            </a:ext>
          </a:extLst>
        </xdr:cNvPr>
        <xdr:cNvSpPr txBox="1"/>
      </xdr:nvSpPr>
      <xdr:spPr>
        <a:xfrm>
          <a:off x="182447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57" name="ZoneTexte 56">
          <a:extLst>
            <a:ext uri="{FF2B5EF4-FFF2-40B4-BE49-F238E27FC236}">
              <a16:creationId xmlns:a16="http://schemas.microsoft.com/office/drawing/2014/main" id="{00000000-0008-0000-0F00-000039000000}"/>
            </a:ext>
          </a:extLst>
        </xdr:cNvPr>
        <xdr:cNvSpPr txBox="1"/>
      </xdr:nvSpPr>
      <xdr:spPr>
        <a:xfrm>
          <a:off x="182447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58" name="ZoneTexte 57">
          <a:extLst>
            <a:ext uri="{FF2B5EF4-FFF2-40B4-BE49-F238E27FC236}">
              <a16:creationId xmlns:a16="http://schemas.microsoft.com/office/drawing/2014/main" id="{00000000-0008-0000-0F00-00003A000000}"/>
            </a:ext>
          </a:extLst>
        </xdr:cNvPr>
        <xdr:cNvSpPr txBox="1"/>
      </xdr:nvSpPr>
      <xdr:spPr>
        <a:xfrm>
          <a:off x="182447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25</xdr:row>
      <xdr:rowOff>2412999</xdr:rowOff>
    </xdr:from>
    <xdr:to>
      <xdr:col>2</xdr:col>
      <xdr:colOff>5327402</xdr:colOff>
      <xdr:row>25</xdr:row>
      <xdr:rowOff>2712356</xdr:rowOff>
    </xdr:to>
    <xdr:sp macro="" textlink="">
      <xdr:nvSpPr>
        <xdr:cNvPr id="59" name="ZoneTexte 58">
          <a:extLst>
            <a:ext uri="{FF2B5EF4-FFF2-40B4-BE49-F238E27FC236}">
              <a16:creationId xmlns:a16="http://schemas.microsoft.com/office/drawing/2014/main" id="{00000000-0008-0000-0F00-00003B000000}"/>
            </a:ext>
          </a:extLst>
        </xdr:cNvPr>
        <xdr:cNvSpPr txBox="1"/>
      </xdr:nvSpPr>
      <xdr:spPr>
        <a:xfrm>
          <a:off x="182447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xdr:row>
      <xdr:rowOff>2412999</xdr:rowOff>
    </xdr:from>
    <xdr:to>
      <xdr:col>2</xdr:col>
      <xdr:colOff>5327402</xdr:colOff>
      <xdr:row>30</xdr:row>
      <xdr:rowOff>2712356</xdr:rowOff>
    </xdr:to>
    <xdr:sp macro="" textlink="">
      <xdr:nvSpPr>
        <xdr:cNvPr id="60" name="ZoneTexte 59">
          <a:extLst>
            <a:ext uri="{FF2B5EF4-FFF2-40B4-BE49-F238E27FC236}">
              <a16:creationId xmlns:a16="http://schemas.microsoft.com/office/drawing/2014/main" id="{00000000-0008-0000-0F00-00003C000000}"/>
            </a:ext>
          </a:extLst>
        </xdr:cNvPr>
        <xdr:cNvSpPr txBox="1"/>
      </xdr:nvSpPr>
      <xdr:spPr>
        <a:xfrm>
          <a:off x="1824470" y="5908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xdr:row>
      <xdr:rowOff>2412999</xdr:rowOff>
    </xdr:from>
    <xdr:to>
      <xdr:col>2</xdr:col>
      <xdr:colOff>5327402</xdr:colOff>
      <xdr:row>30</xdr:row>
      <xdr:rowOff>2712356</xdr:rowOff>
    </xdr:to>
    <xdr:sp macro="" textlink="">
      <xdr:nvSpPr>
        <xdr:cNvPr id="61" name="ZoneTexte 60">
          <a:extLst>
            <a:ext uri="{FF2B5EF4-FFF2-40B4-BE49-F238E27FC236}">
              <a16:creationId xmlns:a16="http://schemas.microsoft.com/office/drawing/2014/main" id="{00000000-0008-0000-0F00-00003D000000}"/>
            </a:ext>
          </a:extLst>
        </xdr:cNvPr>
        <xdr:cNvSpPr txBox="1"/>
      </xdr:nvSpPr>
      <xdr:spPr>
        <a:xfrm>
          <a:off x="1824470" y="5908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62" name="ZoneTexte 61">
          <a:extLst>
            <a:ext uri="{FF2B5EF4-FFF2-40B4-BE49-F238E27FC236}">
              <a16:creationId xmlns:a16="http://schemas.microsoft.com/office/drawing/2014/main" id="{00000000-0008-0000-0F00-00003E000000}"/>
            </a:ext>
          </a:extLst>
        </xdr:cNvPr>
        <xdr:cNvSpPr txBox="1"/>
      </xdr:nvSpPr>
      <xdr:spPr>
        <a:xfrm>
          <a:off x="1824470" y="609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63" name="ZoneTexte 62">
          <a:extLst>
            <a:ext uri="{FF2B5EF4-FFF2-40B4-BE49-F238E27FC236}">
              <a16:creationId xmlns:a16="http://schemas.microsoft.com/office/drawing/2014/main" id="{00000000-0008-0000-0F00-00003F000000}"/>
            </a:ext>
          </a:extLst>
        </xdr:cNvPr>
        <xdr:cNvSpPr txBox="1"/>
      </xdr:nvSpPr>
      <xdr:spPr>
        <a:xfrm>
          <a:off x="1824470" y="609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xdr:row>
      <xdr:rowOff>2412999</xdr:rowOff>
    </xdr:from>
    <xdr:to>
      <xdr:col>2</xdr:col>
      <xdr:colOff>5327402</xdr:colOff>
      <xdr:row>30</xdr:row>
      <xdr:rowOff>2712356</xdr:rowOff>
    </xdr:to>
    <xdr:sp macro="" textlink="">
      <xdr:nvSpPr>
        <xdr:cNvPr id="64" name="ZoneTexte 63">
          <a:extLst>
            <a:ext uri="{FF2B5EF4-FFF2-40B4-BE49-F238E27FC236}">
              <a16:creationId xmlns:a16="http://schemas.microsoft.com/office/drawing/2014/main" id="{00000000-0008-0000-0F00-000040000000}"/>
            </a:ext>
          </a:extLst>
        </xdr:cNvPr>
        <xdr:cNvSpPr txBox="1"/>
      </xdr:nvSpPr>
      <xdr:spPr>
        <a:xfrm>
          <a:off x="1824470" y="5908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30</xdr:row>
      <xdr:rowOff>2412999</xdr:rowOff>
    </xdr:from>
    <xdr:to>
      <xdr:col>2</xdr:col>
      <xdr:colOff>5327402</xdr:colOff>
      <xdr:row>30</xdr:row>
      <xdr:rowOff>2712356</xdr:rowOff>
    </xdr:to>
    <xdr:sp macro="" textlink="">
      <xdr:nvSpPr>
        <xdr:cNvPr id="65" name="ZoneTexte 64">
          <a:extLst>
            <a:ext uri="{FF2B5EF4-FFF2-40B4-BE49-F238E27FC236}">
              <a16:creationId xmlns:a16="http://schemas.microsoft.com/office/drawing/2014/main" id="{00000000-0008-0000-0F00-000041000000}"/>
            </a:ext>
          </a:extLst>
        </xdr:cNvPr>
        <xdr:cNvSpPr txBox="1"/>
      </xdr:nvSpPr>
      <xdr:spPr>
        <a:xfrm>
          <a:off x="1824470" y="5908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66" name="ZoneTexte 65">
          <a:extLst>
            <a:ext uri="{FF2B5EF4-FFF2-40B4-BE49-F238E27FC236}">
              <a16:creationId xmlns:a16="http://schemas.microsoft.com/office/drawing/2014/main" id="{00000000-0008-0000-0F00-000042000000}"/>
            </a:ext>
          </a:extLst>
        </xdr:cNvPr>
        <xdr:cNvSpPr txBox="1"/>
      </xdr:nvSpPr>
      <xdr:spPr>
        <a:xfrm>
          <a:off x="1824470" y="609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67" name="ZoneTexte 66">
          <a:extLst>
            <a:ext uri="{FF2B5EF4-FFF2-40B4-BE49-F238E27FC236}">
              <a16:creationId xmlns:a16="http://schemas.microsoft.com/office/drawing/2014/main" id="{00000000-0008-0000-0F00-000043000000}"/>
            </a:ext>
          </a:extLst>
        </xdr:cNvPr>
        <xdr:cNvSpPr txBox="1"/>
      </xdr:nvSpPr>
      <xdr:spPr>
        <a:xfrm>
          <a:off x="1824470" y="609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68" name="ZoneTexte 67">
          <a:extLst>
            <a:ext uri="{FF2B5EF4-FFF2-40B4-BE49-F238E27FC236}">
              <a16:creationId xmlns:a16="http://schemas.microsoft.com/office/drawing/2014/main" id="{00000000-0008-0000-0F00-000044000000}"/>
            </a:ext>
          </a:extLst>
        </xdr:cNvPr>
        <xdr:cNvSpPr txBox="1"/>
      </xdr:nvSpPr>
      <xdr:spPr>
        <a:xfrm>
          <a:off x="1824470" y="609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31</xdr:row>
      <xdr:rowOff>2412999</xdr:rowOff>
    </xdr:from>
    <xdr:to>
      <xdr:col>2</xdr:col>
      <xdr:colOff>5327402</xdr:colOff>
      <xdr:row>31</xdr:row>
      <xdr:rowOff>2712356</xdr:rowOff>
    </xdr:to>
    <xdr:sp macro="" textlink="">
      <xdr:nvSpPr>
        <xdr:cNvPr id="69" name="ZoneTexte 68">
          <a:extLst>
            <a:ext uri="{FF2B5EF4-FFF2-40B4-BE49-F238E27FC236}">
              <a16:creationId xmlns:a16="http://schemas.microsoft.com/office/drawing/2014/main" id="{00000000-0008-0000-0F00-000045000000}"/>
            </a:ext>
          </a:extLst>
        </xdr:cNvPr>
        <xdr:cNvSpPr txBox="1"/>
      </xdr:nvSpPr>
      <xdr:spPr>
        <a:xfrm>
          <a:off x="1824470" y="6099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xdr:row>
      <xdr:rowOff>2412999</xdr:rowOff>
    </xdr:from>
    <xdr:to>
      <xdr:col>2</xdr:col>
      <xdr:colOff>5327402</xdr:colOff>
      <xdr:row>33</xdr:row>
      <xdr:rowOff>2712356</xdr:rowOff>
    </xdr:to>
    <xdr:sp macro="" textlink="">
      <xdr:nvSpPr>
        <xdr:cNvPr id="70" name="ZoneTexte 69">
          <a:extLst>
            <a:ext uri="{FF2B5EF4-FFF2-40B4-BE49-F238E27FC236}">
              <a16:creationId xmlns:a16="http://schemas.microsoft.com/office/drawing/2014/main" id="{00000000-0008-0000-0F00-000046000000}"/>
            </a:ext>
          </a:extLst>
        </xdr:cNvPr>
        <xdr:cNvSpPr txBox="1"/>
      </xdr:nvSpPr>
      <xdr:spPr>
        <a:xfrm>
          <a:off x="1824470" y="6480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xdr:row>
      <xdr:rowOff>2412999</xdr:rowOff>
    </xdr:from>
    <xdr:to>
      <xdr:col>2</xdr:col>
      <xdr:colOff>5327402</xdr:colOff>
      <xdr:row>33</xdr:row>
      <xdr:rowOff>2712356</xdr:rowOff>
    </xdr:to>
    <xdr:sp macro="" textlink="">
      <xdr:nvSpPr>
        <xdr:cNvPr id="71" name="ZoneTexte 70">
          <a:extLst>
            <a:ext uri="{FF2B5EF4-FFF2-40B4-BE49-F238E27FC236}">
              <a16:creationId xmlns:a16="http://schemas.microsoft.com/office/drawing/2014/main" id="{00000000-0008-0000-0F00-000047000000}"/>
            </a:ext>
          </a:extLst>
        </xdr:cNvPr>
        <xdr:cNvSpPr txBox="1"/>
      </xdr:nvSpPr>
      <xdr:spPr>
        <a:xfrm>
          <a:off x="1824470" y="6480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34</xdr:row>
      <xdr:rowOff>2412999</xdr:rowOff>
    </xdr:from>
    <xdr:to>
      <xdr:col>2</xdr:col>
      <xdr:colOff>5327402</xdr:colOff>
      <xdr:row>34</xdr:row>
      <xdr:rowOff>2712356</xdr:rowOff>
    </xdr:to>
    <xdr:sp macro="" textlink="">
      <xdr:nvSpPr>
        <xdr:cNvPr id="72" name="ZoneTexte 71">
          <a:extLst>
            <a:ext uri="{FF2B5EF4-FFF2-40B4-BE49-F238E27FC236}">
              <a16:creationId xmlns:a16="http://schemas.microsoft.com/office/drawing/2014/main" id="{00000000-0008-0000-0F00-000048000000}"/>
            </a:ext>
          </a:extLst>
        </xdr:cNvPr>
        <xdr:cNvSpPr txBox="1"/>
      </xdr:nvSpPr>
      <xdr:spPr>
        <a:xfrm>
          <a:off x="1824470" y="667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34</xdr:row>
      <xdr:rowOff>2412999</xdr:rowOff>
    </xdr:from>
    <xdr:to>
      <xdr:col>2</xdr:col>
      <xdr:colOff>5327402</xdr:colOff>
      <xdr:row>34</xdr:row>
      <xdr:rowOff>2712356</xdr:rowOff>
    </xdr:to>
    <xdr:sp macro="" textlink="">
      <xdr:nvSpPr>
        <xdr:cNvPr id="73" name="ZoneTexte 72">
          <a:extLst>
            <a:ext uri="{FF2B5EF4-FFF2-40B4-BE49-F238E27FC236}">
              <a16:creationId xmlns:a16="http://schemas.microsoft.com/office/drawing/2014/main" id="{00000000-0008-0000-0F00-000049000000}"/>
            </a:ext>
          </a:extLst>
        </xdr:cNvPr>
        <xdr:cNvSpPr txBox="1"/>
      </xdr:nvSpPr>
      <xdr:spPr>
        <a:xfrm>
          <a:off x="1824470" y="667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xdr:row>
      <xdr:rowOff>2412999</xdr:rowOff>
    </xdr:from>
    <xdr:to>
      <xdr:col>2</xdr:col>
      <xdr:colOff>5327402</xdr:colOff>
      <xdr:row>33</xdr:row>
      <xdr:rowOff>2712356</xdr:rowOff>
    </xdr:to>
    <xdr:sp macro="" textlink="">
      <xdr:nvSpPr>
        <xdr:cNvPr id="74" name="ZoneTexte 73">
          <a:extLst>
            <a:ext uri="{FF2B5EF4-FFF2-40B4-BE49-F238E27FC236}">
              <a16:creationId xmlns:a16="http://schemas.microsoft.com/office/drawing/2014/main" id="{00000000-0008-0000-0F00-00004A000000}"/>
            </a:ext>
          </a:extLst>
        </xdr:cNvPr>
        <xdr:cNvSpPr txBox="1"/>
      </xdr:nvSpPr>
      <xdr:spPr>
        <a:xfrm>
          <a:off x="1824470" y="6480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xdr:row>
      <xdr:rowOff>2412999</xdr:rowOff>
    </xdr:from>
    <xdr:to>
      <xdr:col>2</xdr:col>
      <xdr:colOff>5327402</xdr:colOff>
      <xdr:row>33</xdr:row>
      <xdr:rowOff>2712356</xdr:rowOff>
    </xdr:to>
    <xdr:sp macro="" textlink="">
      <xdr:nvSpPr>
        <xdr:cNvPr id="75" name="ZoneTexte 74">
          <a:extLst>
            <a:ext uri="{FF2B5EF4-FFF2-40B4-BE49-F238E27FC236}">
              <a16:creationId xmlns:a16="http://schemas.microsoft.com/office/drawing/2014/main" id="{00000000-0008-0000-0F00-00004B000000}"/>
            </a:ext>
          </a:extLst>
        </xdr:cNvPr>
        <xdr:cNvSpPr txBox="1"/>
      </xdr:nvSpPr>
      <xdr:spPr>
        <a:xfrm>
          <a:off x="1824470" y="6480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34</xdr:row>
      <xdr:rowOff>2412999</xdr:rowOff>
    </xdr:from>
    <xdr:to>
      <xdr:col>2</xdr:col>
      <xdr:colOff>5327402</xdr:colOff>
      <xdr:row>34</xdr:row>
      <xdr:rowOff>2712356</xdr:rowOff>
    </xdr:to>
    <xdr:sp macro="" textlink="">
      <xdr:nvSpPr>
        <xdr:cNvPr id="76" name="ZoneTexte 75">
          <a:extLst>
            <a:ext uri="{FF2B5EF4-FFF2-40B4-BE49-F238E27FC236}">
              <a16:creationId xmlns:a16="http://schemas.microsoft.com/office/drawing/2014/main" id="{00000000-0008-0000-0F00-00004C000000}"/>
            </a:ext>
          </a:extLst>
        </xdr:cNvPr>
        <xdr:cNvSpPr txBox="1"/>
      </xdr:nvSpPr>
      <xdr:spPr>
        <a:xfrm>
          <a:off x="1824470" y="667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34</xdr:row>
      <xdr:rowOff>2412999</xdr:rowOff>
    </xdr:from>
    <xdr:to>
      <xdr:col>2</xdr:col>
      <xdr:colOff>5327402</xdr:colOff>
      <xdr:row>34</xdr:row>
      <xdr:rowOff>2712356</xdr:rowOff>
    </xdr:to>
    <xdr:sp macro="" textlink="">
      <xdr:nvSpPr>
        <xdr:cNvPr id="77" name="ZoneTexte 76">
          <a:extLst>
            <a:ext uri="{FF2B5EF4-FFF2-40B4-BE49-F238E27FC236}">
              <a16:creationId xmlns:a16="http://schemas.microsoft.com/office/drawing/2014/main" id="{00000000-0008-0000-0F00-00004D000000}"/>
            </a:ext>
          </a:extLst>
        </xdr:cNvPr>
        <xdr:cNvSpPr txBox="1"/>
      </xdr:nvSpPr>
      <xdr:spPr>
        <a:xfrm>
          <a:off x="1824470" y="667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xdr:row>
      <xdr:rowOff>2412999</xdr:rowOff>
    </xdr:from>
    <xdr:to>
      <xdr:col>2</xdr:col>
      <xdr:colOff>5327402</xdr:colOff>
      <xdr:row>33</xdr:row>
      <xdr:rowOff>2712356</xdr:rowOff>
    </xdr:to>
    <xdr:sp macro="" textlink="">
      <xdr:nvSpPr>
        <xdr:cNvPr id="78" name="ZoneTexte 77">
          <a:extLst>
            <a:ext uri="{FF2B5EF4-FFF2-40B4-BE49-F238E27FC236}">
              <a16:creationId xmlns:a16="http://schemas.microsoft.com/office/drawing/2014/main" id="{00000000-0008-0000-0F00-00004E000000}"/>
            </a:ext>
          </a:extLst>
        </xdr:cNvPr>
        <xdr:cNvSpPr txBox="1"/>
      </xdr:nvSpPr>
      <xdr:spPr>
        <a:xfrm>
          <a:off x="1824470" y="6480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33</xdr:row>
      <xdr:rowOff>2412999</xdr:rowOff>
    </xdr:from>
    <xdr:to>
      <xdr:col>2</xdr:col>
      <xdr:colOff>5327402</xdr:colOff>
      <xdr:row>33</xdr:row>
      <xdr:rowOff>2712356</xdr:rowOff>
    </xdr:to>
    <xdr:sp macro="" textlink="">
      <xdr:nvSpPr>
        <xdr:cNvPr id="79" name="ZoneTexte 78">
          <a:extLst>
            <a:ext uri="{FF2B5EF4-FFF2-40B4-BE49-F238E27FC236}">
              <a16:creationId xmlns:a16="http://schemas.microsoft.com/office/drawing/2014/main" id="{00000000-0008-0000-0F00-00004F000000}"/>
            </a:ext>
          </a:extLst>
        </xdr:cNvPr>
        <xdr:cNvSpPr txBox="1"/>
      </xdr:nvSpPr>
      <xdr:spPr>
        <a:xfrm>
          <a:off x="1824470" y="6480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34</xdr:row>
      <xdr:rowOff>2412999</xdr:rowOff>
    </xdr:from>
    <xdr:to>
      <xdr:col>2</xdr:col>
      <xdr:colOff>5327402</xdr:colOff>
      <xdr:row>34</xdr:row>
      <xdr:rowOff>2712356</xdr:rowOff>
    </xdr:to>
    <xdr:sp macro="" textlink="">
      <xdr:nvSpPr>
        <xdr:cNvPr id="80" name="ZoneTexte 79">
          <a:extLst>
            <a:ext uri="{FF2B5EF4-FFF2-40B4-BE49-F238E27FC236}">
              <a16:creationId xmlns:a16="http://schemas.microsoft.com/office/drawing/2014/main" id="{00000000-0008-0000-0F00-000050000000}"/>
            </a:ext>
          </a:extLst>
        </xdr:cNvPr>
        <xdr:cNvSpPr txBox="1"/>
      </xdr:nvSpPr>
      <xdr:spPr>
        <a:xfrm>
          <a:off x="1824470" y="667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34</xdr:row>
      <xdr:rowOff>2412999</xdr:rowOff>
    </xdr:from>
    <xdr:to>
      <xdr:col>2</xdr:col>
      <xdr:colOff>5327402</xdr:colOff>
      <xdr:row>34</xdr:row>
      <xdr:rowOff>2712356</xdr:rowOff>
    </xdr:to>
    <xdr:sp macro="" textlink="">
      <xdr:nvSpPr>
        <xdr:cNvPr id="81" name="ZoneTexte 80">
          <a:extLst>
            <a:ext uri="{FF2B5EF4-FFF2-40B4-BE49-F238E27FC236}">
              <a16:creationId xmlns:a16="http://schemas.microsoft.com/office/drawing/2014/main" id="{00000000-0008-0000-0F00-000051000000}"/>
            </a:ext>
          </a:extLst>
        </xdr:cNvPr>
        <xdr:cNvSpPr txBox="1"/>
      </xdr:nvSpPr>
      <xdr:spPr>
        <a:xfrm>
          <a:off x="1824470" y="66706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4710545</xdr:colOff>
      <xdr:row>15</xdr:row>
      <xdr:rowOff>2412999</xdr:rowOff>
    </xdr:from>
    <xdr:to>
      <xdr:col>2</xdr:col>
      <xdr:colOff>5327402</xdr:colOff>
      <xdr:row>15</xdr:row>
      <xdr:rowOff>2712356</xdr:rowOff>
    </xdr:to>
    <xdr:sp macro="" textlink="">
      <xdr:nvSpPr>
        <xdr:cNvPr id="2" name="ZoneTexte 1">
          <a:extLst>
            <a:ext uri="{FF2B5EF4-FFF2-40B4-BE49-F238E27FC236}">
              <a16:creationId xmlns:a16="http://schemas.microsoft.com/office/drawing/2014/main" id="{00000000-0008-0000-1000-000002000000}"/>
            </a:ext>
          </a:extLst>
        </xdr:cNvPr>
        <xdr:cNvSpPr txBox="1"/>
      </xdr:nvSpPr>
      <xdr:spPr>
        <a:xfrm>
          <a:off x="5920220" y="3232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xdr:row>
      <xdr:rowOff>3706090</xdr:rowOff>
    </xdr:from>
    <xdr:to>
      <xdr:col>2</xdr:col>
      <xdr:colOff>5142675</xdr:colOff>
      <xdr:row>15</xdr:row>
      <xdr:rowOff>4005447</xdr:rowOff>
    </xdr:to>
    <xdr:sp macro="" textlink="">
      <xdr:nvSpPr>
        <xdr:cNvPr id="3" name="ZoneTexte 2">
          <a:extLst>
            <a:ext uri="{FF2B5EF4-FFF2-40B4-BE49-F238E27FC236}">
              <a16:creationId xmlns:a16="http://schemas.microsoft.com/office/drawing/2014/main" id="{00000000-0008-0000-1000-000003000000}"/>
            </a:ext>
          </a:extLst>
        </xdr:cNvPr>
        <xdr:cNvSpPr txBox="1"/>
      </xdr:nvSpPr>
      <xdr:spPr>
        <a:xfrm>
          <a:off x="5925993" y="32298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4" name="ZoneTexte 3">
          <a:extLst>
            <a:ext uri="{FF2B5EF4-FFF2-40B4-BE49-F238E27FC236}">
              <a16:creationId xmlns:a16="http://schemas.microsoft.com/office/drawing/2014/main" id="{00000000-0008-0000-1000-000004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5" name="ZoneTexte 4">
          <a:extLst>
            <a:ext uri="{FF2B5EF4-FFF2-40B4-BE49-F238E27FC236}">
              <a16:creationId xmlns:a16="http://schemas.microsoft.com/office/drawing/2014/main" id="{00000000-0008-0000-1000-000005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6" name="ZoneTexte 5">
          <a:extLst>
            <a:ext uri="{FF2B5EF4-FFF2-40B4-BE49-F238E27FC236}">
              <a16:creationId xmlns:a16="http://schemas.microsoft.com/office/drawing/2014/main" id="{00000000-0008-0000-1000-000006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7" name="ZoneTexte 6">
          <a:extLst>
            <a:ext uri="{FF2B5EF4-FFF2-40B4-BE49-F238E27FC236}">
              <a16:creationId xmlns:a16="http://schemas.microsoft.com/office/drawing/2014/main" id="{00000000-0008-0000-1000-000007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xdr:row>
      <xdr:rowOff>2412999</xdr:rowOff>
    </xdr:from>
    <xdr:to>
      <xdr:col>2</xdr:col>
      <xdr:colOff>5327402</xdr:colOff>
      <xdr:row>28</xdr:row>
      <xdr:rowOff>2712356</xdr:rowOff>
    </xdr:to>
    <xdr:sp macro="" textlink="">
      <xdr:nvSpPr>
        <xdr:cNvPr id="8" name="ZoneTexte 7">
          <a:extLst>
            <a:ext uri="{FF2B5EF4-FFF2-40B4-BE49-F238E27FC236}">
              <a16:creationId xmlns:a16="http://schemas.microsoft.com/office/drawing/2014/main" id="{00000000-0008-0000-1000-000008000000}"/>
            </a:ext>
          </a:extLst>
        </xdr:cNvPr>
        <xdr:cNvSpPr txBox="1"/>
      </xdr:nvSpPr>
      <xdr:spPr>
        <a:xfrm>
          <a:off x="5920220" y="5727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28</xdr:row>
      <xdr:rowOff>3706090</xdr:rowOff>
    </xdr:from>
    <xdr:to>
      <xdr:col>2</xdr:col>
      <xdr:colOff>5142675</xdr:colOff>
      <xdr:row>28</xdr:row>
      <xdr:rowOff>4005447</xdr:rowOff>
    </xdr:to>
    <xdr:sp macro="" textlink="">
      <xdr:nvSpPr>
        <xdr:cNvPr id="9" name="ZoneTexte 8">
          <a:extLst>
            <a:ext uri="{FF2B5EF4-FFF2-40B4-BE49-F238E27FC236}">
              <a16:creationId xmlns:a16="http://schemas.microsoft.com/office/drawing/2014/main" id="{00000000-0008-0000-1000-000009000000}"/>
            </a:ext>
          </a:extLst>
        </xdr:cNvPr>
        <xdr:cNvSpPr txBox="1"/>
      </xdr:nvSpPr>
      <xdr:spPr>
        <a:xfrm>
          <a:off x="5925993" y="57253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xdr:row>
      <xdr:rowOff>2412999</xdr:rowOff>
    </xdr:from>
    <xdr:to>
      <xdr:col>2</xdr:col>
      <xdr:colOff>5327402</xdr:colOff>
      <xdr:row>16</xdr:row>
      <xdr:rowOff>2712356</xdr:rowOff>
    </xdr:to>
    <xdr:sp macro="" textlink="">
      <xdr:nvSpPr>
        <xdr:cNvPr id="10" name="ZoneTexte 9">
          <a:extLst>
            <a:ext uri="{FF2B5EF4-FFF2-40B4-BE49-F238E27FC236}">
              <a16:creationId xmlns:a16="http://schemas.microsoft.com/office/drawing/2014/main" id="{00000000-0008-0000-1000-00000A000000}"/>
            </a:ext>
          </a:extLst>
        </xdr:cNvPr>
        <xdr:cNvSpPr txBox="1"/>
      </xdr:nvSpPr>
      <xdr:spPr>
        <a:xfrm>
          <a:off x="5920220" y="3422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11" name="ZoneTexte 10">
          <a:extLst>
            <a:ext uri="{FF2B5EF4-FFF2-40B4-BE49-F238E27FC236}">
              <a16:creationId xmlns:a16="http://schemas.microsoft.com/office/drawing/2014/main" id="{00000000-0008-0000-1000-00000B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xdr:row>
      <xdr:rowOff>2412999</xdr:rowOff>
    </xdr:from>
    <xdr:to>
      <xdr:col>2</xdr:col>
      <xdr:colOff>5327402</xdr:colOff>
      <xdr:row>18</xdr:row>
      <xdr:rowOff>2712356</xdr:rowOff>
    </xdr:to>
    <xdr:sp macro="" textlink="">
      <xdr:nvSpPr>
        <xdr:cNvPr id="12" name="ZoneTexte 11">
          <a:extLst>
            <a:ext uri="{FF2B5EF4-FFF2-40B4-BE49-F238E27FC236}">
              <a16:creationId xmlns:a16="http://schemas.microsoft.com/office/drawing/2014/main" id="{00000000-0008-0000-1000-00000C000000}"/>
            </a:ext>
          </a:extLst>
        </xdr:cNvPr>
        <xdr:cNvSpPr txBox="1"/>
      </xdr:nvSpPr>
      <xdr:spPr>
        <a:xfrm>
          <a:off x="5920220" y="3803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xdr:row>
      <xdr:rowOff>2412999</xdr:rowOff>
    </xdr:from>
    <xdr:to>
      <xdr:col>2</xdr:col>
      <xdr:colOff>5327402</xdr:colOff>
      <xdr:row>19</xdr:row>
      <xdr:rowOff>2712356</xdr:rowOff>
    </xdr:to>
    <xdr:sp macro="" textlink="">
      <xdr:nvSpPr>
        <xdr:cNvPr id="13" name="ZoneTexte 12">
          <a:extLst>
            <a:ext uri="{FF2B5EF4-FFF2-40B4-BE49-F238E27FC236}">
              <a16:creationId xmlns:a16="http://schemas.microsoft.com/office/drawing/2014/main" id="{00000000-0008-0000-1000-00000D000000}"/>
            </a:ext>
          </a:extLst>
        </xdr:cNvPr>
        <xdr:cNvSpPr txBox="1"/>
      </xdr:nvSpPr>
      <xdr:spPr>
        <a:xfrm>
          <a:off x="5920220" y="3994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14" name="ZoneTexte 13">
          <a:extLst>
            <a:ext uri="{FF2B5EF4-FFF2-40B4-BE49-F238E27FC236}">
              <a16:creationId xmlns:a16="http://schemas.microsoft.com/office/drawing/2014/main" id="{00000000-0008-0000-1000-00000E000000}"/>
            </a:ext>
          </a:extLst>
        </xdr:cNvPr>
        <xdr:cNvSpPr txBox="1"/>
      </xdr:nvSpPr>
      <xdr:spPr>
        <a:xfrm>
          <a:off x="5920220" y="4184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15" name="ZoneTexte 14">
          <a:extLst>
            <a:ext uri="{FF2B5EF4-FFF2-40B4-BE49-F238E27FC236}">
              <a16:creationId xmlns:a16="http://schemas.microsoft.com/office/drawing/2014/main" id="{00000000-0008-0000-1000-00000F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16" name="ZoneTexte 15">
          <a:extLst>
            <a:ext uri="{FF2B5EF4-FFF2-40B4-BE49-F238E27FC236}">
              <a16:creationId xmlns:a16="http://schemas.microsoft.com/office/drawing/2014/main" id="{00000000-0008-0000-1000-000010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xdr:row>
      <xdr:rowOff>3706090</xdr:rowOff>
    </xdr:from>
    <xdr:to>
      <xdr:col>2</xdr:col>
      <xdr:colOff>5142675</xdr:colOff>
      <xdr:row>24</xdr:row>
      <xdr:rowOff>4005447</xdr:rowOff>
    </xdr:to>
    <xdr:sp macro="" textlink="">
      <xdr:nvSpPr>
        <xdr:cNvPr id="17" name="ZoneTexte 16">
          <a:extLst>
            <a:ext uri="{FF2B5EF4-FFF2-40B4-BE49-F238E27FC236}">
              <a16:creationId xmlns:a16="http://schemas.microsoft.com/office/drawing/2014/main" id="{00000000-0008-0000-1000-000011000000}"/>
            </a:ext>
          </a:extLst>
        </xdr:cNvPr>
        <xdr:cNvSpPr txBox="1"/>
      </xdr:nvSpPr>
      <xdr:spPr>
        <a:xfrm>
          <a:off x="5925993" y="495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18" name="ZoneTexte 17">
          <a:extLst>
            <a:ext uri="{FF2B5EF4-FFF2-40B4-BE49-F238E27FC236}">
              <a16:creationId xmlns:a16="http://schemas.microsoft.com/office/drawing/2014/main" id="{00000000-0008-0000-1000-000012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19" name="ZoneTexte 18">
          <a:extLst>
            <a:ext uri="{FF2B5EF4-FFF2-40B4-BE49-F238E27FC236}">
              <a16:creationId xmlns:a16="http://schemas.microsoft.com/office/drawing/2014/main" id="{00000000-0008-0000-1000-000013000000}"/>
            </a:ext>
          </a:extLst>
        </xdr:cNvPr>
        <xdr:cNvSpPr txBox="1"/>
      </xdr:nvSpPr>
      <xdr:spPr>
        <a:xfrm>
          <a:off x="5920220" y="4375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20" name="ZoneTexte 19">
          <a:extLst>
            <a:ext uri="{FF2B5EF4-FFF2-40B4-BE49-F238E27FC236}">
              <a16:creationId xmlns:a16="http://schemas.microsoft.com/office/drawing/2014/main" id="{00000000-0008-0000-1000-000014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xdr:row>
      <xdr:rowOff>2412999</xdr:rowOff>
    </xdr:from>
    <xdr:to>
      <xdr:col>2</xdr:col>
      <xdr:colOff>5327402</xdr:colOff>
      <xdr:row>8</xdr:row>
      <xdr:rowOff>2712356</xdr:rowOff>
    </xdr:to>
    <xdr:sp macro="" textlink="">
      <xdr:nvSpPr>
        <xdr:cNvPr id="21" name="ZoneTexte 20">
          <a:extLst>
            <a:ext uri="{FF2B5EF4-FFF2-40B4-BE49-F238E27FC236}">
              <a16:creationId xmlns:a16="http://schemas.microsoft.com/office/drawing/2014/main" id="{00000000-0008-0000-1000-000015000000}"/>
            </a:ext>
          </a:extLst>
        </xdr:cNvPr>
        <xdr:cNvSpPr txBox="1"/>
      </xdr:nvSpPr>
      <xdr:spPr>
        <a:xfrm>
          <a:off x="5920220" y="1898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xdr:row>
      <xdr:rowOff>2412999</xdr:rowOff>
    </xdr:from>
    <xdr:to>
      <xdr:col>2</xdr:col>
      <xdr:colOff>5327402</xdr:colOff>
      <xdr:row>9</xdr:row>
      <xdr:rowOff>2712356</xdr:rowOff>
    </xdr:to>
    <xdr:sp macro="" textlink="">
      <xdr:nvSpPr>
        <xdr:cNvPr id="22" name="ZoneTexte 21">
          <a:extLst>
            <a:ext uri="{FF2B5EF4-FFF2-40B4-BE49-F238E27FC236}">
              <a16:creationId xmlns:a16="http://schemas.microsoft.com/office/drawing/2014/main" id="{00000000-0008-0000-1000-000016000000}"/>
            </a:ext>
          </a:extLst>
        </xdr:cNvPr>
        <xdr:cNvSpPr txBox="1"/>
      </xdr:nvSpPr>
      <xdr:spPr>
        <a:xfrm>
          <a:off x="5920220" y="2089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15</xdr:row>
      <xdr:rowOff>2412999</xdr:rowOff>
    </xdr:from>
    <xdr:to>
      <xdr:col>2</xdr:col>
      <xdr:colOff>5327402</xdr:colOff>
      <xdr:row>15</xdr:row>
      <xdr:rowOff>2712356</xdr:rowOff>
    </xdr:to>
    <xdr:sp macro="" textlink="">
      <xdr:nvSpPr>
        <xdr:cNvPr id="23" name="ZoneTexte 22">
          <a:extLst>
            <a:ext uri="{FF2B5EF4-FFF2-40B4-BE49-F238E27FC236}">
              <a16:creationId xmlns:a16="http://schemas.microsoft.com/office/drawing/2014/main" id="{00000000-0008-0000-1000-000017000000}"/>
            </a:ext>
          </a:extLst>
        </xdr:cNvPr>
        <xdr:cNvSpPr txBox="1"/>
      </xdr:nvSpPr>
      <xdr:spPr>
        <a:xfrm>
          <a:off x="5920220" y="3232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15</xdr:row>
      <xdr:rowOff>3706090</xdr:rowOff>
    </xdr:from>
    <xdr:to>
      <xdr:col>2</xdr:col>
      <xdr:colOff>5142675</xdr:colOff>
      <xdr:row>15</xdr:row>
      <xdr:rowOff>4005447</xdr:rowOff>
    </xdr:to>
    <xdr:sp macro="" textlink="">
      <xdr:nvSpPr>
        <xdr:cNvPr id="24" name="ZoneTexte 23">
          <a:extLst>
            <a:ext uri="{FF2B5EF4-FFF2-40B4-BE49-F238E27FC236}">
              <a16:creationId xmlns:a16="http://schemas.microsoft.com/office/drawing/2014/main" id="{00000000-0008-0000-1000-000018000000}"/>
            </a:ext>
          </a:extLst>
        </xdr:cNvPr>
        <xdr:cNvSpPr txBox="1"/>
      </xdr:nvSpPr>
      <xdr:spPr>
        <a:xfrm>
          <a:off x="5925993" y="322984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25" name="ZoneTexte 24">
          <a:extLst>
            <a:ext uri="{FF2B5EF4-FFF2-40B4-BE49-F238E27FC236}">
              <a16:creationId xmlns:a16="http://schemas.microsoft.com/office/drawing/2014/main" id="{00000000-0008-0000-1000-000019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26" name="ZoneTexte 25">
          <a:extLst>
            <a:ext uri="{FF2B5EF4-FFF2-40B4-BE49-F238E27FC236}">
              <a16:creationId xmlns:a16="http://schemas.microsoft.com/office/drawing/2014/main" id="{00000000-0008-0000-1000-00001A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27" name="ZoneTexte 26">
          <a:extLst>
            <a:ext uri="{FF2B5EF4-FFF2-40B4-BE49-F238E27FC236}">
              <a16:creationId xmlns:a16="http://schemas.microsoft.com/office/drawing/2014/main" id="{00000000-0008-0000-1000-00001B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28" name="ZoneTexte 27">
          <a:extLst>
            <a:ext uri="{FF2B5EF4-FFF2-40B4-BE49-F238E27FC236}">
              <a16:creationId xmlns:a16="http://schemas.microsoft.com/office/drawing/2014/main" id="{00000000-0008-0000-1000-00001C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28</xdr:row>
      <xdr:rowOff>2412999</xdr:rowOff>
    </xdr:from>
    <xdr:to>
      <xdr:col>2</xdr:col>
      <xdr:colOff>5327402</xdr:colOff>
      <xdr:row>28</xdr:row>
      <xdr:rowOff>2712356</xdr:rowOff>
    </xdr:to>
    <xdr:sp macro="" textlink="">
      <xdr:nvSpPr>
        <xdr:cNvPr id="29" name="ZoneTexte 28">
          <a:extLst>
            <a:ext uri="{FF2B5EF4-FFF2-40B4-BE49-F238E27FC236}">
              <a16:creationId xmlns:a16="http://schemas.microsoft.com/office/drawing/2014/main" id="{00000000-0008-0000-1000-00001D000000}"/>
            </a:ext>
          </a:extLst>
        </xdr:cNvPr>
        <xdr:cNvSpPr txBox="1"/>
      </xdr:nvSpPr>
      <xdr:spPr>
        <a:xfrm>
          <a:off x="5920220" y="572769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28</xdr:row>
      <xdr:rowOff>3706090</xdr:rowOff>
    </xdr:from>
    <xdr:to>
      <xdr:col>2</xdr:col>
      <xdr:colOff>5142675</xdr:colOff>
      <xdr:row>28</xdr:row>
      <xdr:rowOff>4005447</xdr:rowOff>
    </xdr:to>
    <xdr:sp macro="" textlink="">
      <xdr:nvSpPr>
        <xdr:cNvPr id="30" name="ZoneTexte 29">
          <a:extLst>
            <a:ext uri="{FF2B5EF4-FFF2-40B4-BE49-F238E27FC236}">
              <a16:creationId xmlns:a16="http://schemas.microsoft.com/office/drawing/2014/main" id="{00000000-0008-0000-1000-00001E000000}"/>
            </a:ext>
          </a:extLst>
        </xdr:cNvPr>
        <xdr:cNvSpPr txBox="1"/>
      </xdr:nvSpPr>
      <xdr:spPr>
        <a:xfrm>
          <a:off x="5925993" y="5725390"/>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16</xdr:row>
      <xdr:rowOff>2412999</xdr:rowOff>
    </xdr:from>
    <xdr:to>
      <xdr:col>2</xdr:col>
      <xdr:colOff>5327402</xdr:colOff>
      <xdr:row>16</xdr:row>
      <xdr:rowOff>2712356</xdr:rowOff>
    </xdr:to>
    <xdr:sp macro="" textlink="">
      <xdr:nvSpPr>
        <xdr:cNvPr id="31" name="ZoneTexte 30">
          <a:extLst>
            <a:ext uri="{FF2B5EF4-FFF2-40B4-BE49-F238E27FC236}">
              <a16:creationId xmlns:a16="http://schemas.microsoft.com/office/drawing/2014/main" id="{00000000-0008-0000-1000-00001F000000}"/>
            </a:ext>
          </a:extLst>
        </xdr:cNvPr>
        <xdr:cNvSpPr txBox="1"/>
      </xdr:nvSpPr>
      <xdr:spPr>
        <a:xfrm>
          <a:off x="5920220" y="3422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32" name="ZoneTexte 31">
          <a:extLst>
            <a:ext uri="{FF2B5EF4-FFF2-40B4-BE49-F238E27FC236}">
              <a16:creationId xmlns:a16="http://schemas.microsoft.com/office/drawing/2014/main" id="{00000000-0008-0000-1000-000020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18</xdr:row>
      <xdr:rowOff>2412999</xdr:rowOff>
    </xdr:from>
    <xdr:to>
      <xdr:col>2</xdr:col>
      <xdr:colOff>5327402</xdr:colOff>
      <xdr:row>18</xdr:row>
      <xdr:rowOff>2712356</xdr:rowOff>
    </xdr:to>
    <xdr:sp macro="" textlink="">
      <xdr:nvSpPr>
        <xdr:cNvPr id="33" name="ZoneTexte 32">
          <a:extLst>
            <a:ext uri="{FF2B5EF4-FFF2-40B4-BE49-F238E27FC236}">
              <a16:creationId xmlns:a16="http://schemas.microsoft.com/office/drawing/2014/main" id="{00000000-0008-0000-1000-000021000000}"/>
            </a:ext>
          </a:extLst>
        </xdr:cNvPr>
        <xdr:cNvSpPr txBox="1"/>
      </xdr:nvSpPr>
      <xdr:spPr>
        <a:xfrm>
          <a:off x="5920220" y="3803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19</xdr:row>
      <xdr:rowOff>2412999</xdr:rowOff>
    </xdr:from>
    <xdr:to>
      <xdr:col>2</xdr:col>
      <xdr:colOff>5327402</xdr:colOff>
      <xdr:row>19</xdr:row>
      <xdr:rowOff>2712356</xdr:rowOff>
    </xdr:to>
    <xdr:sp macro="" textlink="">
      <xdr:nvSpPr>
        <xdr:cNvPr id="34" name="ZoneTexte 33">
          <a:extLst>
            <a:ext uri="{FF2B5EF4-FFF2-40B4-BE49-F238E27FC236}">
              <a16:creationId xmlns:a16="http://schemas.microsoft.com/office/drawing/2014/main" id="{00000000-0008-0000-1000-000022000000}"/>
            </a:ext>
          </a:extLst>
        </xdr:cNvPr>
        <xdr:cNvSpPr txBox="1"/>
      </xdr:nvSpPr>
      <xdr:spPr>
        <a:xfrm>
          <a:off x="5920220" y="3994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20</xdr:row>
      <xdr:rowOff>2412999</xdr:rowOff>
    </xdr:from>
    <xdr:to>
      <xdr:col>2</xdr:col>
      <xdr:colOff>5327402</xdr:colOff>
      <xdr:row>20</xdr:row>
      <xdr:rowOff>2712356</xdr:rowOff>
    </xdr:to>
    <xdr:sp macro="" textlink="">
      <xdr:nvSpPr>
        <xdr:cNvPr id="35" name="ZoneTexte 34">
          <a:extLst>
            <a:ext uri="{FF2B5EF4-FFF2-40B4-BE49-F238E27FC236}">
              <a16:creationId xmlns:a16="http://schemas.microsoft.com/office/drawing/2014/main" id="{00000000-0008-0000-1000-000023000000}"/>
            </a:ext>
          </a:extLst>
        </xdr:cNvPr>
        <xdr:cNvSpPr txBox="1"/>
      </xdr:nvSpPr>
      <xdr:spPr>
        <a:xfrm>
          <a:off x="5920220" y="4184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17</xdr:row>
      <xdr:rowOff>2412999</xdr:rowOff>
    </xdr:from>
    <xdr:to>
      <xdr:col>2</xdr:col>
      <xdr:colOff>5327402</xdr:colOff>
      <xdr:row>17</xdr:row>
      <xdr:rowOff>2712356</xdr:rowOff>
    </xdr:to>
    <xdr:sp macro="" textlink="">
      <xdr:nvSpPr>
        <xdr:cNvPr id="36" name="ZoneTexte 35">
          <a:extLst>
            <a:ext uri="{FF2B5EF4-FFF2-40B4-BE49-F238E27FC236}">
              <a16:creationId xmlns:a16="http://schemas.microsoft.com/office/drawing/2014/main" id="{00000000-0008-0000-1000-000024000000}"/>
            </a:ext>
          </a:extLst>
        </xdr:cNvPr>
        <xdr:cNvSpPr txBox="1"/>
      </xdr:nvSpPr>
      <xdr:spPr>
        <a:xfrm>
          <a:off x="5920220" y="3613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37" name="ZoneTexte 36">
          <a:extLst>
            <a:ext uri="{FF2B5EF4-FFF2-40B4-BE49-F238E27FC236}">
              <a16:creationId xmlns:a16="http://schemas.microsoft.com/office/drawing/2014/main" id="{00000000-0008-0000-1000-000025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4525818</xdr:colOff>
      <xdr:row>24</xdr:row>
      <xdr:rowOff>3706090</xdr:rowOff>
    </xdr:from>
    <xdr:to>
      <xdr:col>2</xdr:col>
      <xdr:colOff>5142675</xdr:colOff>
      <xdr:row>24</xdr:row>
      <xdr:rowOff>4005447</xdr:rowOff>
    </xdr:to>
    <xdr:sp macro="" textlink="">
      <xdr:nvSpPr>
        <xdr:cNvPr id="38" name="ZoneTexte 37">
          <a:extLst>
            <a:ext uri="{FF2B5EF4-FFF2-40B4-BE49-F238E27FC236}">
              <a16:creationId xmlns:a16="http://schemas.microsoft.com/office/drawing/2014/main" id="{00000000-0008-0000-1000-000026000000}"/>
            </a:ext>
          </a:extLst>
        </xdr:cNvPr>
        <xdr:cNvSpPr txBox="1"/>
      </xdr:nvSpPr>
      <xdr:spPr>
        <a:xfrm>
          <a:off x="5925993" y="4953865"/>
          <a:ext cx="0"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24</xdr:row>
      <xdr:rowOff>2412999</xdr:rowOff>
    </xdr:from>
    <xdr:to>
      <xdr:col>2</xdr:col>
      <xdr:colOff>5327402</xdr:colOff>
      <xdr:row>24</xdr:row>
      <xdr:rowOff>2712356</xdr:rowOff>
    </xdr:to>
    <xdr:sp macro="" textlink="">
      <xdr:nvSpPr>
        <xdr:cNvPr id="39" name="ZoneTexte 38">
          <a:extLst>
            <a:ext uri="{FF2B5EF4-FFF2-40B4-BE49-F238E27FC236}">
              <a16:creationId xmlns:a16="http://schemas.microsoft.com/office/drawing/2014/main" id="{00000000-0008-0000-1000-000027000000}"/>
            </a:ext>
          </a:extLst>
        </xdr:cNvPr>
        <xdr:cNvSpPr txBox="1"/>
      </xdr:nvSpPr>
      <xdr:spPr>
        <a:xfrm>
          <a:off x="5920220" y="4956174"/>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21</xdr:row>
      <xdr:rowOff>2412999</xdr:rowOff>
    </xdr:from>
    <xdr:to>
      <xdr:col>2</xdr:col>
      <xdr:colOff>5327402</xdr:colOff>
      <xdr:row>21</xdr:row>
      <xdr:rowOff>2712356</xdr:rowOff>
    </xdr:to>
    <xdr:sp macro="" textlink="">
      <xdr:nvSpPr>
        <xdr:cNvPr id="40" name="ZoneTexte 39">
          <a:extLst>
            <a:ext uri="{FF2B5EF4-FFF2-40B4-BE49-F238E27FC236}">
              <a16:creationId xmlns:a16="http://schemas.microsoft.com/office/drawing/2014/main" id="{00000000-0008-0000-1000-000028000000}"/>
            </a:ext>
          </a:extLst>
        </xdr:cNvPr>
        <xdr:cNvSpPr txBox="1"/>
      </xdr:nvSpPr>
      <xdr:spPr>
        <a:xfrm>
          <a:off x="5920220" y="4375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22</xdr:row>
      <xdr:rowOff>2412999</xdr:rowOff>
    </xdr:from>
    <xdr:to>
      <xdr:col>2</xdr:col>
      <xdr:colOff>5327402</xdr:colOff>
      <xdr:row>22</xdr:row>
      <xdr:rowOff>2712356</xdr:rowOff>
    </xdr:to>
    <xdr:sp macro="" textlink="">
      <xdr:nvSpPr>
        <xdr:cNvPr id="41" name="ZoneTexte 40">
          <a:extLst>
            <a:ext uri="{FF2B5EF4-FFF2-40B4-BE49-F238E27FC236}">
              <a16:creationId xmlns:a16="http://schemas.microsoft.com/office/drawing/2014/main" id="{00000000-0008-0000-1000-000029000000}"/>
            </a:ext>
          </a:extLst>
        </xdr:cNvPr>
        <xdr:cNvSpPr txBox="1"/>
      </xdr:nvSpPr>
      <xdr:spPr>
        <a:xfrm>
          <a:off x="5920220" y="4565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8</xdr:row>
      <xdr:rowOff>2412999</xdr:rowOff>
    </xdr:from>
    <xdr:to>
      <xdr:col>2</xdr:col>
      <xdr:colOff>5327402</xdr:colOff>
      <xdr:row>8</xdr:row>
      <xdr:rowOff>2712356</xdr:rowOff>
    </xdr:to>
    <xdr:sp macro="" textlink="">
      <xdr:nvSpPr>
        <xdr:cNvPr id="42" name="ZoneTexte 41">
          <a:extLst>
            <a:ext uri="{FF2B5EF4-FFF2-40B4-BE49-F238E27FC236}">
              <a16:creationId xmlns:a16="http://schemas.microsoft.com/office/drawing/2014/main" id="{00000000-0008-0000-1000-00002A000000}"/>
            </a:ext>
          </a:extLst>
        </xdr:cNvPr>
        <xdr:cNvSpPr txBox="1"/>
      </xdr:nvSpPr>
      <xdr:spPr>
        <a:xfrm>
          <a:off x="5920220" y="18986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twoCellAnchor>
    <xdr:from>
      <xdr:col>2</xdr:col>
      <xdr:colOff>4710545</xdr:colOff>
      <xdr:row>9</xdr:row>
      <xdr:rowOff>2412999</xdr:rowOff>
    </xdr:from>
    <xdr:to>
      <xdr:col>2</xdr:col>
      <xdr:colOff>5327402</xdr:colOff>
      <xdr:row>9</xdr:row>
      <xdr:rowOff>2712356</xdr:rowOff>
    </xdr:to>
    <xdr:sp macro="" textlink="">
      <xdr:nvSpPr>
        <xdr:cNvPr id="43" name="ZoneTexte 42">
          <a:extLst>
            <a:ext uri="{FF2B5EF4-FFF2-40B4-BE49-F238E27FC236}">
              <a16:creationId xmlns:a16="http://schemas.microsoft.com/office/drawing/2014/main" id="{00000000-0008-0000-1000-00002B000000}"/>
            </a:ext>
          </a:extLst>
        </xdr:cNvPr>
        <xdr:cNvSpPr txBox="1"/>
      </xdr:nvSpPr>
      <xdr:spPr>
        <a:xfrm>
          <a:off x="5920220" y="2089149"/>
          <a:ext cx="7257" cy="0"/>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xHEV</a:t>
          </a:r>
        </a:p>
      </xdr:txBody>
    </xdr:sp>
    <xdr:clientData/>
  </xdr:twoCellAnchor>
</xdr:wsDr>
</file>

<file path=xl/persons/person.xml><?xml version="1.0" encoding="utf-8"?>
<personList xmlns="http://schemas.microsoft.com/office/spreadsheetml/2018/threadedcomments" xmlns:x="http://schemas.openxmlformats.org/spreadsheetml/2006/main">
  <person displayName="CHERMAIN Boris" id="{740F2050-C250-401E-9737-3728A43B9EF4}" userId="S::boris.chermain@renault.com::0b57b9dd-bd48-45e2-8712-ad80c37e3ec2"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1" dT="2020-06-03T09:23:23.17" personId="{740F2050-C250-401E-9737-3728A43B9EF4}" id="{D5B5E045-C3E5-47C2-AE6A-640D737A320E}">
    <text>Contenu validée par DEA-MES4 (A tenir pour l'indicateur suivi RETEX PVAL)</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FFFF00"/>
  </sheetPr>
  <dimension ref="A1:O32"/>
  <sheetViews>
    <sheetView showGridLines="0" zoomScale="55" zoomScaleNormal="55" workbookViewId="0">
      <selection activeCell="N8" sqref="N8"/>
    </sheetView>
  </sheetViews>
  <sheetFormatPr baseColWidth="10" defaultColWidth="9.1796875" defaultRowHeight="14.5" x14ac:dyDescent="0.35"/>
  <cols>
    <col min="1" max="15" width="15.54296875" customWidth="1"/>
  </cols>
  <sheetData>
    <row r="1" spans="1:15" x14ac:dyDescent="0.35">
      <c r="A1" s="69"/>
      <c r="B1" s="70"/>
      <c r="C1" s="70"/>
      <c r="D1" s="70"/>
      <c r="E1" s="70"/>
      <c r="F1" s="70"/>
      <c r="G1" s="70"/>
      <c r="H1" s="70"/>
      <c r="I1" s="70"/>
      <c r="J1" s="70"/>
      <c r="K1" s="70"/>
      <c r="L1" s="70"/>
      <c r="M1" s="70"/>
      <c r="N1" s="70"/>
      <c r="O1" s="71"/>
    </row>
    <row r="2" spans="1:15" ht="60.75" customHeight="1" thickBot="1" x14ac:dyDescent="0.8">
      <c r="A2" s="311" t="s">
        <v>0</v>
      </c>
      <c r="B2" s="312"/>
      <c r="C2" s="312"/>
      <c r="D2" s="312"/>
      <c r="E2" s="312"/>
      <c r="F2" s="312"/>
      <c r="G2" s="312"/>
      <c r="H2" s="312"/>
      <c r="I2" s="312"/>
      <c r="J2" s="312"/>
      <c r="K2" s="312"/>
      <c r="L2" s="312"/>
      <c r="M2" s="312"/>
      <c r="N2" s="312"/>
      <c r="O2" s="313"/>
    </row>
    <row r="3" spans="1:15" ht="15" thickTop="1" x14ac:dyDescent="0.35">
      <c r="A3" s="314"/>
      <c r="B3" s="315"/>
      <c r="C3" s="315"/>
      <c r="D3" s="315"/>
      <c r="E3" s="315"/>
      <c r="F3" s="315"/>
      <c r="G3" s="315"/>
      <c r="H3" s="315"/>
      <c r="I3" s="315"/>
      <c r="J3" s="315"/>
      <c r="K3" s="315"/>
      <c r="L3" s="315"/>
      <c r="M3" s="315"/>
      <c r="N3" s="315"/>
      <c r="O3" s="316"/>
    </row>
    <row r="4" spans="1:15" ht="31" x14ac:dyDescent="0.7">
      <c r="A4" s="57" t="s">
        <v>1</v>
      </c>
      <c r="J4" s="60" t="s">
        <v>2</v>
      </c>
      <c r="M4" s="61">
        <f>COUNTA(PVAL_ALL_SYNTH!A3:A15)</f>
        <v>10</v>
      </c>
      <c r="N4" s="72" t="s">
        <v>3</v>
      </c>
      <c r="O4" s="73"/>
    </row>
    <row r="5" spans="1:15" x14ac:dyDescent="0.35">
      <c r="A5" s="56"/>
      <c r="N5" s="74"/>
      <c r="O5" s="73"/>
    </row>
    <row r="6" spans="1:15" ht="23.5" x14ac:dyDescent="0.55000000000000004">
      <c r="A6" s="58" t="s">
        <v>4</v>
      </c>
      <c r="J6" s="61" t="s">
        <v>5</v>
      </c>
      <c r="M6" s="61" cm="1">
        <f t="array" ref="M6">SUMPRODUCT((PVAL_ALL_SYNTH!AN3:EM10&lt;&gt;"")/COUNTIF(PVAL_ALL_SYNTH!AN3:EM10,PVAL_ALL_SYNTH!AN3:EM10&amp;""))</f>
        <v>119</v>
      </c>
      <c r="N6" s="72" t="s">
        <v>6</v>
      </c>
      <c r="O6" s="73"/>
    </row>
    <row r="7" spans="1:15" x14ac:dyDescent="0.35">
      <c r="A7" s="59"/>
      <c r="O7" s="73"/>
    </row>
    <row r="8" spans="1:15" ht="23.5" x14ac:dyDescent="0.55000000000000004">
      <c r="A8" s="58" t="s">
        <v>7</v>
      </c>
      <c r="J8" s="61" t="s">
        <v>8</v>
      </c>
      <c r="O8" s="73"/>
    </row>
    <row r="9" spans="1:15" ht="15" customHeight="1" x14ac:dyDescent="0.35">
      <c r="A9" s="59"/>
      <c r="O9" s="73"/>
    </row>
    <row r="10" spans="1:15" ht="23.5" x14ac:dyDescent="0.55000000000000004">
      <c r="A10" s="58" t="s">
        <v>9</v>
      </c>
      <c r="C10" s="75" t="s">
        <v>10</v>
      </c>
      <c r="J10" s="5" t="s">
        <v>11</v>
      </c>
      <c r="K10" s="6"/>
      <c r="O10" s="73"/>
    </row>
    <row r="11" spans="1:15" ht="15" customHeight="1" x14ac:dyDescent="0.35">
      <c r="A11" s="59"/>
      <c r="O11" s="73"/>
    </row>
    <row r="12" spans="1:15" ht="23.5" x14ac:dyDescent="0.55000000000000004">
      <c r="A12" s="58" t="s">
        <v>12</v>
      </c>
      <c r="C12" s="75"/>
      <c r="G12" s="12"/>
      <c r="J12" s="5" t="s">
        <v>13</v>
      </c>
      <c r="O12" s="73"/>
    </row>
    <row r="13" spans="1:15" ht="15" customHeight="1" x14ac:dyDescent="0.55000000000000004">
      <c r="A13" s="59"/>
      <c r="C13" s="76"/>
      <c r="O13" s="73"/>
    </row>
    <row r="14" spans="1:15" ht="23.5" x14ac:dyDescent="0.55000000000000004">
      <c r="A14" s="58" t="s">
        <v>14</v>
      </c>
      <c r="C14" s="75"/>
      <c r="J14" s="5" t="s">
        <v>13</v>
      </c>
      <c r="K14" s="6"/>
      <c r="O14" s="73"/>
    </row>
    <row r="15" spans="1:15" x14ac:dyDescent="0.35">
      <c r="A15" s="56"/>
      <c r="O15" s="73"/>
    </row>
    <row r="16" spans="1:15" ht="24" thickBot="1" x14ac:dyDescent="0.6">
      <c r="A16" s="77"/>
      <c r="B16" s="78"/>
      <c r="C16" s="78"/>
      <c r="D16" s="79"/>
      <c r="E16" s="78"/>
      <c r="F16" s="78"/>
      <c r="G16" s="78"/>
      <c r="H16" s="78"/>
      <c r="I16" s="78"/>
      <c r="J16" s="78"/>
      <c r="K16" s="78"/>
      <c r="L16" s="78"/>
      <c r="M16" s="78"/>
      <c r="N16" s="78"/>
      <c r="O16" s="80"/>
    </row>
    <row r="17" spans="1:15" ht="15" thickBot="1" x14ac:dyDescent="0.4">
      <c r="A17" s="1"/>
    </row>
    <row r="18" spans="1:15" ht="41.25" customHeight="1" thickBot="1" x14ac:dyDescent="0.4">
      <c r="A18" s="335" t="s">
        <v>15</v>
      </c>
      <c r="B18" s="336"/>
      <c r="C18" s="336"/>
      <c r="D18" s="336"/>
      <c r="E18" s="336"/>
      <c r="F18" s="336"/>
      <c r="G18" s="336"/>
      <c r="H18" s="336"/>
      <c r="I18" s="336"/>
      <c r="J18" s="336"/>
      <c r="K18" s="336"/>
      <c r="L18" s="336"/>
      <c r="M18" s="336"/>
      <c r="N18" s="336"/>
      <c r="O18" s="337"/>
    </row>
    <row r="19" spans="1:15" x14ac:dyDescent="0.35">
      <c r="A19" s="338"/>
      <c r="B19" s="339"/>
      <c r="C19" s="339"/>
      <c r="D19" s="339"/>
      <c r="E19" s="339"/>
      <c r="F19" s="339"/>
      <c r="G19" s="339"/>
      <c r="H19" s="339"/>
      <c r="I19" s="339"/>
      <c r="J19" s="339"/>
      <c r="K19" s="339"/>
      <c r="L19" s="339"/>
      <c r="M19" s="339"/>
      <c r="N19" s="339"/>
      <c r="O19" s="340"/>
    </row>
    <row r="20" spans="1:15" x14ac:dyDescent="0.35">
      <c r="A20" s="341"/>
      <c r="B20" s="342"/>
      <c r="C20" s="342"/>
      <c r="D20" s="342"/>
      <c r="E20" s="342"/>
      <c r="F20" s="342"/>
      <c r="G20" s="342"/>
      <c r="H20" s="342"/>
      <c r="I20" s="342"/>
      <c r="J20" s="342"/>
      <c r="K20" s="342"/>
      <c r="L20" s="342"/>
      <c r="M20" s="342"/>
      <c r="N20" s="342"/>
      <c r="O20" s="343"/>
    </row>
    <row r="21" spans="1:15" x14ac:dyDescent="0.35">
      <c r="A21" s="341"/>
      <c r="B21" s="342"/>
      <c r="C21" s="342"/>
      <c r="D21" s="342"/>
      <c r="E21" s="342"/>
      <c r="F21" s="342"/>
      <c r="G21" s="342"/>
      <c r="H21" s="342"/>
      <c r="I21" s="342"/>
      <c r="J21" s="342"/>
      <c r="K21" s="342"/>
      <c r="L21" s="342"/>
      <c r="M21" s="342"/>
      <c r="N21" s="342"/>
      <c r="O21" s="343"/>
    </row>
    <row r="22" spans="1:15" x14ac:dyDescent="0.35">
      <c r="A22" s="341"/>
      <c r="B22" s="342"/>
      <c r="C22" s="342"/>
      <c r="D22" s="342"/>
      <c r="E22" s="342"/>
      <c r="F22" s="342"/>
      <c r="G22" s="342"/>
      <c r="H22" s="342"/>
      <c r="I22" s="342"/>
      <c r="J22" s="342"/>
      <c r="K22" s="342"/>
      <c r="L22" s="342"/>
      <c r="M22" s="342"/>
      <c r="N22" s="342"/>
      <c r="O22" s="343"/>
    </row>
    <row r="23" spans="1:15" x14ac:dyDescent="0.35">
      <c r="A23" s="341"/>
      <c r="B23" s="342"/>
      <c r="C23" s="342"/>
      <c r="D23" s="342"/>
      <c r="E23" s="342"/>
      <c r="F23" s="342"/>
      <c r="G23" s="342"/>
      <c r="H23" s="342"/>
      <c r="I23" s="342"/>
      <c r="J23" s="342"/>
      <c r="K23" s="342"/>
      <c r="L23" s="342"/>
      <c r="M23" s="342"/>
      <c r="N23" s="342"/>
      <c r="O23" s="343"/>
    </row>
    <row r="24" spans="1:15" x14ac:dyDescent="0.35">
      <c r="A24" s="341"/>
      <c r="B24" s="342"/>
      <c r="C24" s="342"/>
      <c r="D24" s="342"/>
      <c r="E24" s="342"/>
      <c r="F24" s="342"/>
      <c r="G24" s="342"/>
      <c r="H24" s="342"/>
      <c r="I24" s="342"/>
      <c r="J24" s="342"/>
      <c r="K24" s="342"/>
      <c r="L24" s="342"/>
      <c r="M24" s="342"/>
      <c r="N24" s="342"/>
      <c r="O24" s="343"/>
    </row>
    <row r="25" spans="1:15" ht="15" thickBot="1" x14ac:dyDescent="0.4">
      <c r="A25" s="344"/>
      <c r="B25" s="345"/>
      <c r="C25" s="345"/>
      <c r="D25" s="345"/>
      <c r="E25" s="345"/>
      <c r="F25" s="345"/>
      <c r="G25" s="345"/>
      <c r="H25" s="345"/>
      <c r="I25" s="345"/>
      <c r="J25" s="345"/>
      <c r="K25" s="345"/>
      <c r="L25" s="345"/>
      <c r="M25" s="345"/>
      <c r="N25" s="345"/>
      <c r="O25" s="346"/>
    </row>
    <row r="26" spans="1:15" ht="15" thickBot="1" x14ac:dyDescent="0.4"/>
    <row r="27" spans="1:15" ht="36.75" customHeight="1" thickBot="1" x14ac:dyDescent="0.4">
      <c r="A27" s="347" t="s">
        <v>16</v>
      </c>
      <c r="B27" s="348"/>
      <c r="C27" s="348"/>
      <c r="D27" s="348"/>
      <c r="E27" s="349"/>
      <c r="F27" s="347" t="s">
        <v>17</v>
      </c>
      <c r="G27" s="348"/>
      <c r="H27" s="348"/>
      <c r="I27" s="348"/>
      <c r="J27" s="349"/>
      <c r="K27" s="347" t="s">
        <v>18</v>
      </c>
      <c r="L27" s="348"/>
      <c r="M27" s="348"/>
      <c r="N27" s="348"/>
      <c r="O27" s="349"/>
    </row>
    <row r="28" spans="1:15" x14ac:dyDescent="0.35">
      <c r="A28" s="317">
        <f>1-(COUNTIF(PVAL_ALL_SYNTH!AL3:AL11,"NR"))/(COUNTA(PVAL_ALL_SYNTH!AL3:AL11)-COUNTIF(PVAL_ALL_SYNTH!AL3:AL11,"NA"))</f>
        <v>0</v>
      </c>
      <c r="B28" s="318"/>
      <c r="C28" s="318"/>
      <c r="D28" s="318"/>
      <c r="E28" s="319"/>
      <c r="F28" s="317" t="str">
        <f>IF(A28=0,"",COUNTIF(PVAL_ALL_SYNTH!AL3:AL11,"OK")/(COUNTA(PVAL_ALL_SYNTH!AL3:AL11)-COUNTIF(PVAL_ALL_SYNTH!AL3:AL11,"NA")))</f>
        <v/>
      </c>
      <c r="G28" s="318"/>
      <c r="H28" s="318"/>
      <c r="I28" s="318"/>
      <c r="J28" s="319"/>
      <c r="K28" s="326"/>
      <c r="L28" s="327"/>
      <c r="M28" s="327"/>
      <c r="N28" s="327"/>
      <c r="O28" s="328"/>
    </row>
    <row r="29" spans="1:15" x14ac:dyDescent="0.35">
      <c r="A29" s="320"/>
      <c r="B29" s="321"/>
      <c r="C29" s="321"/>
      <c r="D29" s="321"/>
      <c r="E29" s="322"/>
      <c r="F29" s="320"/>
      <c r="G29" s="321"/>
      <c r="H29" s="321"/>
      <c r="I29" s="321"/>
      <c r="J29" s="322"/>
      <c r="K29" s="329"/>
      <c r="L29" s="330"/>
      <c r="M29" s="330"/>
      <c r="N29" s="330"/>
      <c r="O29" s="331"/>
    </row>
    <row r="30" spans="1:15" x14ac:dyDescent="0.35">
      <c r="A30" s="320"/>
      <c r="B30" s="321"/>
      <c r="C30" s="321"/>
      <c r="D30" s="321"/>
      <c r="E30" s="322"/>
      <c r="F30" s="320"/>
      <c r="G30" s="321"/>
      <c r="H30" s="321"/>
      <c r="I30" s="321"/>
      <c r="J30" s="322"/>
      <c r="K30" s="329"/>
      <c r="L30" s="330"/>
      <c r="M30" s="330"/>
      <c r="N30" s="330"/>
      <c r="O30" s="331"/>
    </row>
    <row r="31" spans="1:15" x14ac:dyDescent="0.35">
      <c r="A31" s="320"/>
      <c r="B31" s="321"/>
      <c r="C31" s="321"/>
      <c r="D31" s="321"/>
      <c r="E31" s="322"/>
      <c r="F31" s="320"/>
      <c r="G31" s="321"/>
      <c r="H31" s="321"/>
      <c r="I31" s="321"/>
      <c r="J31" s="322"/>
      <c r="K31" s="329"/>
      <c r="L31" s="330"/>
      <c r="M31" s="330"/>
      <c r="N31" s="330"/>
      <c r="O31" s="331"/>
    </row>
    <row r="32" spans="1:15" ht="15" thickBot="1" x14ac:dyDescent="0.4">
      <c r="A32" s="323"/>
      <c r="B32" s="324"/>
      <c r="C32" s="324"/>
      <c r="D32" s="324"/>
      <c r="E32" s="325"/>
      <c r="F32" s="323"/>
      <c r="G32" s="324"/>
      <c r="H32" s="324"/>
      <c r="I32" s="324"/>
      <c r="J32" s="325"/>
      <c r="K32" s="332"/>
      <c r="L32" s="333"/>
      <c r="M32" s="333"/>
      <c r="N32" s="333"/>
      <c r="O32" s="334"/>
    </row>
  </sheetData>
  <mergeCells count="10">
    <mergeCell ref="A2:O2"/>
    <mergeCell ref="A3:O3"/>
    <mergeCell ref="A28:E32"/>
    <mergeCell ref="F28:J32"/>
    <mergeCell ref="K28:O32"/>
    <mergeCell ref="A18:O18"/>
    <mergeCell ref="A19:O25"/>
    <mergeCell ref="A27:E27"/>
    <mergeCell ref="F27:J27"/>
    <mergeCell ref="K27:O27"/>
  </mergeCells>
  <pageMargins left="0.7" right="0.7" top="0.75" bottom="0.75" header="0.3" footer="0.3"/>
  <pageSetup paperSize="9" orientation="portrait" verticalDpi="598" r:id="rId1"/>
  <headerFooter>
    <oddFooter>&amp;R&amp;1#&amp;"Arial"&amp;10&amp;K000000Confidential C</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1347" id="{5DB0B64B-54A5-471A-A796-2DDBEAFBF6EE}">
            <xm:f>$M$6=COUNTA(REQ!$A$2:$A$129)</xm:f>
            <x14:dxf>
              <font>
                <color theme="0"/>
              </font>
              <fill>
                <patternFill>
                  <bgColor rgb="FF66FF66"/>
                </patternFill>
              </fill>
            </x14:dxf>
          </x14:cfRule>
          <xm:sqref>M6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rgb="FFFFFF00"/>
  </sheetPr>
  <dimension ref="A1:Q12"/>
  <sheetViews>
    <sheetView zoomScale="70" zoomScaleNormal="70" workbookViewId="0">
      <selection activeCell="D12" sqref="D12:P12"/>
    </sheetView>
  </sheetViews>
  <sheetFormatPr baseColWidth="10" defaultColWidth="11.453125" defaultRowHeight="14.5" x14ac:dyDescent="0.35"/>
  <cols>
    <col min="1" max="1" width="20.1796875" bestFit="1" customWidth="1"/>
    <col min="2" max="3" width="20" customWidth="1"/>
  </cols>
  <sheetData>
    <row r="1" spans="1:17" x14ac:dyDescent="0.35">
      <c r="A1" s="355" t="s">
        <v>19</v>
      </c>
      <c r="B1" s="356"/>
      <c r="C1" s="356"/>
      <c r="D1" s="356"/>
      <c r="E1" s="356"/>
      <c r="F1" s="356"/>
      <c r="G1" s="356"/>
      <c r="H1" s="356"/>
      <c r="I1" s="356"/>
      <c r="J1" s="356"/>
      <c r="K1" s="356"/>
      <c r="L1" s="356"/>
      <c r="M1" s="356"/>
      <c r="N1" s="356"/>
      <c r="O1" s="356"/>
      <c r="P1" s="357"/>
    </row>
    <row r="2" spans="1:17" ht="15" thickBot="1" x14ac:dyDescent="0.4">
      <c r="A2" s="358"/>
      <c r="B2" s="359"/>
      <c r="C2" s="359"/>
      <c r="D2" s="359"/>
      <c r="E2" s="359"/>
      <c r="F2" s="359"/>
      <c r="G2" s="359"/>
      <c r="H2" s="359"/>
      <c r="I2" s="359"/>
      <c r="J2" s="359"/>
      <c r="K2" s="359"/>
      <c r="L2" s="359"/>
      <c r="M2" s="359"/>
      <c r="N2" s="359"/>
      <c r="O2" s="359"/>
      <c r="P2" s="360"/>
    </row>
    <row r="3" spans="1:17" ht="28.5" x14ac:dyDescent="0.35">
      <c r="A3" s="30" t="s">
        <v>20</v>
      </c>
      <c r="B3" s="127" t="s">
        <v>21</v>
      </c>
      <c r="C3" s="127" t="s">
        <v>22</v>
      </c>
      <c r="D3" s="361" t="s">
        <v>23</v>
      </c>
      <c r="E3" s="362"/>
      <c r="F3" s="362"/>
      <c r="G3" s="362"/>
      <c r="H3" s="362"/>
      <c r="I3" s="362"/>
      <c r="J3" s="362"/>
      <c r="K3" s="362"/>
      <c r="L3" s="362"/>
      <c r="M3" s="362"/>
      <c r="N3" s="362"/>
      <c r="O3" s="362"/>
      <c r="P3" s="363"/>
    </row>
    <row r="4" spans="1:17" ht="32.25" customHeight="1" x14ac:dyDescent="0.35">
      <c r="A4" s="36" t="s">
        <v>24</v>
      </c>
      <c r="B4" s="45" t="s">
        <v>25</v>
      </c>
      <c r="C4" s="37">
        <v>44320</v>
      </c>
      <c r="D4" s="364" t="s">
        <v>26</v>
      </c>
      <c r="E4" s="351"/>
      <c r="F4" s="351"/>
      <c r="G4" s="351"/>
      <c r="H4" s="351"/>
      <c r="I4" s="351"/>
      <c r="J4" s="351"/>
      <c r="K4" s="351"/>
      <c r="L4" s="351"/>
      <c r="M4" s="351"/>
      <c r="N4" s="351"/>
      <c r="O4" s="351"/>
      <c r="P4" s="352"/>
    </row>
    <row r="5" spans="1:17" ht="37.5" customHeight="1" x14ac:dyDescent="0.35">
      <c r="A5" s="31" t="s">
        <v>27</v>
      </c>
      <c r="B5" s="128" t="s">
        <v>28</v>
      </c>
      <c r="C5" s="32">
        <v>44671</v>
      </c>
      <c r="D5" s="365"/>
      <c r="E5" s="366"/>
      <c r="F5" s="366"/>
      <c r="G5" s="366"/>
      <c r="H5" s="366"/>
      <c r="I5" s="366"/>
      <c r="J5" s="366"/>
      <c r="K5" s="366"/>
      <c r="L5" s="366"/>
      <c r="M5" s="366"/>
      <c r="N5" s="366"/>
      <c r="O5" s="366"/>
      <c r="P5" s="367"/>
    </row>
    <row r="6" spans="1:17" ht="37.5" customHeight="1" x14ac:dyDescent="0.35">
      <c r="A6" s="36" t="s">
        <v>29</v>
      </c>
      <c r="B6" s="45" t="s">
        <v>30</v>
      </c>
      <c r="C6" s="37">
        <v>45504</v>
      </c>
      <c r="D6" s="350" t="s">
        <v>31</v>
      </c>
      <c r="E6" s="351"/>
      <c r="F6" s="351"/>
      <c r="G6" s="351"/>
      <c r="H6" s="351"/>
      <c r="I6" s="351"/>
      <c r="J6" s="351"/>
      <c r="K6" s="351"/>
      <c r="L6" s="351"/>
      <c r="M6" s="351"/>
      <c r="N6" s="351"/>
      <c r="O6" s="351"/>
      <c r="P6" s="352"/>
    </row>
    <row r="7" spans="1:17" ht="37.5" customHeight="1" x14ac:dyDescent="0.35">
      <c r="A7" s="36" t="s">
        <v>32</v>
      </c>
      <c r="B7" s="45" t="s">
        <v>28</v>
      </c>
      <c r="C7" s="37">
        <v>45525</v>
      </c>
      <c r="D7" s="350" t="s">
        <v>33</v>
      </c>
      <c r="E7" s="351"/>
      <c r="F7" s="351"/>
      <c r="G7" s="351"/>
      <c r="H7" s="351"/>
      <c r="I7" s="351"/>
      <c r="J7" s="351"/>
      <c r="K7" s="351"/>
      <c r="L7" s="351"/>
      <c r="M7" s="351"/>
      <c r="N7" s="351"/>
      <c r="O7" s="351"/>
      <c r="P7" s="352"/>
    </row>
    <row r="8" spans="1:17" ht="37.5" customHeight="1" x14ac:dyDescent="0.35">
      <c r="A8" s="36" t="s">
        <v>32</v>
      </c>
      <c r="B8" s="45" t="s">
        <v>34</v>
      </c>
      <c r="C8" s="37">
        <v>45569</v>
      </c>
      <c r="D8" s="350" t="s">
        <v>35</v>
      </c>
      <c r="E8" s="351"/>
      <c r="F8" s="351"/>
      <c r="G8" s="351"/>
      <c r="H8" s="351"/>
      <c r="I8" s="351"/>
      <c r="J8" s="351"/>
      <c r="K8" s="351"/>
      <c r="L8" s="351"/>
      <c r="M8" s="351"/>
      <c r="N8" s="351"/>
      <c r="O8" s="351"/>
      <c r="P8" s="352"/>
      <c r="Q8" s="310" t="s">
        <v>36</v>
      </c>
    </row>
    <row r="9" spans="1:17" ht="37.5" customHeight="1" x14ac:dyDescent="0.35">
      <c r="A9" s="36" t="s">
        <v>37</v>
      </c>
      <c r="B9" s="45" t="s">
        <v>38</v>
      </c>
      <c r="C9" s="37">
        <v>45587</v>
      </c>
      <c r="D9" s="350" t="s">
        <v>39</v>
      </c>
      <c r="E9" s="351"/>
      <c r="F9" s="351"/>
      <c r="G9" s="351"/>
      <c r="H9" s="351"/>
      <c r="I9" s="351"/>
      <c r="J9" s="351"/>
      <c r="K9" s="351"/>
      <c r="L9" s="351"/>
      <c r="M9" s="351"/>
      <c r="N9" s="351"/>
      <c r="O9" s="351"/>
      <c r="P9" s="352"/>
    </row>
    <row r="10" spans="1:17" ht="37.5" customHeight="1" x14ac:dyDescent="0.35">
      <c r="A10" s="36" t="s">
        <v>37</v>
      </c>
      <c r="B10" s="45" t="s">
        <v>34</v>
      </c>
      <c r="C10" s="37">
        <v>45714</v>
      </c>
      <c r="D10" s="350" t="s">
        <v>40</v>
      </c>
      <c r="E10" s="351"/>
      <c r="F10" s="351"/>
      <c r="G10" s="351"/>
      <c r="H10" s="351"/>
      <c r="I10" s="351"/>
      <c r="J10" s="351"/>
      <c r="K10" s="351"/>
      <c r="L10" s="351"/>
      <c r="M10" s="351"/>
      <c r="N10" s="351"/>
      <c r="O10" s="351"/>
      <c r="P10" s="352"/>
    </row>
    <row r="11" spans="1:17" ht="37.5" customHeight="1" x14ac:dyDescent="0.35">
      <c r="A11" s="36" t="s">
        <v>37</v>
      </c>
      <c r="B11" s="45" t="s">
        <v>30</v>
      </c>
      <c r="C11" s="37">
        <v>45755</v>
      </c>
      <c r="D11" s="353" t="s">
        <v>41</v>
      </c>
      <c r="E11" s="354"/>
      <c r="F11" s="354"/>
      <c r="G11" s="354"/>
      <c r="H11" s="354"/>
      <c r="I11" s="354"/>
      <c r="J11" s="354"/>
      <c r="K11" s="354"/>
      <c r="L11" s="354"/>
      <c r="M11" s="354"/>
      <c r="N11" s="354"/>
      <c r="O11" s="354"/>
      <c r="P11" s="354"/>
    </row>
    <row r="12" spans="1:17" ht="37.5" customHeight="1" x14ac:dyDescent="0.35">
      <c r="A12" s="36" t="s">
        <v>37</v>
      </c>
      <c r="B12" s="45" t="s">
        <v>34</v>
      </c>
      <c r="C12" s="37">
        <v>45763</v>
      </c>
      <c r="D12" s="350" t="s">
        <v>42</v>
      </c>
      <c r="E12" s="351"/>
      <c r="F12" s="351"/>
      <c r="G12" s="351"/>
      <c r="H12" s="351"/>
      <c r="I12" s="351"/>
      <c r="J12" s="351"/>
      <c r="K12" s="351"/>
      <c r="L12" s="351"/>
      <c r="M12" s="351"/>
      <c r="N12" s="351"/>
      <c r="O12" s="351"/>
      <c r="P12" s="352"/>
    </row>
  </sheetData>
  <mergeCells count="11">
    <mergeCell ref="D12:P12"/>
    <mergeCell ref="D11:P11"/>
    <mergeCell ref="A1:P2"/>
    <mergeCell ref="D3:P3"/>
    <mergeCell ref="D4:P4"/>
    <mergeCell ref="D5:P5"/>
    <mergeCell ref="D10:P10"/>
    <mergeCell ref="D9:P9"/>
    <mergeCell ref="D8:P8"/>
    <mergeCell ref="D6:P6"/>
    <mergeCell ref="D7:P7"/>
  </mergeCells>
  <phoneticPr fontId="41" type="noConversion"/>
  <pageMargins left="0.7" right="0.7" top="0.75" bottom="0.75" header="0.3" footer="0.3"/>
  <pageSetup paperSize="9" orientation="portrait" r:id="rId1"/>
  <headerFooter>
    <oddFooter>&amp;R&amp;1#&amp;"Arial"&amp;10&amp;K000000Confidential C</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16442-40DE-4F33-AF13-C1F64E6EFADA}">
  <sheetPr codeName="Feuil4" filterMode="1">
    <tabColor rgb="FFFFFF00"/>
  </sheetPr>
  <dimension ref="A1:AN129"/>
  <sheetViews>
    <sheetView showFormulas="1" zoomScaleNormal="100" workbookViewId="0">
      <pane ySplit="1" topLeftCell="A3" activePane="bottomLeft" state="frozen"/>
      <selection activeCell="E71" sqref="E71"/>
      <selection pane="bottomLeft" activeCell="E3" sqref="E3"/>
    </sheetView>
  </sheetViews>
  <sheetFormatPr baseColWidth="10" defaultColWidth="11.453125" defaultRowHeight="14.5" x14ac:dyDescent="0.35"/>
  <cols>
    <col min="1" max="1" width="20.81640625" style="309" customWidth="1"/>
    <col min="2" max="2" width="2.453125" style="44" bestFit="1" customWidth="1"/>
    <col min="3" max="3" width="9.26953125" style="44" bestFit="1" customWidth="1"/>
    <col min="4" max="4" width="20.453125" customWidth="1"/>
    <col min="5" max="5" width="29.54296875" style="267" customWidth="1"/>
    <col min="6" max="6" width="4.1796875" customWidth="1"/>
    <col min="7" max="7" width="3.7265625" bestFit="1" customWidth="1"/>
    <col min="8" max="8" width="6.26953125" customWidth="1"/>
    <col min="9" max="9" width="3.81640625" style="242" customWidth="1"/>
    <col min="10" max="10" width="9.81640625" style="44" customWidth="1"/>
    <col min="11" max="11" width="5.54296875" customWidth="1"/>
    <col min="12" max="12" width="6.453125" style="44" customWidth="1"/>
    <col min="13" max="13" width="6.26953125" bestFit="1" customWidth="1"/>
    <col min="14" max="14" width="3.453125" customWidth="1"/>
    <col min="15" max="15" width="9.1796875" style="44" customWidth="1"/>
    <col min="16" max="39" width="1.81640625" customWidth="1"/>
  </cols>
  <sheetData>
    <row r="1" spans="1:40" ht="115.5" x14ac:dyDescent="0.35">
      <c r="A1" s="301" t="s">
        <v>43</v>
      </c>
      <c r="B1" s="244" t="s">
        <v>44</v>
      </c>
      <c r="C1" s="244" t="s">
        <v>45</v>
      </c>
      <c r="D1" s="244" t="s">
        <v>46</v>
      </c>
      <c r="E1" s="245" t="s">
        <v>47</v>
      </c>
      <c r="F1" s="244" t="s">
        <v>48</v>
      </c>
      <c r="G1" s="244" t="s">
        <v>49</v>
      </c>
      <c r="H1" s="244" t="s">
        <v>50</v>
      </c>
      <c r="I1" s="244" t="s">
        <v>51</v>
      </c>
      <c r="J1" s="244" t="s">
        <v>52</v>
      </c>
      <c r="K1" s="244" t="s">
        <v>53</v>
      </c>
      <c r="L1" s="244" t="s">
        <v>54</v>
      </c>
      <c r="M1" s="244" t="s">
        <v>55</v>
      </c>
      <c r="N1" s="244" t="s">
        <v>56</v>
      </c>
      <c r="O1" s="244" t="s">
        <v>57</v>
      </c>
      <c r="P1" s="246" t="s">
        <v>58</v>
      </c>
      <c r="Q1" s="246" t="s">
        <v>59</v>
      </c>
      <c r="R1" s="246" t="s">
        <v>60</v>
      </c>
      <c r="S1" s="246" t="s">
        <v>61</v>
      </c>
      <c r="T1" s="246" t="s">
        <v>62</v>
      </c>
      <c r="U1" s="246" t="s">
        <v>63</v>
      </c>
      <c r="V1" s="246" t="s">
        <v>64</v>
      </c>
      <c r="W1" s="246" t="s">
        <v>65</v>
      </c>
      <c r="X1" s="246" t="s">
        <v>66</v>
      </c>
      <c r="Y1" s="246" t="s">
        <v>67</v>
      </c>
      <c r="Z1" s="246" t="s">
        <v>68</v>
      </c>
      <c r="AA1" s="246" t="s">
        <v>69</v>
      </c>
      <c r="AB1" s="246" t="s">
        <v>70</v>
      </c>
      <c r="AC1" s="246" t="s">
        <v>71</v>
      </c>
      <c r="AD1" s="246" t="s">
        <v>72</v>
      </c>
      <c r="AE1" s="246" t="s">
        <v>73</v>
      </c>
      <c r="AF1" s="246" t="s">
        <v>74</v>
      </c>
      <c r="AG1" s="246" t="s">
        <v>75</v>
      </c>
      <c r="AH1" s="246" t="s">
        <v>76</v>
      </c>
      <c r="AI1" s="246" t="s">
        <v>73</v>
      </c>
      <c r="AJ1" s="246" t="s">
        <v>77</v>
      </c>
      <c r="AK1" s="246" t="s">
        <v>78</v>
      </c>
      <c r="AL1" s="246" t="s">
        <v>79</v>
      </c>
      <c r="AM1" s="246" t="s">
        <v>80</v>
      </c>
      <c r="AN1" s="244" t="s">
        <v>81</v>
      </c>
    </row>
    <row r="2" spans="1:40" s="33" customFormat="1" hidden="1" x14ac:dyDescent="0.35">
      <c r="A2" s="302" t="s">
        <v>82</v>
      </c>
      <c r="B2" s="34" t="s">
        <v>83</v>
      </c>
      <c r="C2" s="34" t="s">
        <v>84</v>
      </c>
      <c r="D2" s="41" t="s">
        <v>85</v>
      </c>
      <c r="E2" s="41" t="s">
        <v>86</v>
      </c>
      <c r="F2" s="34" t="s">
        <v>87</v>
      </c>
      <c r="G2" s="34" t="s">
        <v>87</v>
      </c>
      <c r="H2" s="41"/>
      <c r="I2" s="34"/>
      <c r="J2" s="34" t="s">
        <v>88</v>
      </c>
      <c r="K2" s="34" t="s">
        <v>89</v>
      </c>
      <c r="L2" s="34" t="s">
        <v>90</v>
      </c>
      <c r="M2" s="34" t="s">
        <v>91</v>
      </c>
      <c r="N2" s="34" t="s">
        <v>92</v>
      </c>
      <c r="O2" s="34" t="s">
        <v>93</v>
      </c>
      <c r="P2" s="34" t="s">
        <v>94</v>
      </c>
      <c r="Q2" s="34" t="s">
        <v>94</v>
      </c>
      <c r="R2" s="34" t="s">
        <v>94</v>
      </c>
      <c r="S2" s="34" t="s">
        <v>94</v>
      </c>
      <c r="T2" s="34" t="s">
        <v>94</v>
      </c>
      <c r="U2" s="34" t="s">
        <v>94</v>
      </c>
      <c r="V2" s="34" t="s">
        <v>94</v>
      </c>
      <c r="W2" s="34" t="s">
        <v>94</v>
      </c>
      <c r="X2" s="34" t="s">
        <v>94</v>
      </c>
      <c r="Y2" s="34" t="s">
        <v>94</v>
      </c>
      <c r="Z2" s="34" t="s">
        <v>94</v>
      </c>
      <c r="AA2" s="34" t="s">
        <v>94</v>
      </c>
      <c r="AB2" s="34" t="s">
        <v>94</v>
      </c>
      <c r="AC2" s="34" t="s">
        <v>94</v>
      </c>
      <c r="AD2" s="34" t="s">
        <v>94</v>
      </c>
      <c r="AE2" s="34" t="s">
        <v>94</v>
      </c>
      <c r="AF2" s="34" t="s">
        <v>94</v>
      </c>
      <c r="AG2" s="34" t="s">
        <v>94</v>
      </c>
      <c r="AH2" s="34" t="s">
        <v>94</v>
      </c>
      <c r="AI2" s="34" t="s">
        <v>94</v>
      </c>
      <c r="AJ2" s="34" t="s">
        <v>94</v>
      </c>
      <c r="AK2" s="34" t="s">
        <v>94</v>
      </c>
      <c r="AL2" s="34" t="s">
        <v>94</v>
      </c>
      <c r="AM2" s="34" t="s">
        <v>94</v>
      </c>
      <c r="AN2" s="247"/>
    </row>
    <row r="3" spans="1:40" s="33" customFormat="1" x14ac:dyDescent="0.35">
      <c r="A3" s="302" t="s">
        <v>95</v>
      </c>
      <c r="B3" s="34" t="s">
        <v>83</v>
      </c>
      <c r="C3" s="34" t="s">
        <v>96</v>
      </c>
      <c r="D3" s="41" t="s">
        <v>97</v>
      </c>
      <c r="E3" s="41" t="s">
        <v>98</v>
      </c>
      <c r="F3" s="34" t="s">
        <v>89</v>
      </c>
      <c r="G3" s="34" t="s">
        <v>87</v>
      </c>
      <c r="H3" s="41"/>
      <c r="I3" s="34"/>
      <c r="J3" s="34" t="s">
        <v>99</v>
      </c>
      <c r="K3" s="34" t="s">
        <v>89</v>
      </c>
      <c r="L3" s="34" t="s">
        <v>90</v>
      </c>
      <c r="M3" s="34" t="s">
        <v>91</v>
      </c>
      <c r="N3" s="34" t="s">
        <v>100</v>
      </c>
      <c r="O3" s="34"/>
      <c r="P3" s="34" t="s">
        <v>94</v>
      </c>
      <c r="Q3" s="34" t="s">
        <v>94</v>
      </c>
      <c r="R3" s="34"/>
      <c r="S3" s="34"/>
      <c r="T3" s="34"/>
      <c r="U3" s="34"/>
      <c r="V3" s="34" t="s">
        <v>94</v>
      </c>
      <c r="W3" s="34" t="s">
        <v>94</v>
      </c>
      <c r="X3" s="34" t="s">
        <v>94</v>
      </c>
      <c r="Y3" s="34" t="s">
        <v>94</v>
      </c>
      <c r="Z3" s="34" t="s">
        <v>94</v>
      </c>
      <c r="AA3" s="34" t="s">
        <v>94</v>
      </c>
      <c r="AB3" s="34" t="s">
        <v>94</v>
      </c>
      <c r="AC3" s="34" t="s">
        <v>94</v>
      </c>
      <c r="AD3" s="34" t="s">
        <v>94</v>
      </c>
      <c r="AE3" s="34" t="s">
        <v>94</v>
      </c>
      <c r="AF3" s="34" t="s">
        <v>94</v>
      </c>
      <c r="AG3" s="34" t="s">
        <v>94</v>
      </c>
      <c r="AH3" s="34" t="s">
        <v>94</v>
      </c>
      <c r="AI3" s="34" t="s">
        <v>94</v>
      </c>
      <c r="AJ3" s="34" t="s">
        <v>94</v>
      </c>
      <c r="AK3" s="34" t="s">
        <v>94</v>
      </c>
      <c r="AL3" s="34" t="s">
        <v>94</v>
      </c>
      <c r="AM3" s="34" t="s">
        <v>94</v>
      </c>
      <c r="AN3" s="247"/>
    </row>
    <row r="4" spans="1:40" s="33" customFormat="1" hidden="1" x14ac:dyDescent="0.35">
      <c r="A4" s="302" t="s">
        <v>101</v>
      </c>
      <c r="B4" s="34" t="s">
        <v>83</v>
      </c>
      <c r="C4" s="34" t="s">
        <v>84</v>
      </c>
      <c r="D4" s="41" t="s">
        <v>102</v>
      </c>
      <c r="E4" s="41" t="s">
        <v>103</v>
      </c>
      <c r="F4" s="34" t="s">
        <v>87</v>
      </c>
      <c r="G4" s="34" t="s">
        <v>87</v>
      </c>
      <c r="H4" s="41"/>
      <c r="I4" s="34"/>
      <c r="J4" s="34" t="s">
        <v>88</v>
      </c>
      <c r="K4" s="34" t="s">
        <v>89</v>
      </c>
      <c r="L4" s="34" t="s">
        <v>90</v>
      </c>
      <c r="M4" s="34" t="s">
        <v>91</v>
      </c>
      <c r="N4" s="34" t="s">
        <v>104</v>
      </c>
      <c r="O4" s="248"/>
      <c r="P4" s="34" t="s">
        <v>94</v>
      </c>
      <c r="Q4" s="34" t="s">
        <v>94</v>
      </c>
      <c r="R4" s="34"/>
      <c r="S4" s="34"/>
      <c r="T4" s="34"/>
      <c r="U4" s="34"/>
      <c r="V4" s="34"/>
      <c r="W4" s="34"/>
      <c r="X4" s="34"/>
      <c r="Y4" s="34" t="s">
        <v>94</v>
      </c>
      <c r="Z4" s="34" t="s">
        <v>94</v>
      </c>
      <c r="AA4" s="34" t="s">
        <v>94</v>
      </c>
      <c r="AB4" s="34" t="s">
        <v>94</v>
      </c>
      <c r="AC4" s="34" t="s">
        <v>94</v>
      </c>
      <c r="AD4" s="34" t="s">
        <v>94</v>
      </c>
      <c r="AE4" s="34" t="s">
        <v>94</v>
      </c>
      <c r="AF4" s="34" t="s">
        <v>94</v>
      </c>
      <c r="AG4" s="34" t="s">
        <v>94</v>
      </c>
      <c r="AH4" s="34"/>
      <c r="AI4" s="34" t="s">
        <v>94</v>
      </c>
      <c r="AJ4" s="34"/>
      <c r="AK4" s="34"/>
      <c r="AL4" s="34" t="s">
        <v>94</v>
      </c>
      <c r="AM4" s="34"/>
      <c r="AN4" s="247"/>
    </row>
    <row r="5" spans="1:40" s="33" customFormat="1" hidden="1" x14ac:dyDescent="0.35">
      <c r="A5" s="302" t="s">
        <v>105</v>
      </c>
      <c r="B5" s="34" t="s">
        <v>83</v>
      </c>
      <c r="C5" s="34" t="s">
        <v>84</v>
      </c>
      <c r="D5" s="41" t="s">
        <v>106</v>
      </c>
      <c r="E5" s="41" t="s">
        <v>107</v>
      </c>
      <c r="F5" s="34" t="s">
        <v>87</v>
      </c>
      <c r="G5" s="34" t="s">
        <v>87</v>
      </c>
      <c r="H5" s="41"/>
      <c r="I5" s="34"/>
      <c r="J5" s="34" t="s">
        <v>88</v>
      </c>
      <c r="K5" s="34" t="s">
        <v>89</v>
      </c>
      <c r="L5" s="34" t="s">
        <v>90</v>
      </c>
      <c r="M5" s="34" t="s">
        <v>91</v>
      </c>
      <c r="N5" s="34" t="s">
        <v>104</v>
      </c>
      <c r="O5" s="248"/>
      <c r="P5" s="34" t="s">
        <v>94</v>
      </c>
      <c r="Q5" s="34" t="s">
        <v>94</v>
      </c>
      <c r="R5" s="34"/>
      <c r="S5" s="34"/>
      <c r="T5" s="34"/>
      <c r="U5" s="34"/>
      <c r="V5" s="34"/>
      <c r="W5" s="34"/>
      <c r="X5" s="34"/>
      <c r="Y5" s="34" t="s">
        <v>94</v>
      </c>
      <c r="Z5" s="34" t="s">
        <v>94</v>
      </c>
      <c r="AA5" s="34" t="s">
        <v>94</v>
      </c>
      <c r="AB5" s="34" t="s">
        <v>94</v>
      </c>
      <c r="AC5" s="34" t="s">
        <v>94</v>
      </c>
      <c r="AD5" s="34" t="s">
        <v>94</v>
      </c>
      <c r="AE5" s="34" t="s">
        <v>94</v>
      </c>
      <c r="AF5" s="34" t="s">
        <v>94</v>
      </c>
      <c r="AG5" s="34" t="s">
        <v>94</v>
      </c>
      <c r="AH5" s="34"/>
      <c r="AI5" s="34" t="s">
        <v>94</v>
      </c>
      <c r="AJ5" s="34"/>
      <c r="AK5" s="34"/>
      <c r="AL5" s="34" t="s">
        <v>94</v>
      </c>
      <c r="AM5" s="34"/>
      <c r="AN5" s="247"/>
    </row>
    <row r="6" spans="1:40" s="33" customFormat="1" hidden="1" x14ac:dyDescent="0.35">
      <c r="A6" s="302" t="s">
        <v>108</v>
      </c>
      <c r="B6" s="34" t="s">
        <v>83</v>
      </c>
      <c r="C6" s="34" t="s">
        <v>84</v>
      </c>
      <c r="D6" s="41" t="s">
        <v>109</v>
      </c>
      <c r="E6" s="41" t="s">
        <v>110</v>
      </c>
      <c r="F6" s="34" t="s">
        <v>87</v>
      </c>
      <c r="G6" s="34" t="s">
        <v>87</v>
      </c>
      <c r="H6" s="41"/>
      <c r="I6" s="34"/>
      <c r="J6" s="34" t="s">
        <v>88</v>
      </c>
      <c r="K6" s="34" t="s">
        <v>89</v>
      </c>
      <c r="L6" s="34" t="s">
        <v>90</v>
      </c>
      <c r="M6" s="34" t="s">
        <v>91</v>
      </c>
      <c r="N6" s="34" t="s">
        <v>104</v>
      </c>
      <c r="O6" s="34" t="s">
        <v>111</v>
      </c>
      <c r="P6" s="34" t="s">
        <v>94</v>
      </c>
      <c r="Q6" s="34" t="s">
        <v>94</v>
      </c>
      <c r="R6" s="34" t="s">
        <v>94</v>
      </c>
      <c r="S6" s="34" t="s">
        <v>94</v>
      </c>
      <c r="T6" s="34" t="s">
        <v>94</v>
      </c>
      <c r="U6" s="34" t="s">
        <v>94</v>
      </c>
      <c r="V6" s="34" t="s">
        <v>94</v>
      </c>
      <c r="W6" s="34" t="s">
        <v>94</v>
      </c>
      <c r="X6" s="34" t="s">
        <v>94</v>
      </c>
      <c r="Y6" s="34" t="s">
        <v>94</v>
      </c>
      <c r="Z6" s="34" t="s">
        <v>94</v>
      </c>
      <c r="AA6" s="34" t="s">
        <v>94</v>
      </c>
      <c r="AB6" s="34" t="s">
        <v>94</v>
      </c>
      <c r="AC6" s="34" t="s">
        <v>94</v>
      </c>
      <c r="AD6" s="34" t="s">
        <v>94</v>
      </c>
      <c r="AE6" s="34" t="s">
        <v>94</v>
      </c>
      <c r="AF6" s="34" t="s">
        <v>94</v>
      </c>
      <c r="AG6" s="34" t="s">
        <v>94</v>
      </c>
      <c r="AH6" s="34" t="s">
        <v>94</v>
      </c>
      <c r="AI6" s="34" t="s">
        <v>94</v>
      </c>
      <c r="AJ6" s="34" t="s">
        <v>94</v>
      </c>
      <c r="AK6" s="34" t="s">
        <v>94</v>
      </c>
      <c r="AL6" s="34" t="s">
        <v>94</v>
      </c>
      <c r="AM6" s="34" t="s">
        <v>94</v>
      </c>
      <c r="AN6" s="247"/>
    </row>
    <row r="7" spans="1:40" s="33" customFormat="1" hidden="1" x14ac:dyDescent="0.35">
      <c r="A7" s="302" t="s">
        <v>112</v>
      </c>
      <c r="B7" s="34" t="s">
        <v>83</v>
      </c>
      <c r="C7" s="34" t="s">
        <v>84</v>
      </c>
      <c r="D7" s="41" t="s">
        <v>113</v>
      </c>
      <c r="E7" s="41" t="s">
        <v>114</v>
      </c>
      <c r="F7" s="34" t="s">
        <v>87</v>
      </c>
      <c r="G7" s="34" t="s">
        <v>87</v>
      </c>
      <c r="H7" s="41"/>
      <c r="I7" s="34"/>
      <c r="J7" s="34" t="s">
        <v>88</v>
      </c>
      <c r="K7" s="34" t="s">
        <v>89</v>
      </c>
      <c r="L7" s="34" t="s">
        <v>90</v>
      </c>
      <c r="M7" s="34" t="s">
        <v>91</v>
      </c>
      <c r="N7" s="34" t="s">
        <v>115</v>
      </c>
      <c r="O7" s="34"/>
      <c r="P7" s="34" t="s">
        <v>94</v>
      </c>
      <c r="Q7" s="34" t="s">
        <v>94</v>
      </c>
      <c r="R7" s="34"/>
      <c r="S7" s="41"/>
      <c r="T7" s="41"/>
      <c r="U7" s="34"/>
      <c r="V7" s="34" t="s">
        <v>94</v>
      </c>
      <c r="W7" s="34" t="s">
        <v>94</v>
      </c>
      <c r="X7" s="34" t="s">
        <v>94</v>
      </c>
      <c r="Y7" s="34" t="s">
        <v>94</v>
      </c>
      <c r="Z7" s="34" t="s">
        <v>94</v>
      </c>
      <c r="AA7" s="34" t="s">
        <v>94</v>
      </c>
      <c r="AB7" s="34" t="s">
        <v>94</v>
      </c>
      <c r="AC7" s="34" t="s">
        <v>94</v>
      </c>
      <c r="AD7" s="34" t="s">
        <v>94</v>
      </c>
      <c r="AE7" s="34" t="s">
        <v>94</v>
      </c>
      <c r="AF7" s="34" t="s">
        <v>94</v>
      </c>
      <c r="AG7" s="34" t="s">
        <v>94</v>
      </c>
      <c r="AH7" s="34" t="s">
        <v>94</v>
      </c>
      <c r="AI7" s="34" t="s">
        <v>94</v>
      </c>
      <c r="AJ7" s="34" t="s">
        <v>94</v>
      </c>
      <c r="AK7" s="34" t="s">
        <v>94</v>
      </c>
      <c r="AL7" s="34" t="s">
        <v>94</v>
      </c>
      <c r="AM7" s="34" t="s">
        <v>94</v>
      </c>
      <c r="AN7" s="247"/>
    </row>
    <row r="8" spans="1:40" s="33" customFormat="1" hidden="1" x14ac:dyDescent="0.35">
      <c r="A8" s="302" t="s">
        <v>116</v>
      </c>
      <c r="B8" s="34"/>
      <c r="C8" s="34" t="s">
        <v>117</v>
      </c>
      <c r="D8" s="41" t="s">
        <v>118</v>
      </c>
      <c r="E8" s="249" t="s">
        <v>119</v>
      </c>
      <c r="F8" s="34" t="s">
        <v>87</v>
      </c>
      <c r="G8" s="34" t="s">
        <v>87</v>
      </c>
      <c r="H8" s="41"/>
      <c r="I8" s="34"/>
      <c r="J8" s="34"/>
      <c r="K8" s="34" t="s">
        <v>89</v>
      </c>
      <c r="L8" s="34" t="s">
        <v>90</v>
      </c>
      <c r="M8" s="34" t="s">
        <v>91</v>
      </c>
      <c r="N8" s="34" t="s">
        <v>120</v>
      </c>
      <c r="O8" s="248"/>
      <c r="P8" s="34" t="s">
        <v>94</v>
      </c>
      <c r="Q8" s="34" t="s">
        <v>94</v>
      </c>
      <c r="R8" s="34"/>
      <c r="S8" s="34" t="s">
        <v>94</v>
      </c>
      <c r="T8" s="34" t="s">
        <v>94</v>
      </c>
      <c r="U8" s="34"/>
      <c r="V8" s="34"/>
      <c r="W8" s="34"/>
      <c r="X8" s="34" t="s">
        <v>94</v>
      </c>
      <c r="Y8" s="34"/>
      <c r="Z8" s="34" t="s">
        <v>94</v>
      </c>
      <c r="AA8" s="34" t="s">
        <v>94</v>
      </c>
      <c r="AB8" s="34" t="s">
        <v>94</v>
      </c>
      <c r="AC8" s="34" t="s">
        <v>94</v>
      </c>
      <c r="AD8" s="34" t="s">
        <v>94</v>
      </c>
      <c r="AE8" s="34" t="s">
        <v>94</v>
      </c>
      <c r="AF8" s="34" t="s">
        <v>94</v>
      </c>
      <c r="AG8" s="34" t="s">
        <v>94</v>
      </c>
      <c r="AH8" s="34" t="s">
        <v>94</v>
      </c>
      <c r="AI8" s="34" t="s">
        <v>94</v>
      </c>
      <c r="AJ8" s="34" t="s">
        <v>94</v>
      </c>
      <c r="AK8" s="34" t="s">
        <v>94</v>
      </c>
      <c r="AL8" s="34" t="s">
        <v>94</v>
      </c>
      <c r="AM8" s="34" t="s">
        <v>94</v>
      </c>
      <c r="AN8" s="247"/>
    </row>
    <row r="9" spans="1:40" s="33" customFormat="1" hidden="1" x14ac:dyDescent="0.35">
      <c r="A9" s="250" t="s">
        <v>121</v>
      </c>
      <c r="B9" s="34" t="s">
        <v>122</v>
      </c>
      <c r="C9" s="243" t="s">
        <v>96</v>
      </c>
      <c r="D9" s="251" t="s">
        <v>123</v>
      </c>
      <c r="E9" s="252" t="s">
        <v>124</v>
      </c>
      <c r="F9" s="34" t="s">
        <v>87</v>
      </c>
      <c r="G9" s="34" t="s">
        <v>87</v>
      </c>
      <c r="H9" s="41"/>
      <c r="I9" s="34"/>
      <c r="J9" s="34"/>
      <c r="K9" s="34" t="s">
        <v>89</v>
      </c>
      <c r="L9" s="34" t="s">
        <v>90</v>
      </c>
      <c r="M9" s="34" t="s">
        <v>91</v>
      </c>
      <c r="N9" s="34" t="s">
        <v>120</v>
      </c>
      <c r="O9" s="34"/>
      <c r="P9" s="34"/>
      <c r="Q9" s="34"/>
      <c r="R9" s="34"/>
      <c r="S9" s="34"/>
      <c r="T9" s="34"/>
      <c r="U9" s="34"/>
      <c r="V9" s="34"/>
      <c r="W9" s="34"/>
      <c r="X9" s="34" t="s">
        <v>94</v>
      </c>
      <c r="Y9" s="34"/>
      <c r="Z9" s="34"/>
      <c r="AA9" s="34"/>
      <c r="AB9" s="34"/>
      <c r="AC9" s="34"/>
      <c r="AD9" s="34"/>
      <c r="AE9" s="34"/>
      <c r="AF9" s="34"/>
      <c r="AG9" s="34"/>
      <c r="AH9" s="34" t="s">
        <v>94</v>
      </c>
      <c r="AI9" s="34"/>
      <c r="AJ9" s="34" t="s">
        <v>94</v>
      </c>
      <c r="AK9" s="34" t="s">
        <v>94</v>
      </c>
      <c r="AL9" s="34"/>
      <c r="AM9" s="34" t="s">
        <v>94</v>
      </c>
      <c r="AN9" s="247" t="s">
        <v>125</v>
      </c>
    </row>
    <row r="10" spans="1:40" s="33" customFormat="1" hidden="1" x14ac:dyDescent="0.35">
      <c r="A10" s="303" t="s">
        <v>126</v>
      </c>
      <c r="B10" s="34"/>
      <c r="C10" s="243" t="s">
        <v>96</v>
      </c>
      <c r="D10" s="251" t="s">
        <v>127</v>
      </c>
      <c r="E10" s="253" t="s">
        <v>128</v>
      </c>
      <c r="F10" s="34" t="s">
        <v>87</v>
      </c>
      <c r="G10" s="34" t="s">
        <v>87</v>
      </c>
      <c r="H10" s="41"/>
      <c r="I10" s="34"/>
      <c r="J10" s="34"/>
      <c r="K10" s="34" t="s">
        <v>89</v>
      </c>
      <c r="L10" s="34" t="s">
        <v>90</v>
      </c>
      <c r="M10" s="34" t="s">
        <v>91</v>
      </c>
      <c r="N10" s="34" t="s">
        <v>120</v>
      </c>
      <c r="O10" s="34"/>
      <c r="P10" s="34" t="s">
        <v>94</v>
      </c>
      <c r="Q10" s="34" t="s">
        <v>94</v>
      </c>
      <c r="R10" s="34"/>
      <c r="S10" s="34" t="s">
        <v>94</v>
      </c>
      <c r="T10" s="34" t="s">
        <v>94</v>
      </c>
      <c r="U10" s="34"/>
      <c r="V10" s="34"/>
      <c r="W10" s="34"/>
      <c r="X10" s="34" t="s">
        <v>94</v>
      </c>
      <c r="Y10" s="34"/>
      <c r="Z10" s="34" t="s">
        <v>94</v>
      </c>
      <c r="AA10" s="34" t="s">
        <v>94</v>
      </c>
      <c r="AB10" s="34" t="s">
        <v>94</v>
      </c>
      <c r="AC10" s="34" t="s">
        <v>94</v>
      </c>
      <c r="AD10" s="34" t="s">
        <v>94</v>
      </c>
      <c r="AE10" s="34" t="s">
        <v>94</v>
      </c>
      <c r="AF10" s="34" t="s">
        <v>94</v>
      </c>
      <c r="AG10" s="34" t="s">
        <v>94</v>
      </c>
      <c r="AH10" s="34" t="s">
        <v>94</v>
      </c>
      <c r="AI10" s="34" t="s">
        <v>94</v>
      </c>
      <c r="AJ10" s="34" t="s">
        <v>94</v>
      </c>
      <c r="AK10" s="34" t="s">
        <v>94</v>
      </c>
      <c r="AL10" s="34" t="s">
        <v>94</v>
      </c>
      <c r="AM10" s="34" t="s">
        <v>94</v>
      </c>
      <c r="AN10" s="247" t="s">
        <v>129</v>
      </c>
    </row>
    <row r="11" spans="1:40" s="33" customFormat="1" hidden="1" x14ac:dyDescent="0.35">
      <c r="A11" s="303" t="s">
        <v>130</v>
      </c>
      <c r="B11" s="34" t="s">
        <v>131</v>
      </c>
      <c r="C11" s="243" t="s">
        <v>96</v>
      </c>
      <c r="D11" s="254" t="s">
        <v>132</v>
      </c>
      <c r="E11" s="253" t="s">
        <v>133</v>
      </c>
      <c r="F11" s="34" t="s">
        <v>87</v>
      </c>
      <c r="G11" s="34" t="s">
        <v>87</v>
      </c>
      <c r="H11" s="41"/>
      <c r="I11" s="34"/>
      <c r="J11" s="34"/>
      <c r="K11" s="34" t="s">
        <v>89</v>
      </c>
      <c r="L11" s="34" t="s">
        <v>90</v>
      </c>
      <c r="M11" s="34" t="s">
        <v>91</v>
      </c>
      <c r="N11" s="34" t="s">
        <v>120</v>
      </c>
      <c r="O11" s="34"/>
      <c r="P11" s="34" t="s">
        <v>94</v>
      </c>
      <c r="Q11" s="34" t="s">
        <v>94</v>
      </c>
      <c r="R11" s="34"/>
      <c r="S11" s="34" t="s">
        <v>94</v>
      </c>
      <c r="T11" s="34" t="s">
        <v>94</v>
      </c>
      <c r="U11" s="34"/>
      <c r="V11" s="34"/>
      <c r="W11" s="34"/>
      <c r="X11" s="34" t="s">
        <v>94</v>
      </c>
      <c r="Y11" s="34"/>
      <c r="Z11" s="34" t="s">
        <v>94</v>
      </c>
      <c r="AA11" s="34" t="s">
        <v>94</v>
      </c>
      <c r="AB11" s="34" t="s">
        <v>94</v>
      </c>
      <c r="AC11" s="34" t="s">
        <v>94</v>
      </c>
      <c r="AD11" s="34" t="s">
        <v>94</v>
      </c>
      <c r="AE11" s="34" t="s">
        <v>94</v>
      </c>
      <c r="AF11" s="34" t="s">
        <v>94</v>
      </c>
      <c r="AG11" s="34" t="s">
        <v>94</v>
      </c>
      <c r="AH11" s="34" t="s">
        <v>94</v>
      </c>
      <c r="AI11" s="34" t="s">
        <v>94</v>
      </c>
      <c r="AJ11" s="34" t="s">
        <v>94</v>
      </c>
      <c r="AK11" s="34" t="s">
        <v>94</v>
      </c>
      <c r="AL11" s="34" t="s">
        <v>94</v>
      </c>
      <c r="AM11" s="34" t="s">
        <v>94</v>
      </c>
      <c r="AN11" s="247" t="s">
        <v>134</v>
      </c>
    </row>
    <row r="12" spans="1:40" s="33" customFormat="1" hidden="1" x14ac:dyDescent="0.35">
      <c r="A12" s="303" t="s">
        <v>135</v>
      </c>
      <c r="B12" s="34"/>
      <c r="C12" s="243" t="s">
        <v>136</v>
      </c>
      <c r="D12" s="41" t="s">
        <v>137</v>
      </c>
      <c r="E12" s="249" t="s">
        <v>138</v>
      </c>
      <c r="F12" s="34" t="s">
        <v>87</v>
      </c>
      <c r="G12" s="34" t="s">
        <v>87</v>
      </c>
      <c r="H12" s="41"/>
      <c r="I12" s="34"/>
      <c r="J12" s="34"/>
      <c r="K12" s="34" t="s">
        <v>89</v>
      </c>
      <c r="L12" s="34" t="s">
        <v>90</v>
      </c>
      <c r="M12" s="34" t="s">
        <v>91</v>
      </c>
      <c r="N12" s="34" t="s">
        <v>120</v>
      </c>
      <c r="O12" s="34"/>
      <c r="P12" s="34" t="s">
        <v>94</v>
      </c>
      <c r="Q12" s="34" t="s">
        <v>94</v>
      </c>
      <c r="R12" s="34"/>
      <c r="S12" s="34" t="s">
        <v>94</v>
      </c>
      <c r="T12" s="34" t="s">
        <v>94</v>
      </c>
      <c r="U12" s="34"/>
      <c r="V12" s="34"/>
      <c r="W12" s="34"/>
      <c r="X12" s="34" t="s">
        <v>94</v>
      </c>
      <c r="Y12" s="34"/>
      <c r="Z12" s="34" t="s">
        <v>94</v>
      </c>
      <c r="AA12" s="34" t="s">
        <v>94</v>
      </c>
      <c r="AB12" s="34" t="s">
        <v>94</v>
      </c>
      <c r="AC12" s="34" t="s">
        <v>94</v>
      </c>
      <c r="AD12" s="34" t="s">
        <v>94</v>
      </c>
      <c r="AE12" s="34" t="s">
        <v>94</v>
      </c>
      <c r="AF12" s="34" t="s">
        <v>94</v>
      </c>
      <c r="AG12" s="34" t="s">
        <v>94</v>
      </c>
      <c r="AH12" s="34" t="s">
        <v>94</v>
      </c>
      <c r="AI12" s="34" t="s">
        <v>94</v>
      </c>
      <c r="AJ12" s="34" t="s">
        <v>94</v>
      </c>
      <c r="AK12" s="34" t="s">
        <v>94</v>
      </c>
      <c r="AL12" s="34" t="s">
        <v>94</v>
      </c>
      <c r="AM12" s="34" t="s">
        <v>94</v>
      </c>
      <c r="AN12" s="247"/>
    </row>
    <row r="13" spans="1:40" s="33" customFormat="1" hidden="1" x14ac:dyDescent="0.35">
      <c r="A13" s="250" t="s">
        <v>139</v>
      </c>
      <c r="B13" s="34"/>
      <c r="C13" s="243" t="s">
        <v>136</v>
      </c>
      <c r="D13" s="41" t="s">
        <v>140</v>
      </c>
      <c r="E13" s="249" t="s">
        <v>141</v>
      </c>
      <c r="F13" s="34" t="s">
        <v>87</v>
      </c>
      <c r="G13" s="34" t="s">
        <v>87</v>
      </c>
      <c r="H13" s="41"/>
      <c r="I13" s="34"/>
      <c r="J13" s="34"/>
      <c r="K13" s="34" t="s">
        <v>89</v>
      </c>
      <c r="L13" s="34" t="s">
        <v>90</v>
      </c>
      <c r="M13" s="34" t="s">
        <v>91</v>
      </c>
      <c r="N13" s="34" t="s">
        <v>120</v>
      </c>
      <c r="O13" s="34"/>
      <c r="P13" s="34"/>
      <c r="Q13" s="34"/>
      <c r="R13" s="34"/>
      <c r="S13" s="34" t="s">
        <v>94</v>
      </c>
      <c r="T13" s="34" t="s">
        <v>94</v>
      </c>
      <c r="U13" s="34"/>
      <c r="V13" s="34"/>
      <c r="W13" s="34"/>
      <c r="X13" s="34"/>
      <c r="Y13" s="34"/>
      <c r="Z13" s="34"/>
      <c r="AA13" s="34"/>
      <c r="AB13" s="34"/>
      <c r="AC13" s="34"/>
      <c r="AD13" s="34"/>
      <c r="AE13" s="34"/>
      <c r="AF13" s="34"/>
      <c r="AG13" s="34"/>
      <c r="AH13" s="34"/>
      <c r="AI13" s="34"/>
      <c r="AJ13" s="34"/>
      <c r="AK13" s="34"/>
      <c r="AL13" s="34"/>
      <c r="AM13" s="34"/>
      <c r="AN13" s="247"/>
    </row>
    <row r="14" spans="1:40" s="33" customFormat="1" hidden="1" x14ac:dyDescent="0.35">
      <c r="A14" s="250" t="s">
        <v>142</v>
      </c>
      <c r="B14" s="34" t="s">
        <v>131</v>
      </c>
      <c r="C14" s="243" t="s">
        <v>143</v>
      </c>
      <c r="D14" s="41"/>
      <c r="E14" s="249" t="s">
        <v>144</v>
      </c>
      <c r="F14" s="34" t="s">
        <v>87</v>
      </c>
      <c r="G14" s="34" t="s">
        <v>87</v>
      </c>
      <c r="H14" s="41"/>
      <c r="I14" s="34"/>
      <c r="J14" s="34"/>
      <c r="K14" s="34" t="s">
        <v>89</v>
      </c>
      <c r="L14" s="34" t="s">
        <v>90</v>
      </c>
      <c r="M14" s="34" t="s">
        <v>91</v>
      </c>
      <c r="N14" s="34" t="s">
        <v>120</v>
      </c>
      <c r="O14" s="34"/>
      <c r="P14" s="34"/>
      <c r="Q14" s="34"/>
      <c r="R14" s="34"/>
      <c r="S14" s="34" t="s">
        <v>94</v>
      </c>
      <c r="T14" s="34" t="s">
        <v>94</v>
      </c>
      <c r="U14" s="34"/>
      <c r="V14" s="34"/>
      <c r="W14" s="34"/>
      <c r="X14" s="34"/>
      <c r="Y14" s="34"/>
      <c r="Z14" s="34"/>
      <c r="AA14" s="34"/>
      <c r="AB14" s="34"/>
      <c r="AC14" s="34"/>
      <c r="AD14" s="34"/>
      <c r="AE14" s="34"/>
      <c r="AF14" s="34"/>
      <c r="AG14" s="34"/>
      <c r="AH14" s="34"/>
      <c r="AI14" s="34"/>
      <c r="AJ14" s="34"/>
      <c r="AK14" s="34"/>
      <c r="AL14" s="34"/>
      <c r="AM14" s="34"/>
      <c r="AN14" s="247"/>
    </row>
    <row r="15" spans="1:40" s="33" customFormat="1" hidden="1" x14ac:dyDescent="0.35">
      <c r="A15" s="255" t="s">
        <v>145</v>
      </c>
      <c r="B15" s="34" t="s">
        <v>131</v>
      </c>
      <c r="C15" s="243" t="s">
        <v>143</v>
      </c>
      <c r="D15" s="41"/>
      <c r="E15" s="249" t="s">
        <v>146</v>
      </c>
      <c r="F15" s="34" t="s">
        <v>87</v>
      </c>
      <c r="G15" s="34" t="s">
        <v>87</v>
      </c>
      <c r="H15" s="41"/>
      <c r="I15" s="34"/>
      <c r="J15" s="34"/>
      <c r="K15" s="34" t="s">
        <v>89</v>
      </c>
      <c r="L15" s="34" t="s">
        <v>90</v>
      </c>
      <c r="M15" s="34" t="s">
        <v>91</v>
      </c>
      <c r="N15" s="34" t="s">
        <v>120</v>
      </c>
      <c r="O15" s="34"/>
      <c r="P15" s="34"/>
      <c r="Q15" s="34"/>
      <c r="R15" s="34"/>
      <c r="S15" s="34" t="s">
        <v>94</v>
      </c>
      <c r="T15" s="34" t="s">
        <v>94</v>
      </c>
      <c r="U15" s="34"/>
      <c r="V15" s="34"/>
      <c r="W15" s="34"/>
      <c r="X15" s="34"/>
      <c r="Y15" s="34"/>
      <c r="Z15" s="34"/>
      <c r="AA15" s="34"/>
      <c r="AB15" s="34"/>
      <c r="AC15" s="34"/>
      <c r="AD15" s="34"/>
      <c r="AE15" s="34"/>
      <c r="AF15" s="34"/>
      <c r="AG15" s="34"/>
      <c r="AH15" s="34"/>
      <c r="AI15" s="34"/>
      <c r="AJ15" s="34"/>
      <c r="AK15" s="34"/>
      <c r="AL15" s="34"/>
      <c r="AM15" s="34"/>
      <c r="AN15" s="256"/>
    </row>
    <row r="16" spans="1:40" s="33" customFormat="1" hidden="1" x14ac:dyDescent="0.35">
      <c r="A16" s="250" t="s">
        <v>147</v>
      </c>
      <c r="B16" s="34" t="s">
        <v>131</v>
      </c>
      <c r="C16" s="243" t="s">
        <v>143</v>
      </c>
      <c r="D16" s="41"/>
      <c r="E16" s="249" t="s">
        <v>148</v>
      </c>
      <c r="F16" s="34" t="s">
        <v>87</v>
      </c>
      <c r="G16" s="34" t="s">
        <v>87</v>
      </c>
      <c r="H16" s="41"/>
      <c r="I16" s="34"/>
      <c r="J16" s="34"/>
      <c r="K16" s="34" t="s">
        <v>89</v>
      </c>
      <c r="L16" s="34" t="s">
        <v>90</v>
      </c>
      <c r="M16" s="34" t="s">
        <v>91</v>
      </c>
      <c r="N16" s="34" t="s">
        <v>120</v>
      </c>
      <c r="O16" s="248"/>
      <c r="P16" s="34"/>
      <c r="Q16" s="34"/>
      <c r="R16" s="34"/>
      <c r="S16" s="34" t="s">
        <v>94</v>
      </c>
      <c r="T16" s="34" t="s">
        <v>94</v>
      </c>
      <c r="U16" s="34"/>
      <c r="V16" s="34"/>
      <c r="W16" s="34"/>
      <c r="X16" s="34"/>
      <c r="Y16" s="34"/>
      <c r="Z16" s="34"/>
      <c r="AA16" s="34"/>
      <c r="AB16" s="34"/>
      <c r="AC16" s="34"/>
      <c r="AD16" s="34"/>
      <c r="AE16" s="34"/>
      <c r="AF16" s="34"/>
      <c r="AG16" s="34"/>
      <c r="AH16" s="34"/>
      <c r="AI16" s="34"/>
      <c r="AJ16" s="34"/>
      <c r="AK16" s="34"/>
      <c r="AL16" s="34"/>
      <c r="AM16" s="34"/>
      <c r="AN16" s="247"/>
    </row>
    <row r="17" spans="1:40" s="33" customFormat="1" hidden="1" x14ac:dyDescent="0.35">
      <c r="A17" s="250" t="s">
        <v>149</v>
      </c>
      <c r="B17" s="34" t="s">
        <v>131</v>
      </c>
      <c r="C17" s="243" t="s">
        <v>143</v>
      </c>
      <c r="D17" s="41"/>
      <c r="E17" s="249" t="s">
        <v>150</v>
      </c>
      <c r="F17" s="34" t="s">
        <v>87</v>
      </c>
      <c r="G17" s="34" t="s">
        <v>87</v>
      </c>
      <c r="H17" s="41"/>
      <c r="I17" s="34"/>
      <c r="J17" s="34"/>
      <c r="K17" s="34" t="s">
        <v>89</v>
      </c>
      <c r="L17" s="34" t="s">
        <v>90</v>
      </c>
      <c r="M17" s="34" t="s">
        <v>91</v>
      </c>
      <c r="N17" s="34" t="s">
        <v>120</v>
      </c>
      <c r="O17" s="248"/>
      <c r="P17" s="34"/>
      <c r="Q17" s="34"/>
      <c r="R17" s="34"/>
      <c r="S17" s="34" t="s">
        <v>94</v>
      </c>
      <c r="T17" s="34" t="s">
        <v>94</v>
      </c>
      <c r="U17" s="34"/>
      <c r="V17" s="34"/>
      <c r="W17" s="34"/>
      <c r="X17" s="34"/>
      <c r="Y17" s="34"/>
      <c r="Z17" s="34"/>
      <c r="AA17" s="34"/>
      <c r="AB17" s="34"/>
      <c r="AC17" s="34"/>
      <c r="AD17" s="34"/>
      <c r="AE17" s="34"/>
      <c r="AF17" s="34"/>
      <c r="AG17" s="34"/>
      <c r="AH17" s="34"/>
      <c r="AI17" s="34"/>
      <c r="AJ17" s="34"/>
      <c r="AK17" s="34"/>
      <c r="AL17" s="34"/>
      <c r="AM17" s="34"/>
      <c r="AN17" s="247"/>
    </row>
    <row r="18" spans="1:40" s="33" customFormat="1" hidden="1" x14ac:dyDescent="0.35">
      <c r="A18" s="250" t="s">
        <v>151</v>
      </c>
      <c r="B18" s="34" t="s">
        <v>131</v>
      </c>
      <c r="C18" s="243" t="s">
        <v>143</v>
      </c>
      <c r="D18" s="41"/>
      <c r="E18" s="249" t="s">
        <v>152</v>
      </c>
      <c r="F18" s="34" t="s">
        <v>87</v>
      </c>
      <c r="G18" s="34" t="s">
        <v>87</v>
      </c>
      <c r="H18" s="41"/>
      <c r="I18" s="34"/>
      <c r="J18" s="34"/>
      <c r="K18" s="34" t="s">
        <v>89</v>
      </c>
      <c r="L18" s="34" t="s">
        <v>90</v>
      </c>
      <c r="M18" s="34" t="s">
        <v>91</v>
      </c>
      <c r="N18" s="34" t="s">
        <v>120</v>
      </c>
      <c r="O18" s="34"/>
      <c r="P18" s="34"/>
      <c r="Q18" s="34"/>
      <c r="R18" s="34"/>
      <c r="S18" s="34" t="s">
        <v>94</v>
      </c>
      <c r="T18" s="34" t="s">
        <v>94</v>
      </c>
      <c r="U18" s="34"/>
      <c r="V18" s="34"/>
      <c r="W18" s="34"/>
      <c r="X18" s="34"/>
      <c r="Y18" s="34"/>
      <c r="Z18" s="34"/>
      <c r="AA18" s="34"/>
      <c r="AB18" s="34"/>
      <c r="AC18" s="34"/>
      <c r="AD18" s="34"/>
      <c r="AE18" s="34"/>
      <c r="AF18" s="34"/>
      <c r="AG18" s="34"/>
      <c r="AH18" s="34"/>
      <c r="AI18" s="34"/>
      <c r="AJ18" s="34"/>
      <c r="AK18" s="34"/>
      <c r="AL18" s="34"/>
      <c r="AM18" s="34"/>
      <c r="AN18" s="247"/>
    </row>
    <row r="19" spans="1:40" x14ac:dyDescent="0.35">
      <c r="A19" s="255" t="s">
        <v>153</v>
      </c>
      <c r="B19" s="34" t="s">
        <v>131</v>
      </c>
      <c r="C19" s="243" t="s">
        <v>143</v>
      </c>
      <c r="D19" s="41"/>
      <c r="E19" s="257" t="s">
        <v>154</v>
      </c>
      <c r="F19" s="34" t="s">
        <v>87</v>
      </c>
      <c r="G19" s="34" t="s">
        <v>87</v>
      </c>
      <c r="H19" s="258"/>
      <c r="I19" s="34"/>
      <c r="J19" s="34"/>
      <c r="K19" s="34" t="s">
        <v>89</v>
      </c>
      <c r="L19" s="34" t="s">
        <v>90</v>
      </c>
      <c r="M19" s="34" t="s">
        <v>91</v>
      </c>
      <c r="N19" s="34" t="s">
        <v>120</v>
      </c>
      <c r="O19" s="34"/>
      <c r="P19" s="34"/>
      <c r="Q19" s="34"/>
      <c r="R19" s="34"/>
      <c r="S19" s="34" t="s">
        <v>94</v>
      </c>
      <c r="T19" s="34" t="s">
        <v>94</v>
      </c>
      <c r="U19" s="34"/>
      <c r="V19" s="34"/>
      <c r="W19" s="34"/>
      <c r="X19" s="34"/>
      <c r="Y19" s="34"/>
      <c r="Z19" s="34"/>
      <c r="AA19" s="34"/>
      <c r="AB19" s="34"/>
      <c r="AC19" s="34"/>
      <c r="AD19" s="34"/>
      <c r="AE19" s="34"/>
      <c r="AF19" s="34"/>
      <c r="AG19" s="34"/>
      <c r="AH19" s="34"/>
      <c r="AI19" s="34"/>
      <c r="AJ19" s="34"/>
      <c r="AK19" s="34"/>
      <c r="AL19" s="34"/>
      <c r="AM19" s="34"/>
      <c r="AN19" s="256"/>
    </row>
    <row r="20" spans="1:40" x14ac:dyDescent="0.35">
      <c r="A20" s="255" t="s">
        <v>155</v>
      </c>
      <c r="B20" s="34" t="s">
        <v>131</v>
      </c>
      <c r="C20" s="243" t="s">
        <v>143</v>
      </c>
      <c r="D20" s="41"/>
      <c r="E20" s="249" t="s">
        <v>156</v>
      </c>
      <c r="F20" s="34" t="s">
        <v>87</v>
      </c>
      <c r="G20" s="34" t="s">
        <v>87</v>
      </c>
      <c r="H20" s="258"/>
      <c r="I20" s="34"/>
      <c r="J20" s="34"/>
      <c r="K20" s="34" t="s">
        <v>89</v>
      </c>
      <c r="L20" s="34" t="s">
        <v>90</v>
      </c>
      <c r="M20" s="34" t="s">
        <v>91</v>
      </c>
      <c r="N20" s="34" t="s">
        <v>120</v>
      </c>
      <c r="O20" s="34"/>
      <c r="P20" s="34"/>
      <c r="Q20" s="34"/>
      <c r="R20" s="34"/>
      <c r="S20" s="34" t="s">
        <v>94</v>
      </c>
      <c r="T20" s="34" t="s">
        <v>94</v>
      </c>
      <c r="U20" s="34"/>
      <c r="V20" s="34"/>
      <c r="W20" s="34"/>
      <c r="X20" s="34"/>
      <c r="Y20" s="258"/>
      <c r="Z20" s="34"/>
      <c r="AA20" s="34"/>
      <c r="AB20" s="34"/>
      <c r="AC20" s="34"/>
      <c r="AD20" s="34"/>
      <c r="AE20" s="34"/>
      <c r="AF20" s="34"/>
      <c r="AG20" s="34"/>
      <c r="AH20" s="34"/>
      <c r="AI20" s="34"/>
      <c r="AJ20" s="34"/>
      <c r="AK20" s="34"/>
      <c r="AL20" s="34"/>
      <c r="AM20" s="34"/>
      <c r="AN20" s="256"/>
    </row>
    <row r="21" spans="1:40" x14ac:dyDescent="0.35">
      <c r="A21" s="304" t="s">
        <v>157</v>
      </c>
      <c r="B21" s="34" t="s">
        <v>131</v>
      </c>
      <c r="C21" s="243" t="s">
        <v>143</v>
      </c>
      <c r="D21" s="41"/>
      <c r="E21" s="257" t="s">
        <v>158</v>
      </c>
      <c r="F21" s="34" t="s">
        <v>87</v>
      </c>
      <c r="G21" s="34" t="s">
        <v>87</v>
      </c>
      <c r="H21" s="258"/>
      <c r="I21" s="34"/>
      <c r="J21" s="34"/>
      <c r="K21" s="34" t="s">
        <v>89</v>
      </c>
      <c r="L21" s="34" t="s">
        <v>90</v>
      </c>
      <c r="M21" s="34" t="s">
        <v>91</v>
      </c>
      <c r="N21" s="34" t="s">
        <v>120</v>
      </c>
      <c r="O21" s="34"/>
      <c r="P21" s="34" t="s">
        <v>94</v>
      </c>
      <c r="Q21" s="34" t="s">
        <v>94</v>
      </c>
      <c r="R21" s="258"/>
      <c r="S21" s="34" t="s">
        <v>94</v>
      </c>
      <c r="T21" s="34" t="s">
        <v>94</v>
      </c>
      <c r="U21" s="258"/>
      <c r="V21" s="258"/>
      <c r="W21" s="258"/>
      <c r="X21" s="34" t="s">
        <v>94</v>
      </c>
      <c r="Y21" s="258"/>
      <c r="Z21" s="34" t="s">
        <v>94</v>
      </c>
      <c r="AA21" s="34" t="s">
        <v>94</v>
      </c>
      <c r="AB21" s="34" t="s">
        <v>94</v>
      </c>
      <c r="AC21" s="34" t="s">
        <v>94</v>
      </c>
      <c r="AD21" s="34" t="s">
        <v>94</v>
      </c>
      <c r="AE21" s="34" t="s">
        <v>94</v>
      </c>
      <c r="AF21" s="34" t="s">
        <v>94</v>
      </c>
      <c r="AG21" s="34" t="s">
        <v>94</v>
      </c>
      <c r="AH21" s="34" t="s">
        <v>94</v>
      </c>
      <c r="AI21" s="34" t="s">
        <v>94</v>
      </c>
      <c r="AJ21" s="34" t="s">
        <v>94</v>
      </c>
      <c r="AK21" s="34" t="s">
        <v>94</v>
      </c>
      <c r="AL21" s="34" t="s">
        <v>94</v>
      </c>
      <c r="AM21" s="34" t="s">
        <v>94</v>
      </c>
      <c r="AN21" s="256"/>
    </row>
    <row r="22" spans="1:40" x14ac:dyDescent="0.35">
      <c r="A22" s="304" t="s">
        <v>159</v>
      </c>
      <c r="B22" s="34" t="s">
        <v>131</v>
      </c>
      <c r="C22" s="243" t="s">
        <v>143</v>
      </c>
      <c r="D22" s="41"/>
      <c r="E22" s="257" t="s">
        <v>160</v>
      </c>
      <c r="F22" s="34" t="s">
        <v>87</v>
      </c>
      <c r="G22" s="34" t="s">
        <v>87</v>
      </c>
      <c r="H22" s="258"/>
      <c r="I22" s="43"/>
      <c r="J22" s="34"/>
      <c r="K22" s="34" t="s">
        <v>89</v>
      </c>
      <c r="L22" s="34" t="s">
        <v>90</v>
      </c>
      <c r="M22" s="34" t="s">
        <v>91</v>
      </c>
      <c r="N22" s="34" t="s">
        <v>120</v>
      </c>
      <c r="O22" s="34"/>
      <c r="P22" s="34" t="s">
        <v>94</v>
      </c>
      <c r="Q22" s="34" t="s">
        <v>94</v>
      </c>
      <c r="R22" s="34"/>
      <c r="S22" s="34" t="s">
        <v>94</v>
      </c>
      <c r="T22" s="34" t="s">
        <v>94</v>
      </c>
      <c r="U22" s="34"/>
      <c r="V22" s="34"/>
      <c r="W22" s="34"/>
      <c r="X22" s="34" t="s">
        <v>94</v>
      </c>
      <c r="Y22" s="34"/>
      <c r="Z22" s="34" t="s">
        <v>94</v>
      </c>
      <c r="AA22" s="34" t="s">
        <v>94</v>
      </c>
      <c r="AB22" s="34" t="s">
        <v>94</v>
      </c>
      <c r="AC22" s="34" t="s">
        <v>94</v>
      </c>
      <c r="AD22" s="34" t="s">
        <v>94</v>
      </c>
      <c r="AE22" s="34" t="s">
        <v>94</v>
      </c>
      <c r="AF22" s="34" t="s">
        <v>94</v>
      </c>
      <c r="AG22" s="34" t="s">
        <v>94</v>
      </c>
      <c r="AH22" s="34" t="s">
        <v>94</v>
      </c>
      <c r="AI22" s="34" t="s">
        <v>94</v>
      </c>
      <c r="AJ22" s="34" t="s">
        <v>94</v>
      </c>
      <c r="AK22" s="34" t="s">
        <v>94</v>
      </c>
      <c r="AL22" s="34" t="s">
        <v>94</v>
      </c>
      <c r="AM22" s="34" t="s">
        <v>94</v>
      </c>
      <c r="AN22" s="256"/>
    </row>
    <row r="23" spans="1:40" x14ac:dyDescent="0.35">
      <c r="A23" s="304" t="s">
        <v>161</v>
      </c>
      <c r="B23" s="34" t="s">
        <v>131</v>
      </c>
      <c r="C23" s="243" t="s">
        <v>143</v>
      </c>
      <c r="D23" s="41"/>
      <c r="E23" s="257" t="s">
        <v>162</v>
      </c>
      <c r="F23" s="34" t="s">
        <v>87</v>
      </c>
      <c r="G23" s="34" t="s">
        <v>87</v>
      </c>
      <c r="H23" s="258"/>
      <c r="I23" s="43"/>
      <c r="J23" s="34"/>
      <c r="K23" s="34" t="s">
        <v>89</v>
      </c>
      <c r="L23" s="34" t="s">
        <v>90</v>
      </c>
      <c r="M23" s="34" t="s">
        <v>91</v>
      </c>
      <c r="N23" s="34" t="s">
        <v>120</v>
      </c>
      <c r="O23" s="34"/>
      <c r="P23" s="34" t="s">
        <v>94</v>
      </c>
      <c r="Q23" s="34" t="s">
        <v>94</v>
      </c>
      <c r="R23" s="34"/>
      <c r="S23" s="34" t="s">
        <v>94</v>
      </c>
      <c r="T23" s="34" t="s">
        <v>94</v>
      </c>
      <c r="U23" s="34"/>
      <c r="V23" s="34"/>
      <c r="W23" s="34"/>
      <c r="X23" s="34" t="s">
        <v>94</v>
      </c>
      <c r="Y23" s="34"/>
      <c r="Z23" s="34" t="s">
        <v>94</v>
      </c>
      <c r="AA23" s="34" t="s">
        <v>94</v>
      </c>
      <c r="AB23" s="34" t="s">
        <v>94</v>
      </c>
      <c r="AC23" s="34" t="s">
        <v>94</v>
      </c>
      <c r="AD23" s="34" t="s">
        <v>94</v>
      </c>
      <c r="AE23" s="34" t="s">
        <v>94</v>
      </c>
      <c r="AF23" s="34" t="s">
        <v>94</v>
      </c>
      <c r="AG23" s="34" t="s">
        <v>94</v>
      </c>
      <c r="AH23" s="34" t="s">
        <v>94</v>
      </c>
      <c r="AI23" s="34" t="s">
        <v>94</v>
      </c>
      <c r="AJ23" s="34" t="s">
        <v>94</v>
      </c>
      <c r="AK23" s="34" t="s">
        <v>94</v>
      </c>
      <c r="AL23" s="34" t="s">
        <v>94</v>
      </c>
      <c r="AM23" s="34" t="s">
        <v>94</v>
      </c>
      <c r="AN23" s="256"/>
    </row>
    <row r="24" spans="1:40" x14ac:dyDescent="0.35">
      <c r="A24" s="304" t="s">
        <v>163</v>
      </c>
      <c r="B24" s="34" t="s">
        <v>131</v>
      </c>
      <c r="C24" s="243" t="s">
        <v>143</v>
      </c>
      <c r="D24" s="41"/>
      <c r="E24" s="257" t="s">
        <v>164</v>
      </c>
      <c r="F24" s="34" t="s">
        <v>87</v>
      </c>
      <c r="G24" s="34" t="s">
        <v>87</v>
      </c>
      <c r="H24" s="258"/>
      <c r="I24" s="43"/>
      <c r="J24" s="34"/>
      <c r="K24" s="34" t="s">
        <v>89</v>
      </c>
      <c r="L24" s="34" t="s">
        <v>90</v>
      </c>
      <c r="M24" s="34" t="s">
        <v>91</v>
      </c>
      <c r="N24" s="34" t="s">
        <v>120</v>
      </c>
      <c r="O24" s="248"/>
      <c r="P24" s="34" t="s">
        <v>94</v>
      </c>
      <c r="Q24" s="34" t="s">
        <v>94</v>
      </c>
      <c r="R24" s="34"/>
      <c r="S24" s="34" t="s">
        <v>94</v>
      </c>
      <c r="T24" s="34" t="s">
        <v>94</v>
      </c>
      <c r="U24" s="34"/>
      <c r="V24" s="34"/>
      <c r="W24" s="34"/>
      <c r="X24" s="34" t="s">
        <v>94</v>
      </c>
      <c r="Y24" s="34"/>
      <c r="Z24" s="34" t="s">
        <v>94</v>
      </c>
      <c r="AA24" s="34" t="s">
        <v>94</v>
      </c>
      <c r="AB24" s="34" t="s">
        <v>94</v>
      </c>
      <c r="AC24" s="34" t="s">
        <v>94</v>
      </c>
      <c r="AD24" s="34" t="s">
        <v>94</v>
      </c>
      <c r="AE24" s="34" t="s">
        <v>94</v>
      </c>
      <c r="AF24" s="34" t="s">
        <v>94</v>
      </c>
      <c r="AG24" s="34" t="s">
        <v>94</v>
      </c>
      <c r="AH24" s="34" t="s">
        <v>94</v>
      </c>
      <c r="AI24" s="34" t="s">
        <v>94</v>
      </c>
      <c r="AJ24" s="34" t="s">
        <v>94</v>
      </c>
      <c r="AK24" s="34" t="s">
        <v>94</v>
      </c>
      <c r="AL24" s="34" t="s">
        <v>94</v>
      </c>
      <c r="AM24" s="34" t="s">
        <v>94</v>
      </c>
      <c r="AN24" s="256"/>
    </row>
    <row r="25" spans="1:40" hidden="1" x14ac:dyDescent="0.35">
      <c r="A25" s="255" t="s">
        <v>165</v>
      </c>
      <c r="B25" s="34" t="s">
        <v>131</v>
      </c>
      <c r="C25" s="243" t="s">
        <v>143</v>
      </c>
      <c r="D25" s="41"/>
      <c r="E25" s="257" t="s">
        <v>166</v>
      </c>
      <c r="F25" s="34" t="s">
        <v>87</v>
      </c>
      <c r="G25" s="34" t="s">
        <v>87</v>
      </c>
      <c r="H25" s="258"/>
      <c r="I25" s="43"/>
      <c r="J25" s="34"/>
      <c r="K25" s="34" t="s">
        <v>89</v>
      </c>
      <c r="L25" s="34" t="s">
        <v>90</v>
      </c>
      <c r="M25" s="34" t="s">
        <v>91</v>
      </c>
      <c r="N25" s="34" t="s">
        <v>120</v>
      </c>
      <c r="O25" s="34"/>
      <c r="P25" s="34"/>
      <c r="Q25" s="34"/>
      <c r="R25" s="34"/>
      <c r="S25" s="34" t="s">
        <v>94</v>
      </c>
      <c r="T25" s="34" t="s">
        <v>94</v>
      </c>
      <c r="U25" s="34"/>
      <c r="V25" s="34"/>
      <c r="W25" s="34"/>
      <c r="X25" s="34"/>
      <c r="Y25" s="34"/>
      <c r="Z25" s="34"/>
      <c r="AA25" s="34"/>
      <c r="AB25" s="34"/>
      <c r="AC25" s="34"/>
      <c r="AD25" s="34"/>
      <c r="AE25" s="34"/>
      <c r="AF25" s="34"/>
      <c r="AG25" s="34"/>
      <c r="AH25" s="34"/>
      <c r="AI25" s="34"/>
      <c r="AJ25" s="34"/>
      <c r="AK25" s="34"/>
      <c r="AL25" s="34"/>
      <c r="AM25" s="34"/>
      <c r="AN25" s="256"/>
    </row>
    <row r="26" spans="1:40" hidden="1" x14ac:dyDescent="0.35">
      <c r="A26" s="255" t="s">
        <v>167</v>
      </c>
      <c r="B26" s="34" t="s">
        <v>122</v>
      </c>
      <c r="C26" s="243" t="s">
        <v>117</v>
      </c>
      <c r="D26" s="41" t="s">
        <v>168</v>
      </c>
      <c r="E26" s="258" t="s">
        <v>169</v>
      </c>
      <c r="F26" s="34" t="s">
        <v>87</v>
      </c>
      <c r="G26" s="34" t="s">
        <v>87</v>
      </c>
      <c r="H26" s="258"/>
      <c r="I26" s="34"/>
      <c r="J26" s="34" t="s">
        <v>170</v>
      </c>
      <c r="K26" s="34" t="s">
        <v>89</v>
      </c>
      <c r="L26" s="34" t="s">
        <v>90</v>
      </c>
      <c r="M26" s="34" t="s">
        <v>91</v>
      </c>
      <c r="N26" s="34" t="s">
        <v>171</v>
      </c>
      <c r="O26" s="34" t="s">
        <v>172</v>
      </c>
      <c r="P26" s="34"/>
      <c r="Q26" s="41"/>
      <c r="R26" s="34" t="s">
        <v>94</v>
      </c>
      <c r="S26" s="34" t="s">
        <v>94</v>
      </c>
      <c r="T26" s="34" t="s">
        <v>94</v>
      </c>
      <c r="U26" s="34" t="s">
        <v>94</v>
      </c>
      <c r="V26" s="34"/>
      <c r="W26" s="34"/>
      <c r="X26" s="34"/>
      <c r="Y26" s="34"/>
      <c r="Z26" s="41"/>
      <c r="AA26" s="41"/>
      <c r="AB26" s="41"/>
      <c r="AC26" s="41"/>
      <c r="AD26" s="41"/>
      <c r="AE26" s="41"/>
      <c r="AF26" s="41"/>
      <c r="AG26" s="41"/>
      <c r="AH26" s="34"/>
      <c r="AI26" s="41"/>
      <c r="AJ26" s="34"/>
      <c r="AK26" s="34"/>
      <c r="AL26" s="41"/>
      <c r="AM26" s="34"/>
      <c r="AN26" s="256"/>
    </row>
    <row r="27" spans="1:40" hidden="1" x14ac:dyDescent="0.35">
      <c r="A27" s="304" t="s">
        <v>173</v>
      </c>
      <c r="B27" s="34" t="s">
        <v>131</v>
      </c>
      <c r="C27" s="243" t="s">
        <v>96</v>
      </c>
      <c r="D27" s="41"/>
      <c r="E27" s="258" t="s">
        <v>174</v>
      </c>
      <c r="F27" s="34" t="s">
        <v>87</v>
      </c>
      <c r="G27" s="34" t="s">
        <v>87</v>
      </c>
      <c r="H27" s="258"/>
      <c r="I27" s="34"/>
      <c r="J27" s="34"/>
      <c r="K27" s="34" t="s">
        <v>89</v>
      </c>
      <c r="L27" s="34" t="s">
        <v>90</v>
      </c>
      <c r="M27" s="34" t="s">
        <v>91</v>
      </c>
      <c r="N27" s="34" t="s">
        <v>104</v>
      </c>
      <c r="O27" s="34"/>
      <c r="P27" s="34" t="s">
        <v>94</v>
      </c>
      <c r="Q27" s="34" t="s">
        <v>94</v>
      </c>
      <c r="R27" s="34"/>
      <c r="S27" s="34"/>
      <c r="T27" s="34"/>
      <c r="U27" s="34"/>
      <c r="V27" s="34" t="s">
        <v>94</v>
      </c>
      <c r="W27" s="34" t="s">
        <v>94</v>
      </c>
      <c r="X27" s="34" t="s">
        <v>94</v>
      </c>
      <c r="Y27" s="34" t="s">
        <v>94</v>
      </c>
      <c r="Z27" s="34" t="s">
        <v>94</v>
      </c>
      <c r="AA27" s="34" t="s">
        <v>94</v>
      </c>
      <c r="AB27" s="34" t="s">
        <v>94</v>
      </c>
      <c r="AC27" s="34" t="s">
        <v>94</v>
      </c>
      <c r="AD27" s="34" t="s">
        <v>94</v>
      </c>
      <c r="AE27" s="34" t="s">
        <v>94</v>
      </c>
      <c r="AF27" s="34" t="s">
        <v>94</v>
      </c>
      <c r="AG27" s="34" t="s">
        <v>94</v>
      </c>
      <c r="AH27" s="34" t="s">
        <v>94</v>
      </c>
      <c r="AI27" s="34" t="s">
        <v>94</v>
      </c>
      <c r="AJ27" s="34" t="s">
        <v>94</v>
      </c>
      <c r="AK27" s="34" t="s">
        <v>94</v>
      </c>
      <c r="AL27" s="34" t="s">
        <v>94</v>
      </c>
      <c r="AM27" s="34" t="s">
        <v>94</v>
      </c>
      <c r="AN27" s="256"/>
    </row>
    <row r="28" spans="1:40" hidden="1" x14ac:dyDescent="0.35">
      <c r="A28" s="304" t="s">
        <v>175</v>
      </c>
      <c r="B28" s="34" t="s">
        <v>131</v>
      </c>
      <c r="C28" s="243" t="s">
        <v>176</v>
      </c>
      <c r="D28" s="41" t="s">
        <v>177</v>
      </c>
      <c r="E28" s="257" t="s">
        <v>178</v>
      </c>
      <c r="F28" s="34" t="s">
        <v>87</v>
      </c>
      <c r="G28" s="34" t="s">
        <v>87</v>
      </c>
      <c r="H28" s="258"/>
      <c r="I28" s="43"/>
      <c r="J28" s="34"/>
      <c r="K28" s="34" t="s">
        <v>89</v>
      </c>
      <c r="L28" s="34" t="s">
        <v>90</v>
      </c>
      <c r="M28" s="34" t="s">
        <v>91</v>
      </c>
      <c r="N28" s="34" t="s">
        <v>120</v>
      </c>
      <c r="O28" s="34"/>
      <c r="P28" s="34"/>
      <c r="Q28" s="41" t="s">
        <v>94</v>
      </c>
      <c r="R28" s="34"/>
      <c r="S28" s="41"/>
      <c r="T28" s="41"/>
      <c r="U28" s="34"/>
      <c r="V28" s="34"/>
      <c r="W28" s="34"/>
      <c r="X28" s="34" t="s">
        <v>94</v>
      </c>
      <c r="Y28" s="34"/>
      <c r="Z28" s="41" t="s">
        <v>94</v>
      </c>
      <c r="AA28" s="41" t="s">
        <v>94</v>
      </c>
      <c r="AB28" s="41" t="s">
        <v>94</v>
      </c>
      <c r="AC28" s="41" t="s">
        <v>94</v>
      </c>
      <c r="AD28" s="41" t="s">
        <v>94</v>
      </c>
      <c r="AE28" s="41" t="s">
        <v>94</v>
      </c>
      <c r="AF28" s="41" t="s">
        <v>94</v>
      </c>
      <c r="AG28" s="41" t="s">
        <v>94</v>
      </c>
      <c r="AH28" s="34" t="s">
        <v>94</v>
      </c>
      <c r="AI28" s="41" t="s">
        <v>94</v>
      </c>
      <c r="AJ28" s="34" t="s">
        <v>94</v>
      </c>
      <c r="AK28" s="34" t="s">
        <v>94</v>
      </c>
      <c r="AL28" s="41" t="s">
        <v>94</v>
      </c>
      <c r="AM28" s="34" t="s">
        <v>94</v>
      </c>
      <c r="AN28" s="256"/>
    </row>
    <row r="29" spans="1:40" hidden="1" x14ac:dyDescent="0.35">
      <c r="A29" s="304" t="s">
        <v>179</v>
      </c>
      <c r="B29" s="34" t="s">
        <v>131</v>
      </c>
      <c r="C29" s="243" t="s">
        <v>180</v>
      </c>
      <c r="D29" s="41" t="s">
        <v>181</v>
      </c>
      <c r="E29" s="257" t="s">
        <v>182</v>
      </c>
      <c r="F29" s="34" t="s">
        <v>87</v>
      </c>
      <c r="G29" s="34" t="s">
        <v>87</v>
      </c>
      <c r="H29" s="258"/>
      <c r="I29" s="43"/>
      <c r="J29" s="34"/>
      <c r="K29" s="34" t="s">
        <v>89</v>
      </c>
      <c r="L29" s="34" t="s">
        <v>90</v>
      </c>
      <c r="M29" s="34" t="s">
        <v>91</v>
      </c>
      <c r="N29" s="34" t="s">
        <v>120</v>
      </c>
      <c r="O29" s="34"/>
      <c r="P29" s="34"/>
      <c r="Q29" s="41" t="s">
        <v>94</v>
      </c>
      <c r="R29" s="34"/>
      <c r="S29" s="41"/>
      <c r="T29" s="41"/>
      <c r="U29" s="34"/>
      <c r="V29" s="34"/>
      <c r="W29" s="34"/>
      <c r="X29" s="34" t="s">
        <v>94</v>
      </c>
      <c r="Y29" s="34"/>
      <c r="Z29" s="41" t="s">
        <v>94</v>
      </c>
      <c r="AA29" s="41" t="s">
        <v>94</v>
      </c>
      <c r="AB29" s="41" t="s">
        <v>94</v>
      </c>
      <c r="AC29" s="41" t="s">
        <v>94</v>
      </c>
      <c r="AD29" s="41" t="s">
        <v>94</v>
      </c>
      <c r="AE29" s="41" t="s">
        <v>94</v>
      </c>
      <c r="AF29" s="41" t="s">
        <v>94</v>
      </c>
      <c r="AG29" s="41" t="s">
        <v>94</v>
      </c>
      <c r="AH29" s="34" t="s">
        <v>94</v>
      </c>
      <c r="AI29" s="41" t="s">
        <v>94</v>
      </c>
      <c r="AJ29" s="34" t="s">
        <v>94</v>
      </c>
      <c r="AK29" s="34" t="s">
        <v>94</v>
      </c>
      <c r="AL29" s="41" t="s">
        <v>94</v>
      </c>
      <c r="AM29" s="34" t="s">
        <v>94</v>
      </c>
      <c r="AN29" s="256"/>
    </row>
    <row r="30" spans="1:40" hidden="1" x14ac:dyDescent="0.35">
      <c r="A30" s="304" t="s">
        <v>183</v>
      </c>
      <c r="B30" s="34" t="s">
        <v>131</v>
      </c>
      <c r="C30" s="243" t="s">
        <v>136</v>
      </c>
      <c r="D30" s="41" t="s">
        <v>184</v>
      </c>
      <c r="E30" s="257" t="s">
        <v>185</v>
      </c>
      <c r="F30" s="34" t="s">
        <v>87</v>
      </c>
      <c r="G30" s="34" t="s">
        <v>87</v>
      </c>
      <c r="H30" s="258"/>
      <c r="I30" s="43"/>
      <c r="J30" s="34"/>
      <c r="K30" s="34" t="s">
        <v>89</v>
      </c>
      <c r="L30" s="34" t="s">
        <v>90</v>
      </c>
      <c r="M30" s="34" t="s">
        <v>91</v>
      </c>
      <c r="N30" s="34" t="s">
        <v>120</v>
      </c>
      <c r="O30" s="34"/>
      <c r="P30" s="34"/>
      <c r="Q30" s="41" t="s">
        <v>94</v>
      </c>
      <c r="R30" s="34"/>
      <c r="S30" s="41"/>
      <c r="T30" s="41"/>
      <c r="U30" s="34"/>
      <c r="V30" s="34"/>
      <c r="W30" s="34"/>
      <c r="X30" s="34" t="s">
        <v>94</v>
      </c>
      <c r="Y30" s="34"/>
      <c r="Z30" s="41" t="s">
        <v>94</v>
      </c>
      <c r="AA30" s="41" t="s">
        <v>94</v>
      </c>
      <c r="AB30" s="41" t="s">
        <v>94</v>
      </c>
      <c r="AC30" s="41" t="s">
        <v>94</v>
      </c>
      <c r="AD30" s="41" t="s">
        <v>94</v>
      </c>
      <c r="AE30" s="41" t="s">
        <v>94</v>
      </c>
      <c r="AF30" s="41" t="s">
        <v>94</v>
      </c>
      <c r="AG30" s="41" t="s">
        <v>94</v>
      </c>
      <c r="AH30" s="34" t="s">
        <v>94</v>
      </c>
      <c r="AI30" s="41" t="s">
        <v>94</v>
      </c>
      <c r="AJ30" s="34" t="s">
        <v>94</v>
      </c>
      <c r="AK30" s="34" t="s">
        <v>94</v>
      </c>
      <c r="AL30" s="41" t="s">
        <v>94</v>
      </c>
      <c r="AM30" s="34" t="s">
        <v>94</v>
      </c>
      <c r="AN30" s="256"/>
    </row>
    <row r="31" spans="1:40" ht="15" hidden="1" thickBot="1" x14ac:dyDescent="0.4">
      <c r="A31" s="305" t="s">
        <v>186</v>
      </c>
      <c r="B31" s="34" t="s">
        <v>131</v>
      </c>
      <c r="C31" s="243" t="s">
        <v>96</v>
      </c>
      <c r="D31" t="s">
        <v>187</v>
      </c>
      <c r="E31" s="257" t="s">
        <v>188</v>
      </c>
      <c r="F31" s="34" t="s">
        <v>87</v>
      </c>
      <c r="G31" s="34" t="s">
        <v>87</v>
      </c>
      <c r="H31" s="258"/>
      <c r="I31" s="43"/>
      <c r="J31" s="34"/>
      <c r="K31" s="34" t="s">
        <v>89</v>
      </c>
      <c r="L31" s="34" t="s">
        <v>90</v>
      </c>
      <c r="M31" s="34" t="s">
        <v>91</v>
      </c>
      <c r="N31" s="34" t="s">
        <v>120</v>
      </c>
      <c r="O31" s="34"/>
      <c r="P31" s="258"/>
      <c r="Q31" s="41" t="s">
        <v>94</v>
      </c>
      <c r="R31" s="34"/>
      <c r="S31" s="41"/>
      <c r="T31" s="41"/>
      <c r="U31" s="34"/>
      <c r="V31" s="34"/>
      <c r="W31" s="34"/>
      <c r="X31" s="34" t="s">
        <v>94</v>
      </c>
      <c r="Y31" s="34"/>
      <c r="Z31" s="41" t="s">
        <v>94</v>
      </c>
      <c r="AA31" s="41" t="s">
        <v>94</v>
      </c>
      <c r="AB31" s="41" t="s">
        <v>94</v>
      </c>
      <c r="AC31" s="41" t="s">
        <v>94</v>
      </c>
      <c r="AD31" s="41" t="s">
        <v>94</v>
      </c>
      <c r="AE31" s="41" t="s">
        <v>94</v>
      </c>
      <c r="AF31" s="41" t="s">
        <v>94</v>
      </c>
      <c r="AG31" s="41" t="s">
        <v>94</v>
      </c>
      <c r="AH31" s="34" t="s">
        <v>94</v>
      </c>
      <c r="AI31" s="41" t="s">
        <v>94</v>
      </c>
      <c r="AJ31" s="34" t="s">
        <v>94</v>
      </c>
      <c r="AK31" s="34" t="s">
        <v>94</v>
      </c>
      <c r="AL31" s="41" t="s">
        <v>94</v>
      </c>
      <c r="AM31" s="34" t="s">
        <v>94</v>
      </c>
      <c r="AN31" s="258"/>
    </row>
    <row r="32" spans="1:40" ht="15" hidden="1" thickBot="1" x14ac:dyDescent="0.4">
      <c r="A32" s="305" t="s">
        <v>189</v>
      </c>
      <c r="B32" s="34" t="s">
        <v>131</v>
      </c>
      <c r="C32" s="243" t="s">
        <v>96</v>
      </c>
      <c r="D32" t="s">
        <v>187</v>
      </c>
      <c r="E32" s="257" t="s">
        <v>190</v>
      </c>
      <c r="F32" s="34" t="s">
        <v>87</v>
      </c>
      <c r="G32" s="34" t="s">
        <v>87</v>
      </c>
      <c r="H32" s="258"/>
      <c r="I32" s="43"/>
      <c r="J32" s="34"/>
      <c r="K32" s="34" t="s">
        <v>89</v>
      </c>
      <c r="L32" s="34" t="s">
        <v>90</v>
      </c>
      <c r="M32" s="34" t="s">
        <v>91</v>
      </c>
      <c r="N32" s="34" t="s">
        <v>120</v>
      </c>
      <c r="O32" s="34"/>
      <c r="P32" s="258"/>
      <c r="Q32" s="41" t="s">
        <v>94</v>
      </c>
      <c r="R32" s="34"/>
      <c r="S32" s="41"/>
      <c r="T32" s="41"/>
      <c r="U32" s="34"/>
      <c r="V32" s="34"/>
      <c r="W32" s="34"/>
      <c r="X32" s="34" t="s">
        <v>94</v>
      </c>
      <c r="Y32" s="34"/>
      <c r="Z32" s="41" t="s">
        <v>94</v>
      </c>
      <c r="AA32" s="41" t="s">
        <v>94</v>
      </c>
      <c r="AB32" s="41" t="s">
        <v>94</v>
      </c>
      <c r="AC32" s="41" t="s">
        <v>94</v>
      </c>
      <c r="AD32" s="41" t="s">
        <v>94</v>
      </c>
      <c r="AE32" s="41" t="s">
        <v>94</v>
      </c>
      <c r="AF32" s="41" t="s">
        <v>94</v>
      </c>
      <c r="AG32" s="41" t="s">
        <v>94</v>
      </c>
      <c r="AH32" s="34" t="s">
        <v>94</v>
      </c>
      <c r="AI32" s="41" t="s">
        <v>94</v>
      </c>
      <c r="AJ32" s="34" t="s">
        <v>94</v>
      </c>
      <c r="AK32" s="34" t="s">
        <v>94</v>
      </c>
      <c r="AL32" s="41" t="s">
        <v>94</v>
      </c>
      <c r="AM32" s="34" t="s">
        <v>94</v>
      </c>
      <c r="AN32" s="258"/>
    </row>
    <row r="33" spans="1:40" ht="15" hidden="1" thickBot="1" x14ac:dyDescent="0.4">
      <c r="A33" s="305" t="s">
        <v>191</v>
      </c>
      <c r="B33" s="34" t="s">
        <v>131</v>
      </c>
      <c r="C33" s="243" t="s">
        <v>96</v>
      </c>
      <c r="D33" t="s">
        <v>187</v>
      </c>
      <c r="E33" s="257" t="s">
        <v>192</v>
      </c>
      <c r="F33" s="34" t="s">
        <v>87</v>
      </c>
      <c r="G33" s="34" t="s">
        <v>87</v>
      </c>
      <c r="H33" s="258"/>
      <c r="I33" s="43"/>
      <c r="J33" s="34"/>
      <c r="K33" s="34" t="s">
        <v>89</v>
      </c>
      <c r="L33" s="34" t="s">
        <v>90</v>
      </c>
      <c r="M33" s="34" t="s">
        <v>91</v>
      </c>
      <c r="N33" s="34" t="s">
        <v>120</v>
      </c>
      <c r="O33" s="34"/>
      <c r="P33" s="258"/>
      <c r="Q33" s="41" t="s">
        <v>94</v>
      </c>
      <c r="R33" s="34"/>
      <c r="S33" s="41"/>
      <c r="T33" s="41"/>
      <c r="U33" s="34"/>
      <c r="V33" s="34"/>
      <c r="W33" s="34"/>
      <c r="X33" s="34" t="s">
        <v>94</v>
      </c>
      <c r="Y33" s="34"/>
      <c r="Z33" s="41" t="s">
        <v>94</v>
      </c>
      <c r="AA33" s="41" t="s">
        <v>94</v>
      </c>
      <c r="AB33" s="41" t="s">
        <v>94</v>
      </c>
      <c r="AC33" s="41" t="s">
        <v>94</v>
      </c>
      <c r="AD33" s="41" t="s">
        <v>94</v>
      </c>
      <c r="AE33" s="41" t="s">
        <v>94</v>
      </c>
      <c r="AF33" s="41" t="s">
        <v>94</v>
      </c>
      <c r="AG33" s="41" t="s">
        <v>94</v>
      </c>
      <c r="AH33" s="34" t="s">
        <v>94</v>
      </c>
      <c r="AI33" s="41" t="s">
        <v>94</v>
      </c>
      <c r="AJ33" s="34" t="s">
        <v>94</v>
      </c>
      <c r="AK33" s="34" t="s">
        <v>94</v>
      </c>
      <c r="AL33" s="41" t="s">
        <v>94</v>
      </c>
      <c r="AM33" s="34" t="s">
        <v>94</v>
      </c>
      <c r="AN33" s="258"/>
    </row>
    <row r="34" spans="1:40" ht="15" hidden="1" thickBot="1" x14ac:dyDescent="0.4">
      <c r="A34" s="305" t="s">
        <v>193</v>
      </c>
      <c r="B34" s="34" t="s">
        <v>131</v>
      </c>
      <c r="C34" s="243" t="s">
        <v>96</v>
      </c>
      <c r="D34" t="s">
        <v>187</v>
      </c>
      <c r="E34" s="257" t="s">
        <v>194</v>
      </c>
      <c r="F34" s="34" t="s">
        <v>87</v>
      </c>
      <c r="G34" s="34" t="s">
        <v>87</v>
      </c>
      <c r="H34" s="258"/>
      <c r="I34" s="43"/>
      <c r="J34" s="34"/>
      <c r="K34" s="34" t="s">
        <v>89</v>
      </c>
      <c r="L34" s="34" t="s">
        <v>90</v>
      </c>
      <c r="M34" s="34" t="s">
        <v>91</v>
      </c>
      <c r="N34" s="34" t="s">
        <v>120</v>
      </c>
      <c r="O34" s="34"/>
      <c r="P34" s="258"/>
      <c r="Q34" s="41" t="s">
        <v>94</v>
      </c>
      <c r="R34" s="34"/>
      <c r="S34" s="41"/>
      <c r="T34" s="41"/>
      <c r="U34" s="34"/>
      <c r="V34" s="34"/>
      <c r="W34" s="34"/>
      <c r="X34" s="34" t="s">
        <v>94</v>
      </c>
      <c r="Y34" s="34"/>
      <c r="Z34" s="41" t="s">
        <v>94</v>
      </c>
      <c r="AA34" s="41" t="s">
        <v>94</v>
      </c>
      <c r="AB34" s="41" t="s">
        <v>94</v>
      </c>
      <c r="AC34" s="41" t="s">
        <v>94</v>
      </c>
      <c r="AD34" s="41" t="s">
        <v>94</v>
      </c>
      <c r="AE34" s="41" t="s">
        <v>94</v>
      </c>
      <c r="AF34" s="41" t="s">
        <v>94</v>
      </c>
      <c r="AG34" s="41" t="s">
        <v>94</v>
      </c>
      <c r="AH34" s="34" t="s">
        <v>94</v>
      </c>
      <c r="AI34" s="41" t="s">
        <v>94</v>
      </c>
      <c r="AJ34" s="34" t="s">
        <v>94</v>
      </c>
      <c r="AK34" s="34" t="s">
        <v>94</v>
      </c>
      <c r="AL34" s="41" t="s">
        <v>94</v>
      </c>
      <c r="AM34" s="34" t="s">
        <v>94</v>
      </c>
      <c r="AN34" s="258"/>
    </row>
    <row r="35" spans="1:40" ht="15" hidden="1" thickBot="1" x14ac:dyDescent="0.4">
      <c r="A35" s="305" t="s">
        <v>195</v>
      </c>
      <c r="B35" s="34" t="s">
        <v>131</v>
      </c>
      <c r="C35" s="243" t="s">
        <v>96</v>
      </c>
      <c r="D35" t="s">
        <v>187</v>
      </c>
      <c r="E35" s="257" t="s">
        <v>196</v>
      </c>
      <c r="F35" s="34" t="s">
        <v>87</v>
      </c>
      <c r="G35" s="34" t="s">
        <v>87</v>
      </c>
      <c r="H35" s="258"/>
      <c r="I35" s="43"/>
      <c r="J35" s="34"/>
      <c r="K35" s="34" t="s">
        <v>89</v>
      </c>
      <c r="L35" s="34" t="s">
        <v>90</v>
      </c>
      <c r="M35" s="34" t="s">
        <v>91</v>
      </c>
      <c r="N35" s="34" t="s">
        <v>120</v>
      </c>
      <c r="O35" s="34"/>
      <c r="P35" s="258"/>
      <c r="Q35" s="41" t="s">
        <v>94</v>
      </c>
      <c r="R35" s="34"/>
      <c r="S35" s="41"/>
      <c r="T35" s="41"/>
      <c r="U35" s="34"/>
      <c r="V35" s="34"/>
      <c r="W35" s="34"/>
      <c r="X35" s="34" t="s">
        <v>94</v>
      </c>
      <c r="Y35" s="34"/>
      <c r="Z35" s="41" t="s">
        <v>94</v>
      </c>
      <c r="AA35" s="41" t="s">
        <v>94</v>
      </c>
      <c r="AB35" s="41" t="s">
        <v>94</v>
      </c>
      <c r="AC35" s="41" t="s">
        <v>94</v>
      </c>
      <c r="AD35" s="41" t="s">
        <v>94</v>
      </c>
      <c r="AE35" s="41" t="s">
        <v>94</v>
      </c>
      <c r="AF35" s="41" t="s">
        <v>94</v>
      </c>
      <c r="AG35" s="41" t="s">
        <v>94</v>
      </c>
      <c r="AH35" s="34" t="s">
        <v>94</v>
      </c>
      <c r="AI35" s="41" t="s">
        <v>94</v>
      </c>
      <c r="AJ35" s="34" t="s">
        <v>94</v>
      </c>
      <c r="AK35" s="34" t="s">
        <v>94</v>
      </c>
      <c r="AL35" s="41" t="s">
        <v>94</v>
      </c>
      <c r="AM35" s="34" t="s">
        <v>94</v>
      </c>
      <c r="AN35" s="258"/>
    </row>
    <row r="36" spans="1:40" ht="15" hidden="1" thickBot="1" x14ac:dyDescent="0.4">
      <c r="A36" s="305" t="s">
        <v>197</v>
      </c>
      <c r="B36" s="34" t="s">
        <v>131</v>
      </c>
      <c r="C36" s="243" t="s">
        <v>96</v>
      </c>
      <c r="D36" t="s">
        <v>198</v>
      </c>
      <c r="E36" s="257" t="s">
        <v>199</v>
      </c>
      <c r="F36" s="34" t="s">
        <v>87</v>
      </c>
      <c r="G36" s="34" t="s">
        <v>87</v>
      </c>
      <c r="H36" s="258"/>
      <c r="I36" s="43"/>
      <c r="J36" s="34"/>
      <c r="K36" s="34" t="s">
        <v>89</v>
      </c>
      <c r="L36" s="34" t="s">
        <v>90</v>
      </c>
      <c r="M36" s="34" t="s">
        <v>91</v>
      </c>
      <c r="N36" s="34" t="s">
        <v>120</v>
      </c>
      <c r="O36" s="34"/>
      <c r="P36" s="258"/>
      <c r="Q36" s="41" t="s">
        <v>94</v>
      </c>
      <c r="R36" s="34"/>
      <c r="S36" s="41"/>
      <c r="T36" s="41"/>
      <c r="U36" s="34"/>
      <c r="V36" s="34"/>
      <c r="W36" s="34"/>
      <c r="X36" s="34" t="s">
        <v>94</v>
      </c>
      <c r="Y36" s="34"/>
      <c r="Z36" s="41" t="s">
        <v>94</v>
      </c>
      <c r="AA36" s="41" t="s">
        <v>94</v>
      </c>
      <c r="AB36" s="41" t="s">
        <v>94</v>
      </c>
      <c r="AC36" s="41" t="s">
        <v>94</v>
      </c>
      <c r="AD36" s="41" t="s">
        <v>94</v>
      </c>
      <c r="AE36" s="41" t="s">
        <v>94</v>
      </c>
      <c r="AF36" s="41" t="s">
        <v>94</v>
      </c>
      <c r="AG36" s="41" t="s">
        <v>94</v>
      </c>
      <c r="AH36" s="34" t="s">
        <v>94</v>
      </c>
      <c r="AI36" s="41" t="s">
        <v>94</v>
      </c>
      <c r="AJ36" s="34" t="s">
        <v>94</v>
      </c>
      <c r="AK36" s="34" t="s">
        <v>94</v>
      </c>
      <c r="AL36" s="41" t="s">
        <v>94</v>
      </c>
      <c r="AM36" s="34" t="s">
        <v>94</v>
      </c>
      <c r="AN36" s="258"/>
    </row>
    <row r="37" spans="1:40" ht="15" hidden="1" thickBot="1" x14ac:dyDescent="0.4">
      <c r="A37" s="305" t="s">
        <v>200</v>
      </c>
      <c r="B37" s="34" t="s">
        <v>131</v>
      </c>
      <c r="C37" s="243" t="s">
        <v>96</v>
      </c>
      <c r="D37" t="s">
        <v>198</v>
      </c>
      <c r="E37" s="257" t="s">
        <v>201</v>
      </c>
      <c r="F37" s="34" t="s">
        <v>87</v>
      </c>
      <c r="G37" s="34" t="s">
        <v>87</v>
      </c>
      <c r="H37" s="258"/>
      <c r="I37" s="43"/>
      <c r="J37" s="34"/>
      <c r="K37" s="34" t="s">
        <v>89</v>
      </c>
      <c r="L37" s="34" t="s">
        <v>90</v>
      </c>
      <c r="M37" s="34" t="s">
        <v>91</v>
      </c>
      <c r="N37" s="34" t="s">
        <v>120</v>
      </c>
      <c r="O37" s="34"/>
      <c r="P37" s="258"/>
      <c r="Q37" s="41" t="s">
        <v>94</v>
      </c>
      <c r="R37" s="34"/>
      <c r="S37" s="41"/>
      <c r="T37" s="41"/>
      <c r="U37" s="34"/>
      <c r="V37" s="34"/>
      <c r="W37" s="34"/>
      <c r="X37" s="34" t="s">
        <v>94</v>
      </c>
      <c r="Y37" s="34"/>
      <c r="Z37" s="41" t="s">
        <v>94</v>
      </c>
      <c r="AA37" s="41" t="s">
        <v>94</v>
      </c>
      <c r="AB37" s="41" t="s">
        <v>94</v>
      </c>
      <c r="AC37" s="41" t="s">
        <v>94</v>
      </c>
      <c r="AD37" s="41" t="s">
        <v>94</v>
      </c>
      <c r="AE37" s="41" t="s">
        <v>94</v>
      </c>
      <c r="AF37" s="41" t="s">
        <v>94</v>
      </c>
      <c r="AG37" s="41" t="s">
        <v>94</v>
      </c>
      <c r="AH37" s="34" t="s">
        <v>94</v>
      </c>
      <c r="AI37" s="41" t="s">
        <v>94</v>
      </c>
      <c r="AJ37" s="34" t="s">
        <v>94</v>
      </c>
      <c r="AK37" s="34" t="s">
        <v>94</v>
      </c>
      <c r="AL37" s="41" t="s">
        <v>94</v>
      </c>
      <c r="AM37" s="34" t="s">
        <v>94</v>
      </c>
      <c r="AN37" s="258"/>
    </row>
    <row r="38" spans="1:40" ht="15" hidden="1" thickBot="1" x14ac:dyDescent="0.4">
      <c r="A38" s="305" t="s">
        <v>202</v>
      </c>
      <c r="B38" s="34" t="s">
        <v>131</v>
      </c>
      <c r="C38" s="243" t="s">
        <v>96</v>
      </c>
      <c r="D38" t="s">
        <v>198</v>
      </c>
      <c r="E38" s="257" t="s">
        <v>203</v>
      </c>
      <c r="F38" s="34" t="s">
        <v>87</v>
      </c>
      <c r="G38" s="34" t="s">
        <v>87</v>
      </c>
      <c r="H38" s="258"/>
      <c r="I38" s="43"/>
      <c r="J38" s="34"/>
      <c r="K38" s="34" t="s">
        <v>89</v>
      </c>
      <c r="L38" s="34" t="s">
        <v>90</v>
      </c>
      <c r="M38" s="34" t="s">
        <v>91</v>
      </c>
      <c r="N38" s="34" t="s">
        <v>120</v>
      </c>
      <c r="O38" s="34"/>
      <c r="P38" s="258"/>
      <c r="Q38" s="41" t="s">
        <v>94</v>
      </c>
      <c r="R38" s="34"/>
      <c r="S38" s="41"/>
      <c r="T38" s="41"/>
      <c r="U38" s="34"/>
      <c r="V38" s="34"/>
      <c r="W38" s="34"/>
      <c r="X38" s="34" t="s">
        <v>94</v>
      </c>
      <c r="Y38" s="34"/>
      <c r="Z38" s="41" t="s">
        <v>94</v>
      </c>
      <c r="AA38" s="41" t="s">
        <v>94</v>
      </c>
      <c r="AB38" s="41" t="s">
        <v>94</v>
      </c>
      <c r="AC38" s="41" t="s">
        <v>94</v>
      </c>
      <c r="AD38" s="41" t="s">
        <v>94</v>
      </c>
      <c r="AE38" s="41" t="s">
        <v>94</v>
      </c>
      <c r="AF38" s="41" t="s">
        <v>94</v>
      </c>
      <c r="AG38" s="41" t="s">
        <v>94</v>
      </c>
      <c r="AH38" s="34" t="s">
        <v>94</v>
      </c>
      <c r="AI38" s="41" t="s">
        <v>94</v>
      </c>
      <c r="AJ38" s="34" t="s">
        <v>94</v>
      </c>
      <c r="AK38" s="34" t="s">
        <v>94</v>
      </c>
      <c r="AL38" s="41" t="s">
        <v>94</v>
      </c>
      <c r="AM38" s="34" t="s">
        <v>94</v>
      </c>
      <c r="AN38" s="258"/>
    </row>
    <row r="39" spans="1:40" ht="15" hidden="1" thickBot="1" x14ac:dyDescent="0.4">
      <c r="A39" s="305" t="s">
        <v>204</v>
      </c>
      <c r="B39" s="34" t="s">
        <v>131</v>
      </c>
      <c r="C39" s="243" t="s">
        <v>96</v>
      </c>
      <c r="D39" t="s">
        <v>198</v>
      </c>
      <c r="E39" s="257" t="s">
        <v>205</v>
      </c>
      <c r="F39" s="34" t="s">
        <v>87</v>
      </c>
      <c r="G39" s="34" t="s">
        <v>87</v>
      </c>
      <c r="H39" s="258"/>
      <c r="I39" s="43"/>
      <c r="J39" s="34"/>
      <c r="K39" s="34" t="s">
        <v>89</v>
      </c>
      <c r="L39" s="34" t="s">
        <v>90</v>
      </c>
      <c r="M39" s="34" t="s">
        <v>91</v>
      </c>
      <c r="N39" s="34" t="s">
        <v>120</v>
      </c>
      <c r="O39" s="34"/>
      <c r="P39" s="258"/>
      <c r="Q39" s="41" t="s">
        <v>94</v>
      </c>
      <c r="R39" s="34"/>
      <c r="S39" s="41"/>
      <c r="T39" s="41"/>
      <c r="U39" s="34"/>
      <c r="V39" s="34"/>
      <c r="W39" s="34"/>
      <c r="X39" s="34" t="s">
        <v>94</v>
      </c>
      <c r="Y39" s="34"/>
      <c r="Z39" s="41" t="s">
        <v>94</v>
      </c>
      <c r="AA39" s="41" t="s">
        <v>94</v>
      </c>
      <c r="AB39" s="41" t="s">
        <v>94</v>
      </c>
      <c r="AC39" s="41" t="s">
        <v>94</v>
      </c>
      <c r="AD39" s="41" t="s">
        <v>94</v>
      </c>
      <c r="AE39" s="41" t="s">
        <v>94</v>
      </c>
      <c r="AF39" s="41" t="s">
        <v>94</v>
      </c>
      <c r="AG39" s="41" t="s">
        <v>94</v>
      </c>
      <c r="AH39" s="34" t="s">
        <v>94</v>
      </c>
      <c r="AI39" s="41" t="s">
        <v>94</v>
      </c>
      <c r="AJ39" s="34" t="s">
        <v>94</v>
      </c>
      <c r="AK39" s="34" t="s">
        <v>94</v>
      </c>
      <c r="AL39" s="41" t="s">
        <v>94</v>
      </c>
      <c r="AM39" s="34" t="s">
        <v>94</v>
      </c>
      <c r="AN39" s="258"/>
    </row>
    <row r="40" spans="1:40" ht="15" hidden="1" thickBot="1" x14ac:dyDescent="0.4">
      <c r="A40" s="305" t="s">
        <v>206</v>
      </c>
      <c r="B40" s="34" t="s">
        <v>131</v>
      </c>
      <c r="C40" s="243" t="s">
        <v>96</v>
      </c>
      <c r="D40" t="s">
        <v>198</v>
      </c>
      <c r="E40" s="257" t="s">
        <v>207</v>
      </c>
      <c r="F40" s="34" t="s">
        <v>87</v>
      </c>
      <c r="G40" s="34" t="s">
        <v>87</v>
      </c>
      <c r="H40" s="258"/>
      <c r="I40" s="43"/>
      <c r="J40" s="34"/>
      <c r="K40" s="34" t="s">
        <v>89</v>
      </c>
      <c r="L40" s="34" t="s">
        <v>90</v>
      </c>
      <c r="M40" s="34" t="s">
        <v>91</v>
      </c>
      <c r="N40" s="34" t="s">
        <v>120</v>
      </c>
      <c r="O40" s="34"/>
      <c r="P40" s="258"/>
      <c r="Q40" s="41" t="s">
        <v>94</v>
      </c>
      <c r="R40" s="34"/>
      <c r="S40" s="41"/>
      <c r="T40" s="41"/>
      <c r="U40" s="34"/>
      <c r="V40" s="34"/>
      <c r="W40" s="34"/>
      <c r="X40" s="34" t="s">
        <v>94</v>
      </c>
      <c r="Y40" s="34"/>
      <c r="Z40" s="41" t="s">
        <v>94</v>
      </c>
      <c r="AA40" s="41" t="s">
        <v>94</v>
      </c>
      <c r="AB40" s="41" t="s">
        <v>94</v>
      </c>
      <c r="AC40" s="41" t="s">
        <v>94</v>
      </c>
      <c r="AD40" s="41" t="s">
        <v>94</v>
      </c>
      <c r="AE40" s="41" t="s">
        <v>94</v>
      </c>
      <c r="AF40" s="41" t="s">
        <v>94</v>
      </c>
      <c r="AG40" s="41" t="s">
        <v>94</v>
      </c>
      <c r="AH40" s="34" t="s">
        <v>94</v>
      </c>
      <c r="AI40" s="41" t="s">
        <v>94</v>
      </c>
      <c r="AJ40" s="34" t="s">
        <v>94</v>
      </c>
      <c r="AK40" s="34" t="s">
        <v>94</v>
      </c>
      <c r="AL40" s="41" t="s">
        <v>94</v>
      </c>
      <c r="AM40" s="34" t="s">
        <v>94</v>
      </c>
      <c r="AN40" s="258"/>
    </row>
    <row r="41" spans="1:40" ht="15" hidden="1" thickBot="1" x14ac:dyDescent="0.4">
      <c r="A41" s="305" t="s">
        <v>208</v>
      </c>
      <c r="B41" s="34" t="s">
        <v>131</v>
      </c>
      <c r="C41" s="243" t="s">
        <v>96</v>
      </c>
      <c r="D41" t="s">
        <v>198</v>
      </c>
      <c r="E41" s="257" t="s">
        <v>209</v>
      </c>
      <c r="F41" s="34" t="s">
        <v>87</v>
      </c>
      <c r="G41" s="34" t="s">
        <v>87</v>
      </c>
      <c r="H41" s="258"/>
      <c r="I41" s="43"/>
      <c r="J41" s="34"/>
      <c r="K41" s="34" t="s">
        <v>89</v>
      </c>
      <c r="L41" s="34" t="s">
        <v>90</v>
      </c>
      <c r="M41" s="34" t="s">
        <v>91</v>
      </c>
      <c r="N41" s="34" t="s">
        <v>120</v>
      </c>
      <c r="O41" s="34"/>
      <c r="P41" s="258"/>
      <c r="Q41" s="41" t="s">
        <v>94</v>
      </c>
      <c r="R41" s="34"/>
      <c r="S41" s="41"/>
      <c r="T41" s="41"/>
      <c r="U41" s="34"/>
      <c r="V41" s="34"/>
      <c r="W41" s="34"/>
      <c r="X41" s="34" t="s">
        <v>94</v>
      </c>
      <c r="Y41" s="34"/>
      <c r="Z41" s="41" t="s">
        <v>94</v>
      </c>
      <c r="AA41" s="41" t="s">
        <v>94</v>
      </c>
      <c r="AB41" s="41" t="s">
        <v>94</v>
      </c>
      <c r="AC41" s="41" t="s">
        <v>94</v>
      </c>
      <c r="AD41" s="41" t="s">
        <v>94</v>
      </c>
      <c r="AE41" s="41" t="s">
        <v>94</v>
      </c>
      <c r="AF41" s="41" t="s">
        <v>94</v>
      </c>
      <c r="AG41" s="41" t="s">
        <v>94</v>
      </c>
      <c r="AH41" s="34" t="s">
        <v>94</v>
      </c>
      <c r="AI41" s="41" t="s">
        <v>94</v>
      </c>
      <c r="AJ41" s="34" t="s">
        <v>94</v>
      </c>
      <c r="AK41" s="34" t="s">
        <v>94</v>
      </c>
      <c r="AL41" s="41" t="s">
        <v>94</v>
      </c>
      <c r="AM41" s="34" t="s">
        <v>94</v>
      </c>
      <c r="AN41" s="258"/>
    </row>
    <row r="42" spans="1:40" ht="15" hidden="1" thickBot="1" x14ac:dyDescent="0.4">
      <c r="A42" s="305" t="s">
        <v>210</v>
      </c>
      <c r="B42" s="34" t="s">
        <v>131</v>
      </c>
      <c r="C42" s="243" t="s">
        <v>96</v>
      </c>
      <c r="D42" t="s">
        <v>211</v>
      </c>
      <c r="E42" s="257" t="s">
        <v>212</v>
      </c>
      <c r="F42" s="34" t="s">
        <v>87</v>
      </c>
      <c r="G42" s="34" t="s">
        <v>87</v>
      </c>
      <c r="H42" s="258"/>
      <c r="I42" s="43"/>
      <c r="J42" s="34"/>
      <c r="K42" s="34" t="s">
        <v>89</v>
      </c>
      <c r="L42" s="34" t="s">
        <v>90</v>
      </c>
      <c r="M42" s="34" t="s">
        <v>91</v>
      </c>
      <c r="N42" s="34" t="s">
        <v>120</v>
      </c>
      <c r="O42" s="34"/>
      <c r="P42" s="258"/>
      <c r="Q42" s="41" t="s">
        <v>94</v>
      </c>
      <c r="R42" s="34"/>
      <c r="S42" s="41"/>
      <c r="T42" s="41"/>
      <c r="U42" s="34"/>
      <c r="V42" s="34"/>
      <c r="W42" s="34"/>
      <c r="X42" s="34" t="s">
        <v>94</v>
      </c>
      <c r="Y42" s="34"/>
      <c r="Z42" s="41" t="s">
        <v>94</v>
      </c>
      <c r="AA42" s="41" t="s">
        <v>94</v>
      </c>
      <c r="AB42" s="41" t="s">
        <v>94</v>
      </c>
      <c r="AC42" s="41" t="s">
        <v>94</v>
      </c>
      <c r="AD42" s="41" t="s">
        <v>94</v>
      </c>
      <c r="AE42" s="41" t="s">
        <v>94</v>
      </c>
      <c r="AF42" s="41" t="s">
        <v>94</v>
      </c>
      <c r="AG42" s="41" t="s">
        <v>94</v>
      </c>
      <c r="AH42" s="34" t="s">
        <v>94</v>
      </c>
      <c r="AI42" s="41" t="s">
        <v>94</v>
      </c>
      <c r="AJ42" s="34" t="s">
        <v>94</v>
      </c>
      <c r="AK42" s="34" t="s">
        <v>94</v>
      </c>
      <c r="AL42" s="41" t="s">
        <v>94</v>
      </c>
      <c r="AM42" s="34" t="s">
        <v>94</v>
      </c>
      <c r="AN42" s="258"/>
    </row>
    <row r="43" spans="1:40" ht="15" hidden="1" thickBot="1" x14ac:dyDescent="0.4">
      <c r="A43" s="305" t="s">
        <v>213</v>
      </c>
      <c r="B43" s="34" t="s">
        <v>131</v>
      </c>
      <c r="C43" s="243" t="s">
        <v>96</v>
      </c>
      <c r="D43" t="s">
        <v>211</v>
      </c>
      <c r="E43" s="257" t="s">
        <v>214</v>
      </c>
      <c r="F43" s="34" t="s">
        <v>87</v>
      </c>
      <c r="G43" s="34" t="s">
        <v>87</v>
      </c>
      <c r="H43" s="258"/>
      <c r="I43" s="43"/>
      <c r="J43" s="34"/>
      <c r="K43" s="34" t="s">
        <v>89</v>
      </c>
      <c r="L43" s="34" t="s">
        <v>90</v>
      </c>
      <c r="M43" s="34" t="s">
        <v>91</v>
      </c>
      <c r="N43" s="34" t="s">
        <v>120</v>
      </c>
      <c r="O43" s="34"/>
      <c r="P43" s="258"/>
      <c r="Q43" s="41" t="s">
        <v>94</v>
      </c>
      <c r="R43" s="34"/>
      <c r="S43" s="41"/>
      <c r="T43" s="41"/>
      <c r="U43" s="34"/>
      <c r="V43" s="34"/>
      <c r="W43" s="34"/>
      <c r="X43" s="34" t="s">
        <v>94</v>
      </c>
      <c r="Y43" s="34"/>
      <c r="Z43" s="41" t="s">
        <v>94</v>
      </c>
      <c r="AA43" s="41" t="s">
        <v>94</v>
      </c>
      <c r="AB43" s="41" t="s">
        <v>94</v>
      </c>
      <c r="AC43" s="41" t="s">
        <v>94</v>
      </c>
      <c r="AD43" s="41" t="s">
        <v>94</v>
      </c>
      <c r="AE43" s="41" t="s">
        <v>94</v>
      </c>
      <c r="AF43" s="41" t="s">
        <v>94</v>
      </c>
      <c r="AG43" s="41" t="s">
        <v>94</v>
      </c>
      <c r="AH43" s="34" t="s">
        <v>94</v>
      </c>
      <c r="AI43" s="41" t="s">
        <v>94</v>
      </c>
      <c r="AJ43" s="34" t="s">
        <v>94</v>
      </c>
      <c r="AK43" s="34" t="s">
        <v>94</v>
      </c>
      <c r="AL43" s="41" t="s">
        <v>94</v>
      </c>
      <c r="AM43" s="34" t="s">
        <v>94</v>
      </c>
      <c r="AN43" s="258"/>
    </row>
    <row r="44" spans="1:40" ht="15" hidden="1" thickBot="1" x14ac:dyDescent="0.4">
      <c r="A44" s="305" t="s">
        <v>215</v>
      </c>
      <c r="B44" s="34" t="s">
        <v>131</v>
      </c>
      <c r="C44" s="243" t="s">
        <v>96</v>
      </c>
      <c r="D44" t="s">
        <v>211</v>
      </c>
      <c r="E44" s="257" t="s">
        <v>216</v>
      </c>
      <c r="F44" s="34" t="s">
        <v>87</v>
      </c>
      <c r="G44" s="34" t="s">
        <v>87</v>
      </c>
      <c r="H44" s="258"/>
      <c r="I44" s="43"/>
      <c r="J44" s="34"/>
      <c r="K44" s="34" t="s">
        <v>89</v>
      </c>
      <c r="L44" s="34" t="s">
        <v>90</v>
      </c>
      <c r="M44" s="34" t="s">
        <v>91</v>
      </c>
      <c r="N44" s="34" t="s">
        <v>120</v>
      </c>
      <c r="O44" s="34"/>
      <c r="P44" s="258"/>
      <c r="Q44" s="41" t="s">
        <v>94</v>
      </c>
      <c r="R44" s="34"/>
      <c r="S44" s="41"/>
      <c r="T44" s="41"/>
      <c r="U44" s="34"/>
      <c r="V44" s="34"/>
      <c r="W44" s="34"/>
      <c r="X44" s="34" t="s">
        <v>94</v>
      </c>
      <c r="Y44" s="34"/>
      <c r="Z44" s="41" t="s">
        <v>94</v>
      </c>
      <c r="AA44" s="41" t="s">
        <v>94</v>
      </c>
      <c r="AB44" s="41" t="s">
        <v>94</v>
      </c>
      <c r="AC44" s="41" t="s">
        <v>94</v>
      </c>
      <c r="AD44" s="41" t="s">
        <v>94</v>
      </c>
      <c r="AE44" s="41" t="s">
        <v>94</v>
      </c>
      <c r="AF44" s="41" t="s">
        <v>94</v>
      </c>
      <c r="AG44" s="41" t="s">
        <v>94</v>
      </c>
      <c r="AH44" s="34" t="s">
        <v>94</v>
      </c>
      <c r="AI44" s="41" t="s">
        <v>94</v>
      </c>
      <c r="AJ44" s="34" t="s">
        <v>94</v>
      </c>
      <c r="AK44" s="34" t="s">
        <v>94</v>
      </c>
      <c r="AL44" s="41" t="s">
        <v>94</v>
      </c>
      <c r="AM44" s="34" t="s">
        <v>94</v>
      </c>
      <c r="AN44" s="258"/>
    </row>
    <row r="45" spans="1:40" ht="15" hidden="1" thickBot="1" x14ac:dyDescent="0.4">
      <c r="A45" s="305" t="s">
        <v>217</v>
      </c>
      <c r="B45" s="34" t="s">
        <v>131</v>
      </c>
      <c r="C45" s="243" t="s">
        <v>96</v>
      </c>
      <c r="D45" t="s">
        <v>211</v>
      </c>
      <c r="E45" s="257" t="s">
        <v>218</v>
      </c>
      <c r="F45" s="34" t="s">
        <v>87</v>
      </c>
      <c r="G45" s="34" t="s">
        <v>87</v>
      </c>
      <c r="H45" s="258"/>
      <c r="I45" s="43"/>
      <c r="J45" s="34"/>
      <c r="K45" s="34" t="s">
        <v>89</v>
      </c>
      <c r="L45" s="34" t="s">
        <v>90</v>
      </c>
      <c r="M45" s="34" t="s">
        <v>91</v>
      </c>
      <c r="N45" s="34" t="s">
        <v>120</v>
      </c>
      <c r="O45" s="34"/>
      <c r="P45" s="258"/>
      <c r="Q45" s="41" t="s">
        <v>94</v>
      </c>
      <c r="R45" s="34"/>
      <c r="S45" s="41"/>
      <c r="T45" s="41"/>
      <c r="U45" s="34"/>
      <c r="V45" s="34"/>
      <c r="W45" s="34"/>
      <c r="X45" s="34" t="s">
        <v>94</v>
      </c>
      <c r="Y45" s="34"/>
      <c r="Z45" s="41" t="s">
        <v>94</v>
      </c>
      <c r="AA45" s="41" t="s">
        <v>94</v>
      </c>
      <c r="AB45" s="41" t="s">
        <v>94</v>
      </c>
      <c r="AC45" s="41" t="s">
        <v>94</v>
      </c>
      <c r="AD45" s="41" t="s">
        <v>94</v>
      </c>
      <c r="AE45" s="41" t="s">
        <v>94</v>
      </c>
      <c r="AF45" s="41" t="s">
        <v>94</v>
      </c>
      <c r="AG45" s="41" t="s">
        <v>94</v>
      </c>
      <c r="AH45" s="34" t="s">
        <v>94</v>
      </c>
      <c r="AI45" s="41" t="s">
        <v>94</v>
      </c>
      <c r="AJ45" s="34" t="s">
        <v>94</v>
      </c>
      <c r="AK45" s="34" t="s">
        <v>94</v>
      </c>
      <c r="AL45" s="41" t="s">
        <v>94</v>
      </c>
      <c r="AM45" s="34" t="s">
        <v>94</v>
      </c>
      <c r="AN45" s="258"/>
    </row>
    <row r="46" spans="1:40" ht="15" hidden="1" thickBot="1" x14ac:dyDescent="0.4">
      <c r="A46" s="305" t="s">
        <v>219</v>
      </c>
      <c r="B46" s="34" t="s">
        <v>131</v>
      </c>
      <c r="C46" s="243" t="s">
        <v>96</v>
      </c>
      <c r="D46" t="s">
        <v>211</v>
      </c>
      <c r="E46" s="257" t="s">
        <v>220</v>
      </c>
      <c r="F46" s="34" t="s">
        <v>87</v>
      </c>
      <c r="G46" s="34" t="s">
        <v>87</v>
      </c>
      <c r="H46" s="258"/>
      <c r="I46" s="43"/>
      <c r="J46" s="34"/>
      <c r="K46" s="34" t="s">
        <v>89</v>
      </c>
      <c r="L46" s="34" t="s">
        <v>90</v>
      </c>
      <c r="M46" s="34" t="s">
        <v>91</v>
      </c>
      <c r="N46" s="34" t="s">
        <v>120</v>
      </c>
      <c r="O46" s="34"/>
      <c r="P46" s="258"/>
      <c r="Q46" s="41" t="s">
        <v>94</v>
      </c>
      <c r="R46" s="34"/>
      <c r="S46" s="41"/>
      <c r="T46" s="41"/>
      <c r="U46" s="34"/>
      <c r="V46" s="34"/>
      <c r="W46" s="34"/>
      <c r="X46" s="34" t="s">
        <v>94</v>
      </c>
      <c r="Y46" s="34"/>
      <c r="Z46" s="41" t="s">
        <v>94</v>
      </c>
      <c r="AA46" s="41" t="s">
        <v>94</v>
      </c>
      <c r="AB46" s="41" t="s">
        <v>94</v>
      </c>
      <c r="AC46" s="41" t="s">
        <v>94</v>
      </c>
      <c r="AD46" s="41" t="s">
        <v>94</v>
      </c>
      <c r="AE46" s="41" t="s">
        <v>94</v>
      </c>
      <c r="AF46" s="41" t="s">
        <v>94</v>
      </c>
      <c r="AG46" s="41" t="s">
        <v>94</v>
      </c>
      <c r="AH46" s="34" t="s">
        <v>94</v>
      </c>
      <c r="AI46" s="41" t="s">
        <v>94</v>
      </c>
      <c r="AJ46" s="34" t="s">
        <v>94</v>
      </c>
      <c r="AK46" s="34" t="s">
        <v>94</v>
      </c>
      <c r="AL46" s="41" t="s">
        <v>94</v>
      </c>
      <c r="AM46" s="34" t="s">
        <v>94</v>
      </c>
      <c r="AN46" s="258"/>
    </row>
    <row r="47" spans="1:40" ht="15" hidden="1" thickBot="1" x14ac:dyDescent="0.4">
      <c r="A47" s="306" t="s">
        <v>221</v>
      </c>
      <c r="B47" s="34" t="s">
        <v>131</v>
      </c>
      <c r="C47" s="243" t="s">
        <v>222</v>
      </c>
      <c r="D47" s="259" t="s">
        <v>223</v>
      </c>
      <c r="E47" s="260" t="s">
        <v>224</v>
      </c>
      <c r="F47" s="34" t="s">
        <v>87</v>
      </c>
      <c r="G47" s="34" t="s">
        <v>87</v>
      </c>
      <c r="H47" s="258"/>
      <c r="I47" s="43"/>
      <c r="J47" s="34"/>
      <c r="K47" s="34" t="s">
        <v>89</v>
      </c>
      <c r="L47" s="34" t="s">
        <v>90</v>
      </c>
      <c r="M47" s="34" t="s">
        <v>91</v>
      </c>
      <c r="N47" s="34" t="s">
        <v>120</v>
      </c>
      <c r="O47" s="34"/>
      <c r="P47" s="258"/>
      <c r="Q47" s="41" t="s">
        <v>94</v>
      </c>
      <c r="R47" s="34"/>
      <c r="S47" s="41"/>
      <c r="T47" s="41"/>
      <c r="U47" s="34"/>
      <c r="V47" s="34"/>
      <c r="W47" s="34"/>
      <c r="X47" s="34" t="s">
        <v>94</v>
      </c>
      <c r="Y47" s="34"/>
      <c r="Z47" s="41" t="s">
        <v>94</v>
      </c>
      <c r="AA47" s="41" t="s">
        <v>94</v>
      </c>
      <c r="AB47" s="41" t="s">
        <v>94</v>
      </c>
      <c r="AC47" s="41" t="s">
        <v>94</v>
      </c>
      <c r="AD47" s="41" t="s">
        <v>94</v>
      </c>
      <c r="AE47" s="41" t="s">
        <v>94</v>
      </c>
      <c r="AF47" s="41" t="s">
        <v>94</v>
      </c>
      <c r="AG47" s="41" t="s">
        <v>94</v>
      </c>
      <c r="AH47" s="34" t="s">
        <v>94</v>
      </c>
      <c r="AI47" s="41" t="s">
        <v>94</v>
      </c>
      <c r="AJ47" s="34" t="s">
        <v>94</v>
      </c>
      <c r="AK47" s="34" t="s">
        <v>94</v>
      </c>
      <c r="AL47" s="41" t="s">
        <v>94</v>
      </c>
      <c r="AM47" s="34" t="s">
        <v>94</v>
      </c>
      <c r="AN47" s="258"/>
    </row>
    <row r="48" spans="1:40" ht="15" hidden="1" thickBot="1" x14ac:dyDescent="0.4">
      <c r="A48" s="306" t="s">
        <v>225</v>
      </c>
      <c r="B48" s="34" t="s">
        <v>131</v>
      </c>
      <c r="C48" s="243" t="s">
        <v>222</v>
      </c>
      <c r="D48" s="259" t="s">
        <v>226</v>
      </c>
      <c r="E48" s="260" t="s">
        <v>227</v>
      </c>
      <c r="F48" s="34" t="s">
        <v>87</v>
      </c>
      <c r="G48" s="34" t="s">
        <v>87</v>
      </c>
      <c r="H48" s="258"/>
      <c r="I48" s="43"/>
      <c r="J48" s="34"/>
      <c r="K48" s="34" t="s">
        <v>89</v>
      </c>
      <c r="L48" s="34" t="s">
        <v>90</v>
      </c>
      <c r="M48" s="34" t="s">
        <v>91</v>
      </c>
      <c r="N48" s="34" t="s">
        <v>120</v>
      </c>
      <c r="O48" s="34"/>
      <c r="P48" s="258"/>
      <c r="Q48" s="41" t="s">
        <v>94</v>
      </c>
      <c r="R48" s="34"/>
      <c r="S48" s="41"/>
      <c r="T48" s="41"/>
      <c r="U48" s="34"/>
      <c r="V48" s="34"/>
      <c r="W48" s="34"/>
      <c r="X48" s="34" t="s">
        <v>94</v>
      </c>
      <c r="Y48" s="34"/>
      <c r="Z48" s="41" t="s">
        <v>94</v>
      </c>
      <c r="AA48" s="41" t="s">
        <v>94</v>
      </c>
      <c r="AB48" s="41" t="s">
        <v>94</v>
      </c>
      <c r="AC48" s="41" t="s">
        <v>94</v>
      </c>
      <c r="AD48" s="41" t="s">
        <v>94</v>
      </c>
      <c r="AE48" s="41" t="s">
        <v>94</v>
      </c>
      <c r="AF48" s="41" t="s">
        <v>94</v>
      </c>
      <c r="AG48" s="41" t="s">
        <v>94</v>
      </c>
      <c r="AH48" s="34" t="s">
        <v>94</v>
      </c>
      <c r="AI48" s="41" t="s">
        <v>94</v>
      </c>
      <c r="AJ48" s="34" t="s">
        <v>94</v>
      </c>
      <c r="AK48" s="34" t="s">
        <v>94</v>
      </c>
      <c r="AL48" s="41" t="s">
        <v>94</v>
      </c>
      <c r="AM48" s="34" t="s">
        <v>94</v>
      </c>
      <c r="AN48" s="258"/>
    </row>
    <row r="49" spans="1:40" ht="15" hidden="1" thickBot="1" x14ac:dyDescent="0.4">
      <c r="A49" s="306" t="s">
        <v>228</v>
      </c>
      <c r="B49" s="34" t="s">
        <v>131</v>
      </c>
      <c r="C49" s="243" t="s">
        <v>222</v>
      </c>
      <c r="D49" s="259" t="s">
        <v>229</v>
      </c>
      <c r="E49" s="260" t="s">
        <v>230</v>
      </c>
      <c r="F49" s="34" t="s">
        <v>87</v>
      </c>
      <c r="G49" s="34" t="s">
        <v>87</v>
      </c>
      <c r="H49" s="258"/>
      <c r="I49" s="43"/>
      <c r="J49" s="34"/>
      <c r="K49" s="34" t="s">
        <v>89</v>
      </c>
      <c r="L49" s="34" t="s">
        <v>90</v>
      </c>
      <c r="M49" s="34" t="s">
        <v>91</v>
      </c>
      <c r="N49" s="34" t="s">
        <v>120</v>
      </c>
      <c r="O49" s="34"/>
      <c r="P49" s="258"/>
      <c r="Q49" s="41" t="s">
        <v>94</v>
      </c>
      <c r="R49" s="34"/>
      <c r="S49" s="41"/>
      <c r="T49" s="41"/>
      <c r="U49" s="34"/>
      <c r="V49" s="34"/>
      <c r="W49" s="34"/>
      <c r="X49" s="34" t="s">
        <v>94</v>
      </c>
      <c r="Y49" s="34"/>
      <c r="Z49" s="41" t="s">
        <v>94</v>
      </c>
      <c r="AA49" s="41" t="s">
        <v>94</v>
      </c>
      <c r="AB49" s="41" t="s">
        <v>94</v>
      </c>
      <c r="AC49" s="41" t="s">
        <v>94</v>
      </c>
      <c r="AD49" s="41" t="s">
        <v>94</v>
      </c>
      <c r="AE49" s="41" t="s">
        <v>94</v>
      </c>
      <c r="AF49" s="41" t="s">
        <v>94</v>
      </c>
      <c r="AG49" s="41" t="s">
        <v>94</v>
      </c>
      <c r="AH49" s="34" t="s">
        <v>94</v>
      </c>
      <c r="AI49" s="41" t="s">
        <v>94</v>
      </c>
      <c r="AJ49" s="34" t="s">
        <v>94</v>
      </c>
      <c r="AK49" s="34" t="s">
        <v>94</v>
      </c>
      <c r="AL49" s="41" t="s">
        <v>94</v>
      </c>
      <c r="AM49" s="34" t="s">
        <v>94</v>
      </c>
      <c r="AN49" s="258"/>
    </row>
    <row r="50" spans="1:40" ht="15" hidden="1" thickBot="1" x14ac:dyDescent="0.4">
      <c r="A50" s="306" t="s">
        <v>231</v>
      </c>
      <c r="B50" s="34" t="s">
        <v>131</v>
      </c>
      <c r="C50" s="243" t="s">
        <v>222</v>
      </c>
      <c r="D50" s="259" t="s">
        <v>232</v>
      </c>
      <c r="E50" s="260" t="s">
        <v>233</v>
      </c>
      <c r="F50" s="34" t="s">
        <v>87</v>
      </c>
      <c r="G50" s="34" t="s">
        <v>87</v>
      </c>
      <c r="H50" s="258"/>
      <c r="I50" s="43"/>
      <c r="J50" s="34"/>
      <c r="K50" s="34" t="s">
        <v>89</v>
      </c>
      <c r="L50" s="34" t="s">
        <v>90</v>
      </c>
      <c r="M50" s="34" t="s">
        <v>91</v>
      </c>
      <c r="N50" s="34" t="s">
        <v>120</v>
      </c>
      <c r="O50" s="34"/>
      <c r="P50" s="258"/>
      <c r="Q50" s="41" t="s">
        <v>94</v>
      </c>
      <c r="R50" s="34"/>
      <c r="S50" s="41"/>
      <c r="T50" s="41"/>
      <c r="U50" s="34"/>
      <c r="V50" s="34"/>
      <c r="W50" s="34"/>
      <c r="X50" s="34" t="s">
        <v>94</v>
      </c>
      <c r="Y50" s="34"/>
      <c r="Z50" s="41" t="s">
        <v>94</v>
      </c>
      <c r="AA50" s="41" t="s">
        <v>94</v>
      </c>
      <c r="AB50" s="41" t="s">
        <v>94</v>
      </c>
      <c r="AC50" s="41" t="s">
        <v>94</v>
      </c>
      <c r="AD50" s="41" t="s">
        <v>94</v>
      </c>
      <c r="AE50" s="41" t="s">
        <v>94</v>
      </c>
      <c r="AF50" s="41" t="s">
        <v>94</v>
      </c>
      <c r="AG50" s="41" t="s">
        <v>94</v>
      </c>
      <c r="AH50" s="34" t="s">
        <v>94</v>
      </c>
      <c r="AI50" s="41" t="s">
        <v>94</v>
      </c>
      <c r="AJ50" s="34" t="s">
        <v>94</v>
      </c>
      <c r="AK50" s="34" t="s">
        <v>94</v>
      </c>
      <c r="AL50" s="41" t="s">
        <v>94</v>
      </c>
      <c r="AM50" s="34" t="s">
        <v>94</v>
      </c>
      <c r="AN50" s="258"/>
    </row>
    <row r="51" spans="1:40" ht="15" hidden="1" thickBot="1" x14ac:dyDescent="0.4">
      <c r="A51" s="306" t="s">
        <v>234</v>
      </c>
      <c r="B51" s="34" t="s">
        <v>131</v>
      </c>
      <c r="C51" s="243" t="s">
        <v>222</v>
      </c>
      <c r="D51" s="259" t="s">
        <v>235</v>
      </c>
      <c r="E51" s="260" t="s">
        <v>236</v>
      </c>
      <c r="F51" s="34" t="s">
        <v>87</v>
      </c>
      <c r="G51" s="34" t="s">
        <v>87</v>
      </c>
      <c r="H51" s="258"/>
      <c r="I51" s="43"/>
      <c r="J51" s="34"/>
      <c r="K51" s="34" t="s">
        <v>89</v>
      </c>
      <c r="L51" s="34" t="s">
        <v>90</v>
      </c>
      <c r="M51" s="34" t="s">
        <v>91</v>
      </c>
      <c r="N51" s="34" t="s">
        <v>120</v>
      </c>
      <c r="O51" s="34" t="s">
        <v>237</v>
      </c>
      <c r="P51" s="258"/>
      <c r="Q51" s="258"/>
      <c r="R51" s="258"/>
      <c r="S51" s="258"/>
      <c r="T51" s="258"/>
      <c r="U51" s="258"/>
      <c r="V51" s="258"/>
      <c r="W51" s="258"/>
      <c r="X51" s="258"/>
      <c r="Y51" s="258"/>
      <c r="Z51" s="258"/>
      <c r="AA51" s="258"/>
      <c r="AB51" s="258"/>
      <c r="AC51" s="258"/>
      <c r="AD51" s="258"/>
      <c r="AE51" s="258"/>
      <c r="AF51" s="258"/>
      <c r="AG51" s="258"/>
      <c r="AH51" s="258"/>
      <c r="AI51" s="258"/>
      <c r="AJ51" s="258"/>
      <c r="AK51" s="258"/>
      <c r="AL51" s="258"/>
      <c r="AM51" s="258"/>
      <c r="AN51" s="258"/>
    </row>
    <row r="52" spans="1:40" ht="15" hidden="1" thickBot="1" x14ac:dyDescent="0.4">
      <c r="A52" s="306" t="s">
        <v>238</v>
      </c>
      <c r="B52" s="34" t="s">
        <v>131</v>
      </c>
      <c r="C52" s="243" t="s">
        <v>222</v>
      </c>
      <c r="D52" s="259" t="s">
        <v>239</v>
      </c>
      <c r="E52" s="260" t="s">
        <v>240</v>
      </c>
      <c r="F52" s="34" t="s">
        <v>87</v>
      </c>
      <c r="G52" s="34" t="s">
        <v>87</v>
      </c>
      <c r="H52" s="258"/>
      <c r="I52" s="43"/>
      <c r="J52" s="34"/>
      <c r="K52" s="34" t="s">
        <v>89</v>
      </c>
      <c r="L52" s="34" t="s">
        <v>90</v>
      </c>
      <c r="M52" s="34" t="s">
        <v>91</v>
      </c>
      <c r="N52" s="34" t="s">
        <v>120</v>
      </c>
      <c r="O52" s="34" t="s">
        <v>237</v>
      </c>
      <c r="P52" s="258"/>
      <c r="Q52" s="41"/>
      <c r="R52" s="258"/>
      <c r="S52" s="258"/>
      <c r="T52" s="258"/>
      <c r="U52" s="258"/>
      <c r="V52" s="34"/>
      <c r="W52" s="34"/>
      <c r="X52" s="34"/>
      <c r="Y52" s="34"/>
      <c r="Z52" s="41"/>
      <c r="AA52" s="41"/>
      <c r="AB52" s="41"/>
      <c r="AC52" s="41"/>
      <c r="AD52" s="41"/>
      <c r="AE52" s="41"/>
      <c r="AF52" s="41"/>
      <c r="AG52" s="41"/>
      <c r="AH52" s="34"/>
      <c r="AI52" s="41"/>
      <c r="AJ52" s="34"/>
      <c r="AK52" s="34"/>
      <c r="AL52" s="41"/>
      <c r="AM52" s="34"/>
      <c r="AN52" s="258"/>
    </row>
    <row r="53" spans="1:40" ht="15" hidden="1" thickBot="1" x14ac:dyDescent="0.4">
      <c r="A53" s="306" t="s">
        <v>241</v>
      </c>
      <c r="B53" s="34" t="s">
        <v>131</v>
      </c>
      <c r="C53" s="243" t="s">
        <v>222</v>
      </c>
      <c r="D53" s="259" t="s">
        <v>242</v>
      </c>
      <c r="E53" s="260" t="s">
        <v>243</v>
      </c>
      <c r="F53" s="34" t="s">
        <v>87</v>
      </c>
      <c r="G53" s="34" t="s">
        <v>87</v>
      </c>
      <c r="H53" s="258"/>
      <c r="I53" s="43"/>
      <c r="J53" s="34"/>
      <c r="K53" s="34" t="s">
        <v>89</v>
      </c>
      <c r="L53" s="34" t="s">
        <v>90</v>
      </c>
      <c r="M53" s="34" t="s">
        <v>91</v>
      </c>
      <c r="N53" s="34" t="s">
        <v>120</v>
      </c>
      <c r="O53" s="34"/>
      <c r="P53" s="258"/>
      <c r="Q53" s="41" t="s">
        <v>94</v>
      </c>
      <c r="R53" s="34"/>
      <c r="S53" s="41"/>
      <c r="T53" s="41"/>
      <c r="U53" s="34"/>
      <c r="V53" s="34"/>
      <c r="W53" s="34"/>
      <c r="X53" s="34" t="s">
        <v>94</v>
      </c>
      <c r="Y53" s="34"/>
      <c r="Z53" s="41" t="s">
        <v>94</v>
      </c>
      <c r="AA53" s="41" t="s">
        <v>94</v>
      </c>
      <c r="AB53" s="41" t="s">
        <v>94</v>
      </c>
      <c r="AC53" s="41" t="s">
        <v>94</v>
      </c>
      <c r="AD53" s="41" t="s">
        <v>94</v>
      </c>
      <c r="AE53" s="41" t="s">
        <v>94</v>
      </c>
      <c r="AF53" s="41" t="s">
        <v>94</v>
      </c>
      <c r="AG53" s="41" t="s">
        <v>94</v>
      </c>
      <c r="AH53" s="34" t="s">
        <v>94</v>
      </c>
      <c r="AI53" s="41" t="s">
        <v>94</v>
      </c>
      <c r="AJ53" s="34" t="s">
        <v>94</v>
      </c>
      <c r="AK53" s="34" t="s">
        <v>94</v>
      </c>
      <c r="AL53" s="41" t="s">
        <v>94</v>
      </c>
      <c r="AM53" s="34" t="s">
        <v>94</v>
      </c>
      <c r="AN53" s="258"/>
    </row>
    <row r="54" spans="1:40" ht="15" hidden="1" thickBot="1" x14ac:dyDescent="0.4">
      <c r="A54" s="306" t="s">
        <v>244</v>
      </c>
      <c r="B54" s="34" t="s">
        <v>131</v>
      </c>
      <c r="C54" s="243" t="s">
        <v>222</v>
      </c>
      <c r="D54" s="259" t="s">
        <v>245</v>
      </c>
      <c r="E54" s="260" t="s">
        <v>246</v>
      </c>
      <c r="F54" s="34" t="s">
        <v>87</v>
      </c>
      <c r="G54" s="34" t="s">
        <v>87</v>
      </c>
      <c r="H54" s="258"/>
      <c r="I54" s="43"/>
      <c r="J54" s="34"/>
      <c r="K54" s="34" t="s">
        <v>89</v>
      </c>
      <c r="L54" s="34" t="s">
        <v>90</v>
      </c>
      <c r="M54" s="34" t="s">
        <v>91</v>
      </c>
      <c r="N54" s="34" t="s">
        <v>120</v>
      </c>
      <c r="O54" s="34"/>
      <c r="P54" s="258"/>
      <c r="Q54" s="41" t="s">
        <v>94</v>
      </c>
      <c r="R54" s="34"/>
      <c r="S54" s="41"/>
      <c r="T54" s="41"/>
      <c r="U54" s="34"/>
      <c r="V54" s="34"/>
      <c r="W54" s="34"/>
      <c r="X54" s="34" t="s">
        <v>94</v>
      </c>
      <c r="Y54" s="34"/>
      <c r="Z54" s="41" t="s">
        <v>94</v>
      </c>
      <c r="AA54" s="41" t="s">
        <v>94</v>
      </c>
      <c r="AB54" s="41" t="s">
        <v>94</v>
      </c>
      <c r="AC54" s="41" t="s">
        <v>94</v>
      </c>
      <c r="AD54" s="41" t="s">
        <v>94</v>
      </c>
      <c r="AE54" s="41" t="s">
        <v>94</v>
      </c>
      <c r="AF54" s="41" t="s">
        <v>94</v>
      </c>
      <c r="AG54" s="41" t="s">
        <v>94</v>
      </c>
      <c r="AH54" s="34" t="s">
        <v>94</v>
      </c>
      <c r="AI54" s="41" t="s">
        <v>94</v>
      </c>
      <c r="AJ54" s="34" t="s">
        <v>94</v>
      </c>
      <c r="AK54" s="34" t="s">
        <v>94</v>
      </c>
      <c r="AL54" s="41" t="s">
        <v>94</v>
      </c>
      <c r="AM54" s="34" t="s">
        <v>94</v>
      </c>
      <c r="AN54" s="258"/>
    </row>
    <row r="55" spans="1:40" ht="15" hidden="1" thickBot="1" x14ac:dyDescent="0.4">
      <c r="A55" s="306" t="s">
        <v>247</v>
      </c>
      <c r="B55" s="34" t="s">
        <v>131</v>
      </c>
      <c r="C55" s="243" t="s">
        <v>222</v>
      </c>
      <c r="D55" s="259" t="s">
        <v>248</v>
      </c>
      <c r="E55" s="260" t="s">
        <v>249</v>
      </c>
      <c r="F55" s="34" t="s">
        <v>87</v>
      </c>
      <c r="G55" s="34" t="s">
        <v>87</v>
      </c>
      <c r="H55" s="258"/>
      <c r="I55" s="43"/>
      <c r="J55" s="34"/>
      <c r="K55" s="34" t="s">
        <v>89</v>
      </c>
      <c r="L55" s="34" t="s">
        <v>90</v>
      </c>
      <c r="M55" s="34" t="s">
        <v>91</v>
      </c>
      <c r="N55" s="34" t="s">
        <v>120</v>
      </c>
      <c r="O55" s="34"/>
      <c r="P55" s="258"/>
      <c r="Q55" s="41" t="s">
        <v>94</v>
      </c>
      <c r="R55" s="34"/>
      <c r="S55" s="41"/>
      <c r="T55" s="41"/>
      <c r="U55" s="34"/>
      <c r="V55" s="34"/>
      <c r="W55" s="34"/>
      <c r="X55" s="34" t="s">
        <v>94</v>
      </c>
      <c r="Y55" s="34"/>
      <c r="Z55" s="41" t="s">
        <v>94</v>
      </c>
      <c r="AA55" s="41" t="s">
        <v>94</v>
      </c>
      <c r="AB55" s="41" t="s">
        <v>94</v>
      </c>
      <c r="AC55" s="41" t="s">
        <v>94</v>
      </c>
      <c r="AD55" s="41" t="s">
        <v>94</v>
      </c>
      <c r="AE55" s="41" t="s">
        <v>94</v>
      </c>
      <c r="AF55" s="41" t="s">
        <v>94</v>
      </c>
      <c r="AG55" s="41" t="s">
        <v>94</v>
      </c>
      <c r="AH55" s="34" t="s">
        <v>94</v>
      </c>
      <c r="AI55" s="41" t="s">
        <v>94</v>
      </c>
      <c r="AJ55" s="34" t="s">
        <v>94</v>
      </c>
      <c r="AK55" s="34" t="s">
        <v>94</v>
      </c>
      <c r="AL55" s="41" t="s">
        <v>94</v>
      </c>
      <c r="AM55" s="34" t="s">
        <v>94</v>
      </c>
      <c r="AN55" s="258"/>
    </row>
    <row r="56" spans="1:40" ht="15" hidden="1" thickBot="1" x14ac:dyDescent="0.4">
      <c r="A56" s="306" t="s">
        <v>250</v>
      </c>
      <c r="B56" s="34" t="s">
        <v>131</v>
      </c>
      <c r="C56" s="243" t="s">
        <v>222</v>
      </c>
      <c r="D56" s="259" t="s">
        <v>251</v>
      </c>
      <c r="E56" s="260" t="s">
        <v>252</v>
      </c>
      <c r="F56" s="34" t="s">
        <v>87</v>
      </c>
      <c r="G56" s="34" t="s">
        <v>87</v>
      </c>
      <c r="H56" s="258"/>
      <c r="I56" s="43"/>
      <c r="J56" s="34"/>
      <c r="K56" s="34" t="s">
        <v>89</v>
      </c>
      <c r="L56" s="34" t="s">
        <v>90</v>
      </c>
      <c r="M56" s="34" t="s">
        <v>91</v>
      </c>
      <c r="N56" s="34" t="s">
        <v>120</v>
      </c>
      <c r="O56" s="34"/>
      <c r="P56" s="258"/>
      <c r="Q56" s="41" t="s">
        <v>94</v>
      </c>
      <c r="R56" s="34"/>
      <c r="S56" s="41"/>
      <c r="T56" s="41"/>
      <c r="U56" s="34"/>
      <c r="V56" s="34"/>
      <c r="W56" s="34"/>
      <c r="X56" s="34" t="s">
        <v>94</v>
      </c>
      <c r="Y56" s="34"/>
      <c r="Z56" s="41" t="s">
        <v>94</v>
      </c>
      <c r="AA56" s="41" t="s">
        <v>94</v>
      </c>
      <c r="AB56" s="41" t="s">
        <v>94</v>
      </c>
      <c r="AC56" s="41" t="s">
        <v>94</v>
      </c>
      <c r="AD56" s="41" t="s">
        <v>94</v>
      </c>
      <c r="AE56" s="41" t="s">
        <v>94</v>
      </c>
      <c r="AF56" s="41" t="s">
        <v>94</v>
      </c>
      <c r="AG56" s="41" t="s">
        <v>94</v>
      </c>
      <c r="AH56" s="34" t="s">
        <v>94</v>
      </c>
      <c r="AI56" s="41" t="s">
        <v>94</v>
      </c>
      <c r="AJ56" s="34" t="s">
        <v>94</v>
      </c>
      <c r="AK56" s="34" t="s">
        <v>94</v>
      </c>
      <c r="AL56" s="41" t="s">
        <v>94</v>
      </c>
      <c r="AM56" s="34" t="s">
        <v>94</v>
      </c>
      <c r="AN56" s="258"/>
    </row>
    <row r="57" spans="1:40" ht="15" hidden="1" thickBot="1" x14ac:dyDescent="0.4">
      <c r="A57" s="306" t="s">
        <v>253</v>
      </c>
      <c r="B57" s="34" t="s">
        <v>131</v>
      </c>
      <c r="C57" s="243" t="s">
        <v>222</v>
      </c>
      <c r="D57" s="259" t="s">
        <v>254</v>
      </c>
      <c r="E57" s="260" t="s">
        <v>255</v>
      </c>
      <c r="F57" s="34" t="s">
        <v>87</v>
      </c>
      <c r="G57" s="34" t="s">
        <v>87</v>
      </c>
      <c r="H57" s="258"/>
      <c r="I57" s="43"/>
      <c r="J57" s="34"/>
      <c r="K57" s="34" t="s">
        <v>89</v>
      </c>
      <c r="L57" s="34" t="s">
        <v>90</v>
      </c>
      <c r="M57" s="34" t="s">
        <v>91</v>
      </c>
      <c r="N57" s="34" t="s">
        <v>120</v>
      </c>
      <c r="O57" s="34"/>
      <c r="P57" s="258"/>
      <c r="Q57" s="41" t="s">
        <v>94</v>
      </c>
      <c r="R57" s="34"/>
      <c r="S57" s="41"/>
      <c r="T57" s="41"/>
      <c r="U57" s="34"/>
      <c r="V57" s="34"/>
      <c r="W57" s="34"/>
      <c r="X57" s="34" t="s">
        <v>94</v>
      </c>
      <c r="Y57" s="34"/>
      <c r="Z57" s="41" t="s">
        <v>94</v>
      </c>
      <c r="AA57" s="41" t="s">
        <v>94</v>
      </c>
      <c r="AB57" s="41" t="s">
        <v>94</v>
      </c>
      <c r="AC57" s="41" t="s">
        <v>94</v>
      </c>
      <c r="AD57" s="41" t="s">
        <v>94</v>
      </c>
      <c r="AE57" s="41" t="s">
        <v>94</v>
      </c>
      <c r="AF57" s="41" t="s">
        <v>94</v>
      </c>
      <c r="AG57" s="41" t="s">
        <v>94</v>
      </c>
      <c r="AH57" s="34" t="s">
        <v>94</v>
      </c>
      <c r="AI57" s="41" t="s">
        <v>94</v>
      </c>
      <c r="AJ57" s="34" t="s">
        <v>94</v>
      </c>
      <c r="AK57" s="34" t="s">
        <v>94</v>
      </c>
      <c r="AL57" s="41" t="s">
        <v>94</v>
      </c>
      <c r="AM57" s="34" t="s">
        <v>94</v>
      </c>
      <c r="AN57" s="258"/>
    </row>
    <row r="58" spans="1:40" ht="15" hidden="1" thickBot="1" x14ac:dyDescent="0.4">
      <c r="A58" s="306" t="s">
        <v>256</v>
      </c>
      <c r="B58" s="34" t="s">
        <v>131</v>
      </c>
      <c r="C58" s="243" t="s">
        <v>222</v>
      </c>
      <c r="D58" s="259" t="s">
        <v>257</v>
      </c>
      <c r="E58" s="260" t="s">
        <v>258</v>
      </c>
      <c r="F58" s="34" t="s">
        <v>87</v>
      </c>
      <c r="G58" s="34" t="s">
        <v>87</v>
      </c>
      <c r="H58" s="258"/>
      <c r="I58" s="43"/>
      <c r="J58" s="34"/>
      <c r="K58" s="34" t="s">
        <v>89</v>
      </c>
      <c r="L58" s="34" t="s">
        <v>90</v>
      </c>
      <c r="M58" s="34" t="s">
        <v>91</v>
      </c>
      <c r="N58" s="34" t="s">
        <v>120</v>
      </c>
      <c r="O58" s="34"/>
      <c r="P58" s="258"/>
      <c r="Q58" s="41" t="s">
        <v>94</v>
      </c>
      <c r="R58" s="34"/>
      <c r="S58" s="41"/>
      <c r="T58" s="41"/>
      <c r="U58" s="34"/>
      <c r="V58" s="34"/>
      <c r="W58" s="34"/>
      <c r="X58" s="34" t="s">
        <v>94</v>
      </c>
      <c r="Y58" s="34"/>
      <c r="Z58" s="41" t="s">
        <v>94</v>
      </c>
      <c r="AA58" s="41" t="s">
        <v>94</v>
      </c>
      <c r="AB58" s="41" t="s">
        <v>94</v>
      </c>
      <c r="AC58" s="41" t="s">
        <v>94</v>
      </c>
      <c r="AD58" s="41" t="s">
        <v>94</v>
      </c>
      <c r="AE58" s="41" t="s">
        <v>94</v>
      </c>
      <c r="AF58" s="41" t="s">
        <v>94</v>
      </c>
      <c r="AG58" s="41" t="s">
        <v>94</v>
      </c>
      <c r="AH58" s="34" t="s">
        <v>94</v>
      </c>
      <c r="AI58" s="41" t="s">
        <v>94</v>
      </c>
      <c r="AJ58" s="34" t="s">
        <v>94</v>
      </c>
      <c r="AK58" s="34" t="s">
        <v>94</v>
      </c>
      <c r="AL58" s="41" t="s">
        <v>94</v>
      </c>
      <c r="AM58" s="34" t="s">
        <v>94</v>
      </c>
      <c r="AN58" s="258"/>
    </row>
    <row r="59" spans="1:40" ht="15" hidden="1" thickBot="1" x14ac:dyDescent="0.4">
      <c r="A59" s="306" t="s">
        <v>259</v>
      </c>
      <c r="B59" s="34" t="s">
        <v>131</v>
      </c>
      <c r="C59" s="243" t="s">
        <v>222</v>
      </c>
      <c r="D59" s="259" t="s">
        <v>260</v>
      </c>
      <c r="E59" s="260" t="s">
        <v>261</v>
      </c>
      <c r="F59" s="34" t="s">
        <v>87</v>
      </c>
      <c r="G59" s="34" t="s">
        <v>87</v>
      </c>
      <c r="H59" s="258"/>
      <c r="I59" s="43"/>
      <c r="J59" s="34"/>
      <c r="K59" s="34" t="s">
        <v>89</v>
      </c>
      <c r="L59" s="34" t="s">
        <v>90</v>
      </c>
      <c r="M59" s="34" t="s">
        <v>91</v>
      </c>
      <c r="N59" s="34" t="s">
        <v>120</v>
      </c>
      <c r="O59" s="34"/>
      <c r="P59" s="258"/>
      <c r="Q59" s="41" t="s">
        <v>94</v>
      </c>
      <c r="R59" s="34"/>
      <c r="S59" s="41"/>
      <c r="T59" s="41"/>
      <c r="U59" s="34"/>
      <c r="V59" s="34"/>
      <c r="W59" s="34"/>
      <c r="X59" s="34" t="s">
        <v>94</v>
      </c>
      <c r="Y59" s="34"/>
      <c r="Z59" s="41" t="s">
        <v>94</v>
      </c>
      <c r="AA59" s="41" t="s">
        <v>94</v>
      </c>
      <c r="AB59" s="41" t="s">
        <v>94</v>
      </c>
      <c r="AC59" s="41" t="s">
        <v>94</v>
      </c>
      <c r="AD59" s="41" t="s">
        <v>94</v>
      </c>
      <c r="AE59" s="41" t="s">
        <v>94</v>
      </c>
      <c r="AF59" s="41" t="s">
        <v>94</v>
      </c>
      <c r="AG59" s="41" t="s">
        <v>94</v>
      </c>
      <c r="AH59" s="34" t="s">
        <v>94</v>
      </c>
      <c r="AI59" s="41" t="s">
        <v>94</v>
      </c>
      <c r="AJ59" s="34" t="s">
        <v>94</v>
      </c>
      <c r="AK59" s="34" t="s">
        <v>94</v>
      </c>
      <c r="AL59" s="41" t="s">
        <v>94</v>
      </c>
      <c r="AM59" s="34" t="s">
        <v>94</v>
      </c>
      <c r="AN59" s="258"/>
    </row>
    <row r="60" spans="1:40" ht="15" hidden="1" thickBot="1" x14ac:dyDescent="0.4">
      <c r="A60" s="305" t="s">
        <v>262</v>
      </c>
      <c r="B60" s="34" t="s">
        <v>131</v>
      </c>
      <c r="C60" s="243" t="s">
        <v>222</v>
      </c>
      <c r="D60" s="259" t="s">
        <v>263</v>
      </c>
      <c r="E60" s="260" t="s">
        <v>264</v>
      </c>
      <c r="F60" s="34" t="s">
        <v>87</v>
      </c>
      <c r="G60" s="34" t="s">
        <v>87</v>
      </c>
      <c r="H60" s="258"/>
      <c r="I60" s="43"/>
      <c r="J60" s="34"/>
      <c r="K60" s="34" t="s">
        <v>89</v>
      </c>
      <c r="L60" s="34" t="s">
        <v>90</v>
      </c>
      <c r="M60" s="34" t="s">
        <v>91</v>
      </c>
      <c r="N60" s="34" t="s">
        <v>120</v>
      </c>
      <c r="O60" s="34"/>
      <c r="P60" s="258"/>
      <c r="Q60" s="41" t="s">
        <v>94</v>
      </c>
      <c r="R60" s="34"/>
      <c r="S60" s="41"/>
      <c r="T60" s="41"/>
      <c r="U60" s="34"/>
      <c r="V60" s="34"/>
      <c r="W60" s="34"/>
      <c r="X60" s="34" t="s">
        <v>94</v>
      </c>
      <c r="Y60" s="34"/>
      <c r="Z60" s="41" t="s">
        <v>94</v>
      </c>
      <c r="AA60" s="41" t="s">
        <v>94</v>
      </c>
      <c r="AB60" s="41" t="s">
        <v>94</v>
      </c>
      <c r="AC60" s="41" t="s">
        <v>94</v>
      </c>
      <c r="AD60" s="41" t="s">
        <v>94</v>
      </c>
      <c r="AE60" s="41" t="s">
        <v>94</v>
      </c>
      <c r="AF60" s="41" t="s">
        <v>94</v>
      </c>
      <c r="AG60" s="41" t="s">
        <v>94</v>
      </c>
      <c r="AH60" s="34" t="s">
        <v>94</v>
      </c>
      <c r="AI60" s="41" t="s">
        <v>94</v>
      </c>
      <c r="AJ60" s="34" t="s">
        <v>94</v>
      </c>
      <c r="AK60" s="34" t="s">
        <v>94</v>
      </c>
      <c r="AL60" s="41" t="s">
        <v>94</v>
      </c>
      <c r="AM60" s="34" t="s">
        <v>94</v>
      </c>
      <c r="AN60" s="258"/>
    </row>
    <row r="61" spans="1:40" ht="15" hidden="1" thickBot="1" x14ac:dyDescent="0.4">
      <c r="A61" s="305" t="s">
        <v>265</v>
      </c>
      <c r="B61" s="34" t="s">
        <v>131</v>
      </c>
      <c r="C61" s="243" t="s">
        <v>222</v>
      </c>
      <c r="D61" s="259" t="s">
        <v>266</v>
      </c>
      <c r="E61" s="260" t="s">
        <v>267</v>
      </c>
      <c r="F61" s="34" t="s">
        <v>87</v>
      </c>
      <c r="G61" s="34" t="s">
        <v>87</v>
      </c>
      <c r="H61" s="258"/>
      <c r="I61" s="43"/>
      <c r="J61" s="34"/>
      <c r="K61" s="34" t="s">
        <v>89</v>
      </c>
      <c r="L61" s="34" t="s">
        <v>90</v>
      </c>
      <c r="M61" s="34" t="s">
        <v>91</v>
      </c>
      <c r="N61" s="34" t="s">
        <v>120</v>
      </c>
      <c r="O61" s="34"/>
      <c r="P61" s="258"/>
      <c r="Q61" s="41" t="s">
        <v>94</v>
      </c>
      <c r="R61" s="34"/>
      <c r="S61" s="41"/>
      <c r="T61" s="41"/>
      <c r="U61" s="34"/>
      <c r="V61" s="34"/>
      <c r="W61" s="34"/>
      <c r="X61" s="34" t="s">
        <v>94</v>
      </c>
      <c r="Y61" s="34"/>
      <c r="Z61" s="41" t="s">
        <v>94</v>
      </c>
      <c r="AA61" s="41" t="s">
        <v>94</v>
      </c>
      <c r="AB61" s="41" t="s">
        <v>94</v>
      </c>
      <c r="AC61" s="41" t="s">
        <v>94</v>
      </c>
      <c r="AD61" s="41" t="s">
        <v>94</v>
      </c>
      <c r="AE61" s="41" t="s">
        <v>94</v>
      </c>
      <c r="AF61" s="41" t="s">
        <v>94</v>
      </c>
      <c r="AG61" s="41" t="s">
        <v>94</v>
      </c>
      <c r="AH61" s="34" t="s">
        <v>94</v>
      </c>
      <c r="AI61" s="41" t="s">
        <v>94</v>
      </c>
      <c r="AJ61" s="34" t="s">
        <v>94</v>
      </c>
      <c r="AK61" s="34" t="s">
        <v>94</v>
      </c>
      <c r="AL61" s="41" t="s">
        <v>94</v>
      </c>
      <c r="AM61" s="34" t="s">
        <v>94</v>
      </c>
      <c r="AN61" s="258"/>
    </row>
    <row r="62" spans="1:40" ht="15" hidden="1" thickBot="1" x14ac:dyDescent="0.4">
      <c r="A62" s="305" t="s">
        <v>268</v>
      </c>
      <c r="B62" s="34" t="s">
        <v>131</v>
      </c>
      <c r="C62" s="243" t="s">
        <v>222</v>
      </c>
      <c r="D62" s="259" t="s">
        <v>269</v>
      </c>
      <c r="E62" s="260" t="s">
        <v>270</v>
      </c>
      <c r="F62" s="34" t="s">
        <v>87</v>
      </c>
      <c r="G62" s="34" t="s">
        <v>87</v>
      </c>
      <c r="H62" s="258"/>
      <c r="I62" s="43"/>
      <c r="J62" s="34"/>
      <c r="K62" s="34" t="s">
        <v>89</v>
      </c>
      <c r="L62" s="34" t="s">
        <v>90</v>
      </c>
      <c r="M62" s="34" t="s">
        <v>91</v>
      </c>
      <c r="N62" s="34" t="s">
        <v>120</v>
      </c>
      <c r="O62" s="34"/>
      <c r="P62" s="258"/>
      <c r="Q62" s="41" t="s">
        <v>94</v>
      </c>
      <c r="R62" s="34"/>
      <c r="S62" s="41"/>
      <c r="T62" s="41"/>
      <c r="U62" s="34"/>
      <c r="V62" s="34"/>
      <c r="W62" s="34"/>
      <c r="X62" s="34" t="s">
        <v>94</v>
      </c>
      <c r="Y62" s="34"/>
      <c r="Z62" s="41" t="s">
        <v>94</v>
      </c>
      <c r="AA62" s="41" t="s">
        <v>94</v>
      </c>
      <c r="AB62" s="41" t="s">
        <v>94</v>
      </c>
      <c r="AC62" s="41" t="s">
        <v>94</v>
      </c>
      <c r="AD62" s="41" t="s">
        <v>94</v>
      </c>
      <c r="AE62" s="41" t="s">
        <v>94</v>
      </c>
      <c r="AF62" s="41" t="s">
        <v>94</v>
      </c>
      <c r="AG62" s="41" t="s">
        <v>94</v>
      </c>
      <c r="AH62" s="34" t="s">
        <v>94</v>
      </c>
      <c r="AI62" s="41" t="s">
        <v>94</v>
      </c>
      <c r="AJ62" s="34" t="s">
        <v>94</v>
      </c>
      <c r="AK62" s="34" t="s">
        <v>94</v>
      </c>
      <c r="AL62" s="41" t="s">
        <v>94</v>
      </c>
      <c r="AM62" s="34" t="s">
        <v>94</v>
      </c>
      <c r="AN62" s="258"/>
    </row>
    <row r="63" spans="1:40" ht="15" hidden="1" thickBot="1" x14ac:dyDescent="0.4">
      <c r="A63" s="305" t="s">
        <v>271</v>
      </c>
      <c r="B63" s="34" t="s">
        <v>131</v>
      </c>
      <c r="C63" s="243" t="s">
        <v>222</v>
      </c>
      <c r="D63" s="259" t="s">
        <v>272</v>
      </c>
      <c r="E63" s="260" t="s">
        <v>273</v>
      </c>
      <c r="F63" s="34" t="s">
        <v>87</v>
      </c>
      <c r="G63" s="34" t="s">
        <v>87</v>
      </c>
      <c r="H63" s="258"/>
      <c r="I63" s="43"/>
      <c r="J63" s="34"/>
      <c r="K63" s="34" t="s">
        <v>89</v>
      </c>
      <c r="L63" s="34" t="s">
        <v>90</v>
      </c>
      <c r="M63" s="34" t="s">
        <v>91</v>
      </c>
      <c r="N63" s="34" t="s">
        <v>120</v>
      </c>
      <c r="O63" s="34"/>
      <c r="P63" s="258"/>
      <c r="Q63" s="41" t="s">
        <v>94</v>
      </c>
      <c r="R63" s="34"/>
      <c r="S63" s="41"/>
      <c r="T63" s="41"/>
      <c r="U63" s="34"/>
      <c r="V63" s="34"/>
      <c r="W63" s="34"/>
      <c r="X63" s="34" t="s">
        <v>94</v>
      </c>
      <c r="Y63" s="34"/>
      <c r="Z63" s="41" t="s">
        <v>94</v>
      </c>
      <c r="AA63" s="41" t="s">
        <v>94</v>
      </c>
      <c r="AB63" s="41" t="s">
        <v>94</v>
      </c>
      <c r="AC63" s="41" t="s">
        <v>94</v>
      </c>
      <c r="AD63" s="41" t="s">
        <v>94</v>
      </c>
      <c r="AE63" s="41" t="s">
        <v>94</v>
      </c>
      <c r="AF63" s="41" t="s">
        <v>94</v>
      </c>
      <c r="AG63" s="41" t="s">
        <v>94</v>
      </c>
      <c r="AH63" s="34" t="s">
        <v>94</v>
      </c>
      <c r="AI63" s="41" t="s">
        <v>94</v>
      </c>
      <c r="AJ63" s="34" t="s">
        <v>94</v>
      </c>
      <c r="AK63" s="34" t="s">
        <v>94</v>
      </c>
      <c r="AL63" s="41" t="s">
        <v>94</v>
      </c>
      <c r="AM63" s="34" t="s">
        <v>94</v>
      </c>
      <c r="AN63" s="258"/>
    </row>
    <row r="64" spans="1:40" ht="15" hidden="1" thickBot="1" x14ac:dyDescent="0.4">
      <c r="A64" s="305" t="s">
        <v>274</v>
      </c>
      <c r="B64" s="34" t="s">
        <v>131</v>
      </c>
      <c r="C64" s="243" t="s">
        <v>222</v>
      </c>
      <c r="D64" s="259" t="s">
        <v>275</v>
      </c>
      <c r="E64" s="260" t="s">
        <v>276</v>
      </c>
      <c r="F64" s="34" t="s">
        <v>87</v>
      </c>
      <c r="G64" s="34" t="s">
        <v>87</v>
      </c>
      <c r="H64" s="258"/>
      <c r="I64" s="43"/>
      <c r="J64" s="34"/>
      <c r="K64" s="34" t="s">
        <v>89</v>
      </c>
      <c r="L64" s="34" t="s">
        <v>90</v>
      </c>
      <c r="M64" s="34" t="s">
        <v>91</v>
      </c>
      <c r="N64" s="34" t="s">
        <v>120</v>
      </c>
      <c r="O64" s="34"/>
      <c r="P64" s="258"/>
      <c r="Q64" s="41" t="s">
        <v>94</v>
      </c>
      <c r="R64" s="34"/>
      <c r="S64" s="41"/>
      <c r="T64" s="41"/>
      <c r="U64" s="34"/>
      <c r="V64" s="34"/>
      <c r="W64" s="34"/>
      <c r="X64" s="34" t="s">
        <v>94</v>
      </c>
      <c r="Y64" s="34"/>
      <c r="Z64" s="41" t="s">
        <v>94</v>
      </c>
      <c r="AA64" s="41" t="s">
        <v>94</v>
      </c>
      <c r="AB64" s="41" t="s">
        <v>94</v>
      </c>
      <c r="AC64" s="41" t="s">
        <v>94</v>
      </c>
      <c r="AD64" s="41" t="s">
        <v>94</v>
      </c>
      <c r="AE64" s="41" t="s">
        <v>94</v>
      </c>
      <c r="AF64" s="41" t="s">
        <v>94</v>
      </c>
      <c r="AG64" s="41" t="s">
        <v>94</v>
      </c>
      <c r="AH64" s="34" t="s">
        <v>94</v>
      </c>
      <c r="AI64" s="41" t="s">
        <v>94</v>
      </c>
      <c r="AJ64" s="34" t="s">
        <v>94</v>
      </c>
      <c r="AK64" s="34" t="s">
        <v>94</v>
      </c>
      <c r="AL64" s="41" t="s">
        <v>94</v>
      </c>
      <c r="AM64" s="34" t="s">
        <v>94</v>
      </c>
      <c r="AN64" s="258"/>
    </row>
    <row r="65" spans="1:40" ht="15" hidden="1" thickBot="1" x14ac:dyDescent="0.4">
      <c r="A65" s="305" t="s">
        <v>277</v>
      </c>
      <c r="B65" s="34" t="s">
        <v>131</v>
      </c>
      <c r="C65" s="243" t="s">
        <v>222</v>
      </c>
      <c r="D65" s="259" t="s">
        <v>278</v>
      </c>
      <c r="E65" s="260" t="s">
        <v>279</v>
      </c>
      <c r="F65" s="34" t="s">
        <v>87</v>
      </c>
      <c r="G65" s="34" t="s">
        <v>87</v>
      </c>
      <c r="H65" s="258"/>
      <c r="I65" s="43"/>
      <c r="J65" s="34"/>
      <c r="K65" s="34" t="s">
        <v>89</v>
      </c>
      <c r="L65" s="34" t="s">
        <v>90</v>
      </c>
      <c r="M65" s="34" t="s">
        <v>91</v>
      </c>
      <c r="N65" s="34" t="s">
        <v>120</v>
      </c>
      <c r="O65" s="34"/>
      <c r="P65" s="258"/>
      <c r="Q65" s="41" t="s">
        <v>94</v>
      </c>
      <c r="R65" s="34"/>
      <c r="S65" s="41"/>
      <c r="T65" s="41"/>
      <c r="U65" s="34"/>
      <c r="V65" s="34"/>
      <c r="W65" s="34"/>
      <c r="X65" s="34" t="s">
        <v>94</v>
      </c>
      <c r="Y65" s="34"/>
      <c r="Z65" s="41" t="s">
        <v>94</v>
      </c>
      <c r="AA65" s="41" t="s">
        <v>94</v>
      </c>
      <c r="AB65" s="41" t="s">
        <v>94</v>
      </c>
      <c r="AC65" s="41" t="s">
        <v>94</v>
      </c>
      <c r="AD65" s="41" t="s">
        <v>94</v>
      </c>
      <c r="AE65" s="41" t="s">
        <v>94</v>
      </c>
      <c r="AF65" s="41" t="s">
        <v>94</v>
      </c>
      <c r="AG65" s="41" t="s">
        <v>94</v>
      </c>
      <c r="AH65" s="34" t="s">
        <v>94</v>
      </c>
      <c r="AI65" s="41" t="s">
        <v>94</v>
      </c>
      <c r="AJ65" s="34" t="s">
        <v>94</v>
      </c>
      <c r="AK65" s="34" t="s">
        <v>94</v>
      </c>
      <c r="AL65" s="41" t="s">
        <v>94</v>
      </c>
      <c r="AM65" s="34" t="s">
        <v>94</v>
      </c>
      <c r="AN65" s="258"/>
    </row>
    <row r="66" spans="1:40" ht="15" hidden="1" thickBot="1" x14ac:dyDescent="0.4">
      <c r="A66" s="305" t="s">
        <v>280</v>
      </c>
      <c r="B66" s="34" t="s">
        <v>131</v>
      </c>
      <c r="C66" s="243" t="s">
        <v>222</v>
      </c>
      <c r="D66" s="259" t="s">
        <v>281</v>
      </c>
      <c r="E66" s="260" t="s">
        <v>282</v>
      </c>
      <c r="F66" s="34" t="s">
        <v>87</v>
      </c>
      <c r="G66" s="34" t="s">
        <v>87</v>
      </c>
      <c r="H66" s="258"/>
      <c r="I66" s="43"/>
      <c r="J66" s="34"/>
      <c r="K66" s="34" t="s">
        <v>89</v>
      </c>
      <c r="L66" s="34" t="s">
        <v>90</v>
      </c>
      <c r="M66" s="34" t="s">
        <v>91</v>
      </c>
      <c r="N66" s="34" t="s">
        <v>120</v>
      </c>
      <c r="O66" s="34"/>
      <c r="P66" s="258"/>
      <c r="Q66" s="41" t="s">
        <v>94</v>
      </c>
      <c r="R66" s="34"/>
      <c r="S66" s="41"/>
      <c r="T66" s="41"/>
      <c r="U66" s="34"/>
      <c r="V66" s="34"/>
      <c r="W66" s="34"/>
      <c r="X66" s="34" t="s">
        <v>94</v>
      </c>
      <c r="Y66" s="34"/>
      <c r="Z66" s="41" t="s">
        <v>94</v>
      </c>
      <c r="AA66" s="41" t="s">
        <v>94</v>
      </c>
      <c r="AB66" s="41" t="s">
        <v>94</v>
      </c>
      <c r="AC66" s="41" t="s">
        <v>94</v>
      </c>
      <c r="AD66" s="41" t="s">
        <v>94</v>
      </c>
      <c r="AE66" s="41" t="s">
        <v>94</v>
      </c>
      <c r="AF66" s="41" t="s">
        <v>94</v>
      </c>
      <c r="AG66" s="41" t="s">
        <v>94</v>
      </c>
      <c r="AH66" s="34" t="s">
        <v>94</v>
      </c>
      <c r="AI66" s="41" t="s">
        <v>94</v>
      </c>
      <c r="AJ66" s="34" t="s">
        <v>94</v>
      </c>
      <c r="AK66" s="34" t="s">
        <v>94</v>
      </c>
      <c r="AL66" s="41" t="s">
        <v>94</v>
      </c>
      <c r="AM66" s="34" t="s">
        <v>94</v>
      </c>
      <c r="AN66" s="258"/>
    </row>
    <row r="67" spans="1:40" ht="15" hidden="1" thickBot="1" x14ac:dyDescent="0.4">
      <c r="A67" s="305" t="s">
        <v>283</v>
      </c>
      <c r="B67" s="34" t="s">
        <v>131</v>
      </c>
      <c r="C67" s="243" t="s">
        <v>222</v>
      </c>
      <c r="D67" s="259" t="s">
        <v>284</v>
      </c>
      <c r="E67" s="260" t="s">
        <v>285</v>
      </c>
      <c r="F67" s="34" t="s">
        <v>87</v>
      </c>
      <c r="G67" s="34" t="s">
        <v>87</v>
      </c>
      <c r="H67" s="258"/>
      <c r="I67" s="43"/>
      <c r="J67" s="34"/>
      <c r="K67" s="34" t="s">
        <v>89</v>
      </c>
      <c r="L67" s="34" t="s">
        <v>90</v>
      </c>
      <c r="M67" s="34" t="s">
        <v>91</v>
      </c>
      <c r="N67" s="34" t="s">
        <v>120</v>
      </c>
      <c r="O67" s="34"/>
      <c r="P67" s="258"/>
      <c r="Q67" s="41" t="s">
        <v>94</v>
      </c>
      <c r="R67" s="34"/>
      <c r="S67" s="41"/>
      <c r="T67" s="41"/>
      <c r="U67" s="34"/>
      <c r="V67" s="34"/>
      <c r="W67" s="34"/>
      <c r="X67" s="34" t="s">
        <v>94</v>
      </c>
      <c r="Y67" s="34"/>
      <c r="Z67" s="41" t="s">
        <v>94</v>
      </c>
      <c r="AA67" s="41" t="s">
        <v>94</v>
      </c>
      <c r="AB67" s="41" t="s">
        <v>94</v>
      </c>
      <c r="AC67" s="41" t="s">
        <v>94</v>
      </c>
      <c r="AD67" s="41" t="s">
        <v>94</v>
      </c>
      <c r="AE67" s="41" t="s">
        <v>94</v>
      </c>
      <c r="AF67" s="41" t="s">
        <v>94</v>
      </c>
      <c r="AG67" s="41" t="s">
        <v>94</v>
      </c>
      <c r="AH67" s="34" t="s">
        <v>94</v>
      </c>
      <c r="AI67" s="41" t="s">
        <v>94</v>
      </c>
      <c r="AJ67" s="34" t="s">
        <v>94</v>
      </c>
      <c r="AK67" s="34" t="s">
        <v>94</v>
      </c>
      <c r="AL67" s="41" t="s">
        <v>94</v>
      </c>
      <c r="AM67" s="34" t="s">
        <v>94</v>
      </c>
      <c r="AN67" s="258"/>
    </row>
    <row r="68" spans="1:40" ht="15" hidden="1" thickBot="1" x14ac:dyDescent="0.4">
      <c r="A68" s="305" t="s">
        <v>286</v>
      </c>
      <c r="B68" s="34" t="s">
        <v>131</v>
      </c>
      <c r="C68" s="243" t="s">
        <v>222</v>
      </c>
      <c r="D68" s="259" t="s">
        <v>287</v>
      </c>
      <c r="E68" s="260" t="s">
        <v>288</v>
      </c>
      <c r="F68" s="34" t="s">
        <v>87</v>
      </c>
      <c r="G68" s="34" t="s">
        <v>87</v>
      </c>
      <c r="H68" s="258"/>
      <c r="I68" s="43"/>
      <c r="J68" s="34"/>
      <c r="K68" s="34" t="s">
        <v>89</v>
      </c>
      <c r="L68" s="34" t="s">
        <v>90</v>
      </c>
      <c r="M68" s="34" t="s">
        <v>91</v>
      </c>
      <c r="N68" s="34" t="s">
        <v>120</v>
      </c>
      <c r="O68" s="34"/>
      <c r="P68" s="258"/>
      <c r="Q68" s="41" t="s">
        <v>94</v>
      </c>
      <c r="R68" s="34"/>
      <c r="S68" s="41"/>
      <c r="T68" s="41"/>
      <c r="U68" s="34"/>
      <c r="V68" s="34"/>
      <c r="W68" s="34"/>
      <c r="X68" s="34" t="s">
        <v>94</v>
      </c>
      <c r="Y68" s="34"/>
      <c r="Z68" s="41" t="s">
        <v>94</v>
      </c>
      <c r="AA68" s="41" t="s">
        <v>94</v>
      </c>
      <c r="AB68" s="41" t="s">
        <v>94</v>
      </c>
      <c r="AC68" s="41" t="s">
        <v>94</v>
      </c>
      <c r="AD68" s="41" t="s">
        <v>94</v>
      </c>
      <c r="AE68" s="41" t="s">
        <v>94</v>
      </c>
      <c r="AF68" s="41" t="s">
        <v>94</v>
      </c>
      <c r="AG68" s="41" t="s">
        <v>94</v>
      </c>
      <c r="AH68" s="34" t="s">
        <v>94</v>
      </c>
      <c r="AI68" s="41" t="s">
        <v>94</v>
      </c>
      <c r="AJ68" s="34" t="s">
        <v>94</v>
      </c>
      <c r="AK68" s="34" t="s">
        <v>94</v>
      </c>
      <c r="AL68" s="41" t="s">
        <v>94</v>
      </c>
      <c r="AM68" s="34" t="s">
        <v>94</v>
      </c>
      <c r="AN68" s="258"/>
    </row>
    <row r="69" spans="1:40" ht="15" hidden="1" thickBot="1" x14ac:dyDescent="0.4">
      <c r="A69" s="305" t="s">
        <v>289</v>
      </c>
      <c r="B69" s="34" t="s">
        <v>131</v>
      </c>
      <c r="C69" s="243" t="s">
        <v>222</v>
      </c>
      <c r="D69" s="259" t="s">
        <v>290</v>
      </c>
      <c r="E69" s="260" t="s">
        <v>291</v>
      </c>
      <c r="F69" s="34" t="s">
        <v>87</v>
      </c>
      <c r="G69" s="34" t="s">
        <v>87</v>
      </c>
      <c r="H69" s="258"/>
      <c r="I69" s="43"/>
      <c r="J69" s="34"/>
      <c r="K69" s="34" t="s">
        <v>89</v>
      </c>
      <c r="L69" s="34" t="s">
        <v>90</v>
      </c>
      <c r="M69" s="34" t="s">
        <v>91</v>
      </c>
      <c r="N69" s="34" t="s">
        <v>120</v>
      </c>
      <c r="O69" s="34"/>
      <c r="P69" s="258"/>
      <c r="Q69" s="41" t="s">
        <v>94</v>
      </c>
      <c r="R69" s="34"/>
      <c r="S69" s="41"/>
      <c r="T69" s="41"/>
      <c r="U69" s="34"/>
      <c r="V69" s="34"/>
      <c r="W69" s="34"/>
      <c r="X69" s="34" t="s">
        <v>94</v>
      </c>
      <c r="Y69" s="34"/>
      <c r="Z69" s="41" t="s">
        <v>94</v>
      </c>
      <c r="AA69" s="41" t="s">
        <v>94</v>
      </c>
      <c r="AB69" s="41" t="s">
        <v>94</v>
      </c>
      <c r="AC69" s="41" t="s">
        <v>94</v>
      </c>
      <c r="AD69" s="41" t="s">
        <v>94</v>
      </c>
      <c r="AE69" s="41" t="s">
        <v>94</v>
      </c>
      <c r="AF69" s="41" t="s">
        <v>94</v>
      </c>
      <c r="AG69" s="41" t="s">
        <v>94</v>
      </c>
      <c r="AH69" s="34" t="s">
        <v>94</v>
      </c>
      <c r="AI69" s="41" t="s">
        <v>94</v>
      </c>
      <c r="AJ69" s="34" t="s">
        <v>94</v>
      </c>
      <c r="AK69" s="34" t="s">
        <v>94</v>
      </c>
      <c r="AL69" s="41" t="s">
        <v>94</v>
      </c>
      <c r="AM69" s="34" t="s">
        <v>94</v>
      </c>
      <c r="AN69" s="258"/>
    </row>
    <row r="70" spans="1:40" ht="15" hidden="1" thickBot="1" x14ac:dyDescent="0.4">
      <c r="A70" s="305" t="s">
        <v>292</v>
      </c>
      <c r="B70" s="34" t="s">
        <v>131</v>
      </c>
      <c r="C70" s="243" t="s">
        <v>222</v>
      </c>
      <c r="D70" s="259" t="s">
        <v>293</v>
      </c>
      <c r="E70" s="260" t="s">
        <v>294</v>
      </c>
      <c r="F70" s="34" t="s">
        <v>87</v>
      </c>
      <c r="G70" s="34" t="s">
        <v>87</v>
      </c>
      <c r="H70" s="258"/>
      <c r="I70" s="43"/>
      <c r="J70" s="34"/>
      <c r="K70" s="34" t="s">
        <v>295</v>
      </c>
      <c r="L70" s="34" t="s">
        <v>90</v>
      </c>
      <c r="M70" s="34" t="s">
        <v>91</v>
      </c>
      <c r="N70" s="34" t="s">
        <v>120</v>
      </c>
      <c r="O70" s="34"/>
      <c r="P70" s="258"/>
      <c r="Q70" s="41" t="s">
        <v>94</v>
      </c>
      <c r="R70" s="34"/>
      <c r="S70" s="41"/>
      <c r="T70" s="41"/>
      <c r="U70" s="34"/>
      <c r="V70" s="34"/>
      <c r="W70" s="34"/>
      <c r="X70" s="34" t="s">
        <v>94</v>
      </c>
      <c r="Y70" s="34"/>
      <c r="Z70" s="41" t="s">
        <v>94</v>
      </c>
      <c r="AA70" s="41" t="s">
        <v>94</v>
      </c>
      <c r="AB70" s="41" t="s">
        <v>94</v>
      </c>
      <c r="AC70" s="41" t="s">
        <v>94</v>
      </c>
      <c r="AD70" s="41" t="s">
        <v>94</v>
      </c>
      <c r="AE70" s="41" t="s">
        <v>94</v>
      </c>
      <c r="AF70" s="41" t="s">
        <v>94</v>
      </c>
      <c r="AG70" s="41" t="s">
        <v>94</v>
      </c>
      <c r="AH70" s="34" t="s">
        <v>94</v>
      </c>
      <c r="AI70" s="41" t="s">
        <v>94</v>
      </c>
      <c r="AJ70" s="34" t="s">
        <v>94</v>
      </c>
      <c r="AK70" s="34" t="s">
        <v>94</v>
      </c>
      <c r="AL70" s="41" t="s">
        <v>94</v>
      </c>
      <c r="AM70" s="34" t="s">
        <v>94</v>
      </c>
      <c r="AN70" s="258"/>
    </row>
    <row r="71" spans="1:40" ht="15" hidden="1" thickBot="1" x14ac:dyDescent="0.4">
      <c r="A71" s="305" t="s">
        <v>296</v>
      </c>
      <c r="B71" s="34" t="s">
        <v>131</v>
      </c>
      <c r="C71" s="243" t="s">
        <v>222</v>
      </c>
      <c r="D71" s="259" t="s">
        <v>297</v>
      </c>
      <c r="E71" s="260" t="s">
        <v>298</v>
      </c>
      <c r="F71" s="34" t="s">
        <v>87</v>
      </c>
      <c r="G71" s="34" t="s">
        <v>87</v>
      </c>
      <c r="H71" s="258"/>
      <c r="I71" s="43"/>
      <c r="J71" s="34"/>
      <c r="K71" s="34" t="s">
        <v>89</v>
      </c>
      <c r="L71" s="34" t="s">
        <v>90</v>
      </c>
      <c r="M71" s="34" t="s">
        <v>91</v>
      </c>
      <c r="N71" s="34" t="s">
        <v>120</v>
      </c>
      <c r="O71" s="34"/>
      <c r="P71" s="258"/>
      <c r="Q71" s="41" t="s">
        <v>94</v>
      </c>
      <c r="R71" s="34"/>
      <c r="S71" s="41"/>
      <c r="T71" s="41"/>
      <c r="U71" s="34"/>
      <c r="V71" s="34"/>
      <c r="W71" s="34"/>
      <c r="X71" s="34" t="s">
        <v>94</v>
      </c>
      <c r="Y71" s="34"/>
      <c r="Z71" s="41" t="s">
        <v>94</v>
      </c>
      <c r="AA71" s="41" t="s">
        <v>94</v>
      </c>
      <c r="AB71" s="41" t="s">
        <v>94</v>
      </c>
      <c r="AC71" s="41" t="s">
        <v>94</v>
      </c>
      <c r="AD71" s="41" t="s">
        <v>94</v>
      </c>
      <c r="AE71" s="41" t="s">
        <v>94</v>
      </c>
      <c r="AF71" s="41" t="s">
        <v>94</v>
      </c>
      <c r="AG71" s="41" t="s">
        <v>94</v>
      </c>
      <c r="AH71" s="34" t="s">
        <v>94</v>
      </c>
      <c r="AI71" s="41" t="s">
        <v>94</v>
      </c>
      <c r="AJ71" s="34" t="s">
        <v>94</v>
      </c>
      <c r="AK71" s="34" t="s">
        <v>94</v>
      </c>
      <c r="AL71" s="41" t="s">
        <v>94</v>
      </c>
      <c r="AM71" s="34" t="s">
        <v>94</v>
      </c>
      <c r="AN71" s="258"/>
    </row>
    <row r="72" spans="1:40" ht="15" hidden="1" thickBot="1" x14ac:dyDescent="0.4">
      <c r="A72" s="305" t="s">
        <v>299</v>
      </c>
      <c r="B72" s="34" t="s">
        <v>131</v>
      </c>
      <c r="C72" s="243" t="s">
        <v>222</v>
      </c>
      <c r="D72" s="259" t="s">
        <v>300</v>
      </c>
      <c r="E72" s="260" t="s">
        <v>301</v>
      </c>
      <c r="F72" s="34" t="s">
        <v>87</v>
      </c>
      <c r="G72" s="34" t="s">
        <v>87</v>
      </c>
      <c r="H72" s="258"/>
      <c r="I72" s="43"/>
      <c r="J72" s="34"/>
      <c r="K72" s="34" t="s">
        <v>89</v>
      </c>
      <c r="L72" s="34" t="s">
        <v>90</v>
      </c>
      <c r="M72" s="34" t="s">
        <v>91</v>
      </c>
      <c r="N72" s="34" t="s">
        <v>120</v>
      </c>
      <c r="O72" s="34"/>
      <c r="P72" s="258"/>
      <c r="Q72" s="41" t="s">
        <v>94</v>
      </c>
      <c r="R72" s="34"/>
      <c r="S72" s="41"/>
      <c r="T72" s="41"/>
      <c r="U72" s="34"/>
      <c r="V72" s="34"/>
      <c r="W72" s="34"/>
      <c r="X72" s="34" t="s">
        <v>94</v>
      </c>
      <c r="Y72" s="34"/>
      <c r="Z72" s="41" t="s">
        <v>94</v>
      </c>
      <c r="AA72" s="41" t="s">
        <v>94</v>
      </c>
      <c r="AB72" s="41" t="s">
        <v>94</v>
      </c>
      <c r="AC72" s="41" t="s">
        <v>94</v>
      </c>
      <c r="AD72" s="41" t="s">
        <v>94</v>
      </c>
      <c r="AE72" s="41" t="s">
        <v>94</v>
      </c>
      <c r="AF72" s="41" t="s">
        <v>94</v>
      </c>
      <c r="AG72" s="41" t="s">
        <v>94</v>
      </c>
      <c r="AH72" s="34" t="s">
        <v>94</v>
      </c>
      <c r="AI72" s="41" t="s">
        <v>94</v>
      </c>
      <c r="AJ72" s="34" t="s">
        <v>94</v>
      </c>
      <c r="AK72" s="34" t="s">
        <v>94</v>
      </c>
      <c r="AL72" s="41" t="s">
        <v>94</v>
      </c>
      <c r="AM72" s="34" t="s">
        <v>94</v>
      </c>
      <c r="AN72" s="258"/>
    </row>
    <row r="73" spans="1:40" ht="15" hidden="1" thickBot="1" x14ac:dyDescent="0.4">
      <c r="A73" s="305" t="s">
        <v>302</v>
      </c>
      <c r="B73" s="34" t="s">
        <v>131</v>
      </c>
      <c r="C73" s="243" t="s">
        <v>222</v>
      </c>
      <c r="D73" s="259" t="s">
        <v>303</v>
      </c>
      <c r="E73" s="260" t="s">
        <v>304</v>
      </c>
      <c r="F73" s="34" t="s">
        <v>87</v>
      </c>
      <c r="G73" s="34" t="s">
        <v>87</v>
      </c>
      <c r="H73" s="258"/>
      <c r="I73" s="43"/>
      <c r="J73" s="34"/>
      <c r="K73" s="34" t="s">
        <v>89</v>
      </c>
      <c r="L73" s="34" t="s">
        <v>90</v>
      </c>
      <c r="M73" s="34" t="s">
        <v>91</v>
      </c>
      <c r="N73" s="34" t="s">
        <v>120</v>
      </c>
      <c r="O73" s="34"/>
      <c r="P73" s="258"/>
      <c r="Q73" s="41" t="s">
        <v>94</v>
      </c>
      <c r="R73" s="34"/>
      <c r="S73" s="41"/>
      <c r="T73" s="41"/>
      <c r="U73" s="34"/>
      <c r="V73" s="34"/>
      <c r="W73" s="34"/>
      <c r="X73" s="34" t="s">
        <v>94</v>
      </c>
      <c r="Y73" s="34"/>
      <c r="Z73" s="41" t="s">
        <v>94</v>
      </c>
      <c r="AA73" s="41" t="s">
        <v>94</v>
      </c>
      <c r="AB73" s="41" t="s">
        <v>94</v>
      </c>
      <c r="AC73" s="41" t="s">
        <v>94</v>
      </c>
      <c r="AD73" s="41" t="s">
        <v>94</v>
      </c>
      <c r="AE73" s="41" t="s">
        <v>94</v>
      </c>
      <c r="AF73" s="41" t="s">
        <v>94</v>
      </c>
      <c r="AG73" s="41" t="s">
        <v>94</v>
      </c>
      <c r="AH73" s="34" t="s">
        <v>94</v>
      </c>
      <c r="AI73" s="41" t="s">
        <v>94</v>
      </c>
      <c r="AJ73" s="34" t="s">
        <v>94</v>
      </c>
      <c r="AK73" s="34" t="s">
        <v>94</v>
      </c>
      <c r="AL73" s="41" t="s">
        <v>94</v>
      </c>
      <c r="AM73" s="34" t="s">
        <v>94</v>
      </c>
      <c r="AN73" s="258"/>
    </row>
    <row r="74" spans="1:40" ht="15" hidden="1" thickBot="1" x14ac:dyDescent="0.4">
      <c r="A74" s="305" t="s">
        <v>305</v>
      </c>
      <c r="B74" s="34" t="s">
        <v>131</v>
      </c>
      <c r="C74" s="243" t="s">
        <v>222</v>
      </c>
      <c r="D74" s="259" t="s">
        <v>306</v>
      </c>
      <c r="E74" s="260" t="s">
        <v>307</v>
      </c>
      <c r="F74" s="34" t="s">
        <v>87</v>
      </c>
      <c r="G74" s="34" t="s">
        <v>87</v>
      </c>
      <c r="H74" s="258"/>
      <c r="I74" s="43"/>
      <c r="J74" s="34"/>
      <c r="K74" s="34" t="s">
        <v>89</v>
      </c>
      <c r="L74" s="34" t="s">
        <v>90</v>
      </c>
      <c r="M74" s="34" t="s">
        <v>91</v>
      </c>
      <c r="N74" s="34" t="s">
        <v>120</v>
      </c>
      <c r="O74" s="34"/>
      <c r="P74" s="258"/>
      <c r="Q74" s="41" t="s">
        <v>94</v>
      </c>
      <c r="R74" s="34"/>
      <c r="S74" s="41"/>
      <c r="T74" s="41"/>
      <c r="U74" s="34"/>
      <c r="V74" s="34"/>
      <c r="W74" s="34"/>
      <c r="X74" s="34" t="s">
        <v>94</v>
      </c>
      <c r="Y74" s="34"/>
      <c r="Z74" s="41" t="s">
        <v>94</v>
      </c>
      <c r="AA74" s="41" t="s">
        <v>94</v>
      </c>
      <c r="AB74" s="41" t="s">
        <v>94</v>
      </c>
      <c r="AC74" s="41" t="s">
        <v>94</v>
      </c>
      <c r="AD74" s="41" t="s">
        <v>94</v>
      </c>
      <c r="AE74" s="41" t="s">
        <v>94</v>
      </c>
      <c r="AF74" s="41" t="s">
        <v>94</v>
      </c>
      <c r="AG74" s="41" t="s">
        <v>94</v>
      </c>
      <c r="AH74" s="34" t="s">
        <v>94</v>
      </c>
      <c r="AI74" s="41" t="s">
        <v>94</v>
      </c>
      <c r="AJ74" s="34" t="s">
        <v>94</v>
      </c>
      <c r="AK74" s="34" t="s">
        <v>94</v>
      </c>
      <c r="AL74" s="41" t="s">
        <v>94</v>
      </c>
      <c r="AM74" s="34" t="s">
        <v>94</v>
      </c>
      <c r="AN74" s="258"/>
    </row>
    <row r="75" spans="1:40" ht="15" hidden="1" thickBot="1" x14ac:dyDescent="0.4">
      <c r="A75" s="305" t="s">
        <v>308</v>
      </c>
      <c r="B75" s="34" t="s">
        <v>131</v>
      </c>
      <c r="C75" s="243" t="s">
        <v>222</v>
      </c>
      <c r="D75" s="259" t="s">
        <v>309</v>
      </c>
      <c r="E75" s="260" t="s">
        <v>310</v>
      </c>
      <c r="F75" s="34" t="s">
        <v>87</v>
      </c>
      <c r="G75" s="34" t="s">
        <v>87</v>
      </c>
      <c r="H75" s="258"/>
      <c r="I75" s="43"/>
      <c r="J75" s="34"/>
      <c r="K75" s="34" t="s">
        <v>89</v>
      </c>
      <c r="L75" s="34" t="s">
        <v>90</v>
      </c>
      <c r="M75" s="34" t="s">
        <v>91</v>
      </c>
      <c r="N75" s="34" t="s">
        <v>120</v>
      </c>
      <c r="O75" s="34"/>
      <c r="P75" s="258"/>
      <c r="Q75" s="41" t="s">
        <v>94</v>
      </c>
      <c r="R75" s="34"/>
      <c r="S75" s="41"/>
      <c r="T75" s="41"/>
      <c r="U75" s="34"/>
      <c r="V75" s="34"/>
      <c r="W75" s="34"/>
      <c r="X75" s="34" t="s">
        <v>94</v>
      </c>
      <c r="Y75" s="34"/>
      <c r="Z75" s="41" t="s">
        <v>94</v>
      </c>
      <c r="AA75" s="41" t="s">
        <v>94</v>
      </c>
      <c r="AB75" s="41" t="s">
        <v>94</v>
      </c>
      <c r="AC75" s="41" t="s">
        <v>94</v>
      </c>
      <c r="AD75" s="41" t="s">
        <v>94</v>
      </c>
      <c r="AE75" s="41" t="s">
        <v>94</v>
      </c>
      <c r="AF75" s="41" t="s">
        <v>94</v>
      </c>
      <c r="AG75" s="41" t="s">
        <v>94</v>
      </c>
      <c r="AH75" s="34" t="s">
        <v>94</v>
      </c>
      <c r="AI75" s="41" t="s">
        <v>94</v>
      </c>
      <c r="AJ75" s="34" t="s">
        <v>94</v>
      </c>
      <c r="AK75" s="34" t="s">
        <v>94</v>
      </c>
      <c r="AL75" s="41" t="s">
        <v>94</v>
      </c>
      <c r="AM75" s="34" t="s">
        <v>94</v>
      </c>
      <c r="AN75" s="258"/>
    </row>
    <row r="76" spans="1:40" ht="15" hidden="1" thickBot="1" x14ac:dyDescent="0.4">
      <c r="A76" s="305" t="s">
        <v>311</v>
      </c>
      <c r="B76" s="34" t="s">
        <v>131</v>
      </c>
      <c r="C76" s="243" t="s">
        <v>222</v>
      </c>
      <c r="D76" s="259" t="s">
        <v>312</v>
      </c>
      <c r="E76" s="260" t="s">
        <v>313</v>
      </c>
      <c r="F76" s="34" t="s">
        <v>87</v>
      </c>
      <c r="G76" s="34" t="s">
        <v>87</v>
      </c>
      <c r="H76" s="258"/>
      <c r="I76" s="43"/>
      <c r="J76" s="34"/>
      <c r="K76" s="34" t="s">
        <v>89</v>
      </c>
      <c r="L76" s="34" t="s">
        <v>90</v>
      </c>
      <c r="M76" s="34" t="s">
        <v>91</v>
      </c>
      <c r="N76" s="34" t="s">
        <v>120</v>
      </c>
      <c r="O76" s="34"/>
      <c r="P76" s="258"/>
      <c r="Q76" s="41" t="s">
        <v>94</v>
      </c>
      <c r="R76" s="34"/>
      <c r="S76" s="41"/>
      <c r="T76" s="41"/>
      <c r="U76" s="34"/>
      <c r="V76" s="34"/>
      <c r="W76" s="34"/>
      <c r="X76" s="34" t="s">
        <v>94</v>
      </c>
      <c r="Y76" s="34"/>
      <c r="Z76" s="41" t="s">
        <v>94</v>
      </c>
      <c r="AA76" s="41" t="s">
        <v>94</v>
      </c>
      <c r="AB76" s="41" t="s">
        <v>94</v>
      </c>
      <c r="AC76" s="41" t="s">
        <v>94</v>
      </c>
      <c r="AD76" s="41" t="s">
        <v>94</v>
      </c>
      <c r="AE76" s="41" t="s">
        <v>94</v>
      </c>
      <c r="AF76" s="41" t="s">
        <v>94</v>
      </c>
      <c r="AG76" s="41" t="s">
        <v>94</v>
      </c>
      <c r="AH76" s="34" t="s">
        <v>94</v>
      </c>
      <c r="AI76" s="41" t="s">
        <v>94</v>
      </c>
      <c r="AJ76" s="34" t="s">
        <v>94</v>
      </c>
      <c r="AK76" s="34" t="s">
        <v>94</v>
      </c>
      <c r="AL76" s="41" t="s">
        <v>94</v>
      </c>
      <c r="AM76" s="34" t="s">
        <v>94</v>
      </c>
      <c r="AN76" s="258"/>
    </row>
    <row r="77" spans="1:40" ht="15" hidden="1" thickBot="1" x14ac:dyDescent="0.4">
      <c r="A77" s="305" t="s">
        <v>314</v>
      </c>
      <c r="B77" s="34" t="s">
        <v>131</v>
      </c>
      <c r="C77" s="243" t="s">
        <v>222</v>
      </c>
      <c r="D77" s="259" t="s">
        <v>315</v>
      </c>
      <c r="E77" s="260" t="s">
        <v>316</v>
      </c>
      <c r="F77" s="34" t="s">
        <v>87</v>
      </c>
      <c r="G77" s="34" t="s">
        <v>87</v>
      </c>
      <c r="H77" s="258"/>
      <c r="I77" s="43"/>
      <c r="J77" s="34"/>
      <c r="K77" s="34" t="s">
        <v>89</v>
      </c>
      <c r="L77" s="34" t="s">
        <v>90</v>
      </c>
      <c r="M77" s="34" t="s">
        <v>91</v>
      </c>
      <c r="N77" s="34" t="s">
        <v>120</v>
      </c>
      <c r="O77" s="34"/>
      <c r="P77" s="258"/>
      <c r="Q77" s="41" t="s">
        <v>94</v>
      </c>
      <c r="R77" s="34"/>
      <c r="S77" s="41"/>
      <c r="T77" s="41"/>
      <c r="U77" s="34"/>
      <c r="V77" s="34"/>
      <c r="W77" s="34"/>
      <c r="X77" s="34" t="s">
        <v>94</v>
      </c>
      <c r="Y77" s="34"/>
      <c r="Z77" s="41" t="s">
        <v>94</v>
      </c>
      <c r="AA77" s="41" t="s">
        <v>94</v>
      </c>
      <c r="AB77" s="41" t="s">
        <v>94</v>
      </c>
      <c r="AC77" s="41" t="s">
        <v>94</v>
      </c>
      <c r="AD77" s="41" t="s">
        <v>94</v>
      </c>
      <c r="AE77" s="41" t="s">
        <v>94</v>
      </c>
      <c r="AF77" s="41" t="s">
        <v>94</v>
      </c>
      <c r="AG77" s="41" t="s">
        <v>94</v>
      </c>
      <c r="AH77" s="34" t="s">
        <v>94</v>
      </c>
      <c r="AI77" s="41" t="s">
        <v>94</v>
      </c>
      <c r="AJ77" s="34" t="s">
        <v>94</v>
      </c>
      <c r="AK77" s="34" t="s">
        <v>94</v>
      </c>
      <c r="AL77" s="41" t="s">
        <v>94</v>
      </c>
      <c r="AM77" s="34" t="s">
        <v>94</v>
      </c>
      <c r="AN77" s="258"/>
    </row>
    <row r="78" spans="1:40" ht="15" hidden="1" thickBot="1" x14ac:dyDescent="0.4">
      <c r="A78" s="305" t="s">
        <v>317</v>
      </c>
      <c r="B78" s="34" t="s">
        <v>131</v>
      </c>
      <c r="C78" s="243" t="s">
        <v>222</v>
      </c>
      <c r="D78" s="259" t="s">
        <v>318</v>
      </c>
      <c r="E78" s="260" t="s">
        <v>319</v>
      </c>
      <c r="F78" s="34" t="s">
        <v>87</v>
      </c>
      <c r="G78" s="34" t="s">
        <v>87</v>
      </c>
      <c r="H78" s="258"/>
      <c r="I78" s="43"/>
      <c r="J78" s="34"/>
      <c r="K78" s="34" t="s">
        <v>89</v>
      </c>
      <c r="L78" s="34" t="s">
        <v>90</v>
      </c>
      <c r="M78" s="34" t="s">
        <v>91</v>
      </c>
      <c r="N78" s="34" t="s">
        <v>120</v>
      </c>
      <c r="O78" s="34"/>
      <c r="P78" s="258"/>
      <c r="Q78" s="41" t="s">
        <v>94</v>
      </c>
      <c r="R78" s="34"/>
      <c r="S78" s="41"/>
      <c r="T78" s="41"/>
      <c r="U78" s="34"/>
      <c r="V78" s="34"/>
      <c r="W78" s="34"/>
      <c r="X78" s="34" t="s">
        <v>94</v>
      </c>
      <c r="Y78" s="34"/>
      <c r="Z78" s="41" t="s">
        <v>94</v>
      </c>
      <c r="AA78" s="41" t="s">
        <v>94</v>
      </c>
      <c r="AB78" s="41" t="s">
        <v>94</v>
      </c>
      <c r="AC78" s="41" t="s">
        <v>94</v>
      </c>
      <c r="AD78" s="41" t="s">
        <v>94</v>
      </c>
      <c r="AE78" s="41" t="s">
        <v>94</v>
      </c>
      <c r="AF78" s="41" t="s">
        <v>94</v>
      </c>
      <c r="AG78" s="41" t="s">
        <v>94</v>
      </c>
      <c r="AH78" s="34" t="s">
        <v>94</v>
      </c>
      <c r="AI78" s="41" t="s">
        <v>94</v>
      </c>
      <c r="AJ78" s="34" t="s">
        <v>94</v>
      </c>
      <c r="AK78" s="34" t="s">
        <v>94</v>
      </c>
      <c r="AL78" s="41" t="s">
        <v>94</v>
      </c>
      <c r="AM78" s="34" t="s">
        <v>94</v>
      </c>
      <c r="AN78" s="258"/>
    </row>
    <row r="79" spans="1:40" ht="15" hidden="1" thickBot="1" x14ac:dyDescent="0.4">
      <c r="A79" s="305" t="s">
        <v>320</v>
      </c>
      <c r="B79" s="34" t="s">
        <v>131</v>
      </c>
      <c r="C79" s="243" t="s">
        <v>222</v>
      </c>
      <c r="D79" s="259" t="s">
        <v>321</v>
      </c>
      <c r="E79" s="260" t="s">
        <v>322</v>
      </c>
      <c r="F79" s="34" t="s">
        <v>87</v>
      </c>
      <c r="G79" s="34" t="s">
        <v>87</v>
      </c>
      <c r="H79" s="258"/>
      <c r="I79" s="43"/>
      <c r="J79" s="34"/>
      <c r="K79" s="34" t="s">
        <v>89</v>
      </c>
      <c r="L79" s="34" t="s">
        <v>90</v>
      </c>
      <c r="M79" s="34" t="s">
        <v>91</v>
      </c>
      <c r="N79" s="34" t="s">
        <v>120</v>
      </c>
      <c r="O79" s="34"/>
      <c r="P79" s="258"/>
      <c r="Q79" s="41" t="s">
        <v>94</v>
      </c>
      <c r="R79" s="34"/>
      <c r="S79" s="41"/>
      <c r="T79" s="41"/>
      <c r="U79" s="34"/>
      <c r="V79" s="34"/>
      <c r="W79" s="34"/>
      <c r="X79" s="34" t="s">
        <v>94</v>
      </c>
      <c r="Y79" s="34"/>
      <c r="Z79" s="41" t="s">
        <v>94</v>
      </c>
      <c r="AA79" s="41" t="s">
        <v>94</v>
      </c>
      <c r="AB79" s="41" t="s">
        <v>94</v>
      </c>
      <c r="AC79" s="41" t="s">
        <v>94</v>
      </c>
      <c r="AD79" s="41" t="s">
        <v>94</v>
      </c>
      <c r="AE79" s="41" t="s">
        <v>94</v>
      </c>
      <c r="AF79" s="41" t="s">
        <v>94</v>
      </c>
      <c r="AG79" s="41" t="s">
        <v>94</v>
      </c>
      <c r="AH79" s="34" t="s">
        <v>94</v>
      </c>
      <c r="AI79" s="41" t="s">
        <v>94</v>
      </c>
      <c r="AJ79" s="34" t="s">
        <v>94</v>
      </c>
      <c r="AK79" s="34" t="s">
        <v>94</v>
      </c>
      <c r="AL79" s="41" t="s">
        <v>94</v>
      </c>
      <c r="AM79" s="34" t="s">
        <v>94</v>
      </c>
      <c r="AN79" s="258"/>
    </row>
    <row r="80" spans="1:40" ht="15" hidden="1" thickBot="1" x14ac:dyDescent="0.4">
      <c r="A80" s="305" t="s">
        <v>323</v>
      </c>
      <c r="B80" s="34" t="s">
        <v>131</v>
      </c>
      <c r="C80" s="243" t="s">
        <v>222</v>
      </c>
      <c r="D80" s="259" t="s">
        <v>324</v>
      </c>
      <c r="E80" s="260" t="s">
        <v>325</v>
      </c>
      <c r="F80" s="34" t="s">
        <v>87</v>
      </c>
      <c r="G80" s="34" t="s">
        <v>87</v>
      </c>
      <c r="H80" s="258"/>
      <c r="I80" s="43"/>
      <c r="J80" s="34"/>
      <c r="K80" s="34" t="s">
        <v>89</v>
      </c>
      <c r="L80" s="34" t="s">
        <v>90</v>
      </c>
      <c r="M80" s="34" t="s">
        <v>91</v>
      </c>
      <c r="N80" s="34" t="s">
        <v>120</v>
      </c>
      <c r="O80" s="34"/>
      <c r="P80" s="258"/>
      <c r="Q80" s="41" t="s">
        <v>94</v>
      </c>
      <c r="R80" s="34"/>
      <c r="S80" s="41"/>
      <c r="T80" s="41"/>
      <c r="U80" s="34"/>
      <c r="V80" s="34"/>
      <c r="W80" s="34"/>
      <c r="X80" s="34" t="s">
        <v>94</v>
      </c>
      <c r="Y80" s="34"/>
      <c r="Z80" s="41" t="s">
        <v>94</v>
      </c>
      <c r="AA80" s="41" t="s">
        <v>94</v>
      </c>
      <c r="AB80" s="41" t="s">
        <v>94</v>
      </c>
      <c r="AC80" s="41" t="s">
        <v>94</v>
      </c>
      <c r="AD80" s="41" t="s">
        <v>94</v>
      </c>
      <c r="AE80" s="41" t="s">
        <v>94</v>
      </c>
      <c r="AF80" s="41" t="s">
        <v>94</v>
      </c>
      <c r="AG80" s="41" t="s">
        <v>94</v>
      </c>
      <c r="AH80" s="34" t="s">
        <v>94</v>
      </c>
      <c r="AI80" s="41" t="s">
        <v>94</v>
      </c>
      <c r="AJ80" s="34" t="s">
        <v>94</v>
      </c>
      <c r="AK80" s="34" t="s">
        <v>94</v>
      </c>
      <c r="AL80" s="41" t="s">
        <v>94</v>
      </c>
      <c r="AM80" s="34" t="s">
        <v>94</v>
      </c>
      <c r="AN80" s="258"/>
    </row>
    <row r="81" spans="1:40" ht="15" hidden="1" thickBot="1" x14ac:dyDescent="0.4">
      <c r="A81" s="305" t="s">
        <v>326</v>
      </c>
      <c r="B81" s="34" t="s">
        <v>131</v>
      </c>
      <c r="C81" s="243" t="s">
        <v>222</v>
      </c>
      <c r="D81" s="259" t="s">
        <v>327</v>
      </c>
      <c r="E81" s="260" t="s">
        <v>328</v>
      </c>
      <c r="F81" s="34" t="s">
        <v>87</v>
      </c>
      <c r="G81" s="34" t="s">
        <v>87</v>
      </c>
      <c r="H81" s="258"/>
      <c r="I81" s="43"/>
      <c r="J81" s="34"/>
      <c r="K81" s="34" t="s">
        <v>89</v>
      </c>
      <c r="L81" s="34" t="s">
        <v>90</v>
      </c>
      <c r="M81" s="34" t="s">
        <v>91</v>
      </c>
      <c r="N81" s="34" t="s">
        <v>120</v>
      </c>
      <c r="O81" s="34"/>
      <c r="P81" s="258"/>
      <c r="Q81" s="41" t="s">
        <v>94</v>
      </c>
      <c r="R81" s="34"/>
      <c r="S81" s="41"/>
      <c r="T81" s="41"/>
      <c r="U81" s="34"/>
      <c r="V81" s="34"/>
      <c r="W81" s="34"/>
      <c r="X81" s="34" t="s">
        <v>94</v>
      </c>
      <c r="Y81" s="34"/>
      <c r="Z81" s="41" t="s">
        <v>94</v>
      </c>
      <c r="AA81" s="41" t="s">
        <v>94</v>
      </c>
      <c r="AB81" s="41" t="s">
        <v>94</v>
      </c>
      <c r="AC81" s="41" t="s">
        <v>94</v>
      </c>
      <c r="AD81" s="41" t="s">
        <v>94</v>
      </c>
      <c r="AE81" s="41" t="s">
        <v>94</v>
      </c>
      <c r="AF81" s="41" t="s">
        <v>94</v>
      </c>
      <c r="AG81" s="41" t="s">
        <v>94</v>
      </c>
      <c r="AH81" s="34" t="s">
        <v>94</v>
      </c>
      <c r="AI81" s="41" t="s">
        <v>94</v>
      </c>
      <c r="AJ81" s="34" t="s">
        <v>94</v>
      </c>
      <c r="AK81" s="34" t="s">
        <v>94</v>
      </c>
      <c r="AL81" s="41" t="s">
        <v>94</v>
      </c>
      <c r="AM81" s="34" t="s">
        <v>94</v>
      </c>
      <c r="AN81" s="258"/>
    </row>
    <row r="82" spans="1:40" ht="15" hidden="1" thickBot="1" x14ac:dyDescent="0.4">
      <c r="A82" s="305" t="s">
        <v>329</v>
      </c>
      <c r="B82" s="34" t="s">
        <v>131</v>
      </c>
      <c r="C82" s="243" t="s">
        <v>222</v>
      </c>
      <c r="D82" s="259" t="s">
        <v>330</v>
      </c>
      <c r="E82" s="260" t="s">
        <v>331</v>
      </c>
      <c r="F82" s="34" t="s">
        <v>87</v>
      </c>
      <c r="G82" s="34" t="s">
        <v>87</v>
      </c>
      <c r="H82" s="258"/>
      <c r="I82" s="43"/>
      <c r="J82" s="34"/>
      <c r="K82" s="34" t="s">
        <v>89</v>
      </c>
      <c r="L82" s="34" t="s">
        <v>90</v>
      </c>
      <c r="M82" s="34" t="s">
        <v>91</v>
      </c>
      <c r="N82" s="34" t="s">
        <v>120</v>
      </c>
      <c r="O82" s="34"/>
      <c r="P82" s="258"/>
      <c r="Q82" s="41" t="s">
        <v>94</v>
      </c>
      <c r="R82" s="34"/>
      <c r="S82" s="41"/>
      <c r="T82" s="41"/>
      <c r="U82" s="34"/>
      <c r="V82" s="34"/>
      <c r="W82" s="34"/>
      <c r="X82" s="34" t="s">
        <v>94</v>
      </c>
      <c r="Y82" s="34"/>
      <c r="Z82" s="41" t="s">
        <v>94</v>
      </c>
      <c r="AA82" s="41" t="s">
        <v>94</v>
      </c>
      <c r="AB82" s="41" t="s">
        <v>94</v>
      </c>
      <c r="AC82" s="41" t="s">
        <v>94</v>
      </c>
      <c r="AD82" s="41" t="s">
        <v>94</v>
      </c>
      <c r="AE82" s="41" t="s">
        <v>94</v>
      </c>
      <c r="AF82" s="41" t="s">
        <v>94</v>
      </c>
      <c r="AG82" s="41" t="s">
        <v>94</v>
      </c>
      <c r="AH82" s="34" t="s">
        <v>94</v>
      </c>
      <c r="AI82" s="41" t="s">
        <v>94</v>
      </c>
      <c r="AJ82" s="34" t="s">
        <v>94</v>
      </c>
      <c r="AK82" s="34" t="s">
        <v>94</v>
      </c>
      <c r="AL82" s="41" t="s">
        <v>94</v>
      </c>
      <c r="AM82" s="34" t="s">
        <v>94</v>
      </c>
      <c r="AN82" s="258"/>
    </row>
    <row r="83" spans="1:40" ht="15" hidden="1" thickBot="1" x14ac:dyDescent="0.4">
      <c r="A83" s="305" t="s">
        <v>332</v>
      </c>
      <c r="B83" s="34" t="s">
        <v>131</v>
      </c>
      <c r="C83" s="243" t="s">
        <v>222</v>
      </c>
      <c r="D83" s="259" t="s">
        <v>333</v>
      </c>
      <c r="E83" s="260" t="s">
        <v>334</v>
      </c>
      <c r="F83" s="34" t="s">
        <v>87</v>
      </c>
      <c r="G83" s="34" t="s">
        <v>87</v>
      </c>
      <c r="H83" s="258"/>
      <c r="I83" s="43"/>
      <c r="J83" s="34"/>
      <c r="K83" s="34" t="s">
        <v>89</v>
      </c>
      <c r="L83" s="34" t="s">
        <v>90</v>
      </c>
      <c r="M83" s="34" t="s">
        <v>91</v>
      </c>
      <c r="N83" s="34" t="s">
        <v>120</v>
      </c>
      <c r="O83" s="34"/>
      <c r="P83" s="258"/>
      <c r="Q83" s="41" t="s">
        <v>94</v>
      </c>
      <c r="R83" s="34"/>
      <c r="S83" s="41"/>
      <c r="T83" s="41"/>
      <c r="U83" s="34"/>
      <c r="V83" s="34"/>
      <c r="W83" s="34"/>
      <c r="X83" s="34" t="s">
        <v>94</v>
      </c>
      <c r="Y83" s="34"/>
      <c r="Z83" s="41" t="s">
        <v>94</v>
      </c>
      <c r="AA83" s="41" t="s">
        <v>94</v>
      </c>
      <c r="AB83" s="41" t="s">
        <v>94</v>
      </c>
      <c r="AC83" s="41" t="s">
        <v>94</v>
      </c>
      <c r="AD83" s="41" t="s">
        <v>94</v>
      </c>
      <c r="AE83" s="41" t="s">
        <v>94</v>
      </c>
      <c r="AF83" s="41" t="s">
        <v>94</v>
      </c>
      <c r="AG83" s="41" t="s">
        <v>94</v>
      </c>
      <c r="AH83" s="34" t="s">
        <v>94</v>
      </c>
      <c r="AI83" s="41" t="s">
        <v>94</v>
      </c>
      <c r="AJ83" s="34" t="s">
        <v>94</v>
      </c>
      <c r="AK83" s="34" t="s">
        <v>94</v>
      </c>
      <c r="AL83" s="41" t="s">
        <v>94</v>
      </c>
      <c r="AM83" s="34" t="s">
        <v>94</v>
      </c>
      <c r="AN83" s="258"/>
    </row>
    <row r="84" spans="1:40" ht="15" hidden="1" thickBot="1" x14ac:dyDescent="0.4">
      <c r="A84" s="305" t="s">
        <v>335</v>
      </c>
      <c r="B84" s="34" t="s">
        <v>131</v>
      </c>
      <c r="C84" s="243" t="s">
        <v>222</v>
      </c>
      <c r="D84" s="259" t="s">
        <v>336</v>
      </c>
      <c r="E84" s="260" t="s">
        <v>337</v>
      </c>
      <c r="F84" s="34" t="s">
        <v>87</v>
      </c>
      <c r="G84" s="34" t="s">
        <v>87</v>
      </c>
      <c r="H84" s="258"/>
      <c r="I84" s="43"/>
      <c r="J84" s="34"/>
      <c r="K84" s="34" t="s">
        <v>89</v>
      </c>
      <c r="L84" s="34" t="s">
        <v>90</v>
      </c>
      <c r="M84" s="34" t="s">
        <v>91</v>
      </c>
      <c r="N84" s="34" t="s">
        <v>120</v>
      </c>
      <c r="O84" s="34"/>
      <c r="P84" s="258"/>
      <c r="Q84" s="41" t="s">
        <v>94</v>
      </c>
      <c r="R84" s="34"/>
      <c r="S84" s="41"/>
      <c r="T84" s="41"/>
      <c r="U84" s="34"/>
      <c r="V84" s="34"/>
      <c r="W84" s="34"/>
      <c r="X84" s="34" t="s">
        <v>94</v>
      </c>
      <c r="Y84" s="34"/>
      <c r="Z84" s="41" t="s">
        <v>94</v>
      </c>
      <c r="AA84" s="41" t="s">
        <v>94</v>
      </c>
      <c r="AB84" s="41" t="s">
        <v>94</v>
      </c>
      <c r="AC84" s="41" t="s">
        <v>94</v>
      </c>
      <c r="AD84" s="41" t="s">
        <v>94</v>
      </c>
      <c r="AE84" s="41" t="s">
        <v>94</v>
      </c>
      <c r="AF84" s="41" t="s">
        <v>94</v>
      </c>
      <c r="AG84" s="41" t="s">
        <v>94</v>
      </c>
      <c r="AH84" s="34" t="s">
        <v>94</v>
      </c>
      <c r="AI84" s="41" t="s">
        <v>94</v>
      </c>
      <c r="AJ84" s="34" t="s">
        <v>94</v>
      </c>
      <c r="AK84" s="34" t="s">
        <v>94</v>
      </c>
      <c r="AL84" s="41" t="s">
        <v>94</v>
      </c>
      <c r="AM84" s="34" t="s">
        <v>94</v>
      </c>
      <c r="AN84" s="258"/>
    </row>
    <row r="85" spans="1:40" ht="15" hidden="1" thickBot="1" x14ac:dyDescent="0.4">
      <c r="A85" s="305" t="s">
        <v>338</v>
      </c>
      <c r="B85" s="34" t="s">
        <v>131</v>
      </c>
      <c r="C85" s="243" t="s">
        <v>222</v>
      </c>
      <c r="D85" s="259" t="s">
        <v>339</v>
      </c>
      <c r="E85" s="260" t="s">
        <v>340</v>
      </c>
      <c r="F85" s="34" t="s">
        <v>87</v>
      </c>
      <c r="G85" s="34" t="s">
        <v>87</v>
      </c>
      <c r="H85" s="258"/>
      <c r="I85" s="43"/>
      <c r="J85" s="34"/>
      <c r="K85" s="34" t="s">
        <v>89</v>
      </c>
      <c r="L85" s="34" t="s">
        <v>90</v>
      </c>
      <c r="M85" s="34" t="s">
        <v>91</v>
      </c>
      <c r="N85" s="34" t="s">
        <v>120</v>
      </c>
      <c r="O85" s="34"/>
      <c r="P85" s="258"/>
      <c r="Q85" s="41" t="s">
        <v>94</v>
      </c>
      <c r="R85" s="34"/>
      <c r="S85" s="41"/>
      <c r="T85" s="41"/>
      <c r="U85" s="34"/>
      <c r="V85" s="34"/>
      <c r="W85" s="34"/>
      <c r="X85" s="34" t="s">
        <v>94</v>
      </c>
      <c r="Y85" s="34"/>
      <c r="Z85" s="41" t="s">
        <v>94</v>
      </c>
      <c r="AA85" s="41" t="s">
        <v>94</v>
      </c>
      <c r="AB85" s="41" t="s">
        <v>94</v>
      </c>
      <c r="AC85" s="41" t="s">
        <v>94</v>
      </c>
      <c r="AD85" s="41" t="s">
        <v>94</v>
      </c>
      <c r="AE85" s="41" t="s">
        <v>94</v>
      </c>
      <c r="AF85" s="41" t="s">
        <v>94</v>
      </c>
      <c r="AG85" s="41" t="s">
        <v>94</v>
      </c>
      <c r="AH85" s="34" t="s">
        <v>94</v>
      </c>
      <c r="AI85" s="41" t="s">
        <v>94</v>
      </c>
      <c r="AJ85" s="34" t="s">
        <v>94</v>
      </c>
      <c r="AK85" s="34" t="s">
        <v>94</v>
      </c>
      <c r="AL85" s="41" t="s">
        <v>94</v>
      </c>
      <c r="AM85" s="34" t="s">
        <v>94</v>
      </c>
      <c r="AN85" s="258"/>
    </row>
    <row r="86" spans="1:40" ht="15" hidden="1" thickBot="1" x14ac:dyDescent="0.4">
      <c r="A86" s="305" t="s">
        <v>341</v>
      </c>
      <c r="B86" s="34" t="s">
        <v>131</v>
      </c>
      <c r="C86" s="243" t="s">
        <v>222</v>
      </c>
      <c r="D86" s="259" t="s">
        <v>342</v>
      </c>
      <c r="E86" s="260" t="s">
        <v>343</v>
      </c>
      <c r="F86" s="34" t="s">
        <v>87</v>
      </c>
      <c r="G86" s="34" t="s">
        <v>87</v>
      </c>
      <c r="H86" s="258"/>
      <c r="I86" s="43"/>
      <c r="J86" s="34"/>
      <c r="K86" s="34" t="s">
        <v>89</v>
      </c>
      <c r="L86" s="34" t="s">
        <v>90</v>
      </c>
      <c r="M86" s="34" t="s">
        <v>91</v>
      </c>
      <c r="N86" s="34" t="s">
        <v>120</v>
      </c>
      <c r="O86" s="34"/>
      <c r="P86" s="258"/>
      <c r="Q86" s="41" t="s">
        <v>94</v>
      </c>
      <c r="R86" s="34"/>
      <c r="S86" s="41"/>
      <c r="T86" s="41"/>
      <c r="U86" s="34"/>
      <c r="V86" s="34"/>
      <c r="W86" s="34"/>
      <c r="X86" s="34" t="s">
        <v>94</v>
      </c>
      <c r="Y86" s="34"/>
      <c r="Z86" s="41" t="s">
        <v>94</v>
      </c>
      <c r="AA86" s="41" t="s">
        <v>94</v>
      </c>
      <c r="AB86" s="41" t="s">
        <v>94</v>
      </c>
      <c r="AC86" s="41" t="s">
        <v>94</v>
      </c>
      <c r="AD86" s="41" t="s">
        <v>94</v>
      </c>
      <c r="AE86" s="41" t="s">
        <v>94</v>
      </c>
      <c r="AF86" s="41" t="s">
        <v>94</v>
      </c>
      <c r="AG86" s="41" t="s">
        <v>94</v>
      </c>
      <c r="AH86" s="34" t="s">
        <v>94</v>
      </c>
      <c r="AI86" s="41" t="s">
        <v>94</v>
      </c>
      <c r="AJ86" s="34" t="s">
        <v>94</v>
      </c>
      <c r="AK86" s="34" t="s">
        <v>94</v>
      </c>
      <c r="AL86" s="41" t="s">
        <v>94</v>
      </c>
      <c r="AM86" s="34" t="s">
        <v>94</v>
      </c>
      <c r="AN86" s="258"/>
    </row>
    <row r="87" spans="1:40" ht="15" hidden="1" thickBot="1" x14ac:dyDescent="0.4">
      <c r="A87" s="305" t="s">
        <v>344</v>
      </c>
      <c r="B87" s="34" t="s">
        <v>131</v>
      </c>
      <c r="C87" s="243" t="s">
        <v>222</v>
      </c>
      <c r="D87" s="259" t="s">
        <v>345</v>
      </c>
      <c r="E87" s="260" t="s">
        <v>346</v>
      </c>
      <c r="F87" s="34" t="s">
        <v>87</v>
      </c>
      <c r="G87" s="34" t="s">
        <v>87</v>
      </c>
      <c r="H87" s="258"/>
      <c r="I87" s="43"/>
      <c r="J87" s="34"/>
      <c r="K87" s="34" t="s">
        <v>89</v>
      </c>
      <c r="L87" s="34" t="s">
        <v>90</v>
      </c>
      <c r="M87" s="34" t="s">
        <v>91</v>
      </c>
      <c r="N87" s="34" t="s">
        <v>120</v>
      </c>
      <c r="O87" s="34"/>
      <c r="P87" s="258"/>
      <c r="Q87" s="41" t="s">
        <v>94</v>
      </c>
      <c r="R87" s="34"/>
      <c r="S87" s="41"/>
      <c r="T87" s="41"/>
      <c r="U87" s="34"/>
      <c r="V87" s="34"/>
      <c r="W87" s="34"/>
      <c r="X87" s="34" t="s">
        <v>94</v>
      </c>
      <c r="Y87" s="34"/>
      <c r="Z87" s="41" t="s">
        <v>94</v>
      </c>
      <c r="AA87" s="41" t="s">
        <v>94</v>
      </c>
      <c r="AB87" s="41" t="s">
        <v>94</v>
      </c>
      <c r="AC87" s="41" t="s">
        <v>94</v>
      </c>
      <c r="AD87" s="41" t="s">
        <v>94</v>
      </c>
      <c r="AE87" s="41" t="s">
        <v>94</v>
      </c>
      <c r="AF87" s="41" t="s">
        <v>94</v>
      </c>
      <c r="AG87" s="41" t="s">
        <v>94</v>
      </c>
      <c r="AH87" s="34" t="s">
        <v>94</v>
      </c>
      <c r="AI87" s="41" t="s">
        <v>94</v>
      </c>
      <c r="AJ87" s="34" t="s">
        <v>94</v>
      </c>
      <c r="AK87" s="34" t="s">
        <v>94</v>
      </c>
      <c r="AL87" s="41" t="s">
        <v>94</v>
      </c>
      <c r="AM87" s="34" t="s">
        <v>94</v>
      </c>
      <c r="AN87" s="258"/>
    </row>
    <row r="88" spans="1:40" ht="15" hidden="1" thickBot="1" x14ac:dyDescent="0.4">
      <c r="A88" s="305" t="s">
        <v>347</v>
      </c>
      <c r="B88" s="34" t="s">
        <v>131</v>
      </c>
      <c r="C88" s="243" t="s">
        <v>222</v>
      </c>
      <c r="D88" s="259" t="s">
        <v>348</v>
      </c>
      <c r="E88" s="260" t="s">
        <v>349</v>
      </c>
      <c r="F88" s="34" t="s">
        <v>87</v>
      </c>
      <c r="G88" s="34" t="s">
        <v>87</v>
      </c>
      <c r="H88" s="258"/>
      <c r="I88" s="43"/>
      <c r="J88" s="34"/>
      <c r="K88" s="34" t="s">
        <v>89</v>
      </c>
      <c r="L88" s="34" t="s">
        <v>90</v>
      </c>
      <c r="M88" s="34" t="s">
        <v>91</v>
      </c>
      <c r="N88" s="34" t="s">
        <v>120</v>
      </c>
      <c r="O88" s="34" t="s">
        <v>350</v>
      </c>
      <c r="P88" s="258"/>
      <c r="Q88" s="41"/>
      <c r="R88" s="34"/>
      <c r="S88" s="41"/>
      <c r="T88" s="41"/>
      <c r="U88" s="34"/>
      <c r="V88" s="34"/>
      <c r="W88" s="34"/>
      <c r="X88" s="34"/>
      <c r="Y88" s="34"/>
      <c r="Z88" s="41"/>
      <c r="AA88" s="41"/>
      <c r="AB88" s="41"/>
      <c r="AC88" s="41"/>
      <c r="AD88" s="41"/>
      <c r="AE88" s="41"/>
      <c r="AF88" s="41"/>
      <c r="AG88" s="41"/>
      <c r="AH88" s="34"/>
      <c r="AI88" s="41"/>
      <c r="AJ88" s="34"/>
      <c r="AK88" s="34"/>
      <c r="AL88" s="41"/>
      <c r="AM88" s="34"/>
      <c r="AN88" s="258"/>
    </row>
    <row r="89" spans="1:40" ht="15" hidden="1" thickBot="1" x14ac:dyDescent="0.4">
      <c r="A89" s="305" t="s">
        <v>351</v>
      </c>
      <c r="B89" s="34" t="s">
        <v>131</v>
      </c>
      <c r="C89" s="243" t="s">
        <v>222</v>
      </c>
      <c r="D89" s="259" t="s">
        <v>352</v>
      </c>
      <c r="E89" s="260" t="s">
        <v>353</v>
      </c>
      <c r="F89" s="34" t="s">
        <v>87</v>
      </c>
      <c r="G89" s="34" t="s">
        <v>87</v>
      </c>
      <c r="H89" s="258"/>
      <c r="I89" s="43"/>
      <c r="J89" s="34"/>
      <c r="K89" s="34" t="s">
        <v>89</v>
      </c>
      <c r="L89" s="34" t="s">
        <v>90</v>
      </c>
      <c r="M89" s="34" t="s">
        <v>91</v>
      </c>
      <c r="N89" s="34" t="s">
        <v>120</v>
      </c>
      <c r="O89" s="34"/>
      <c r="P89" s="258"/>
      <c r="Q89" s="41" t="s">
        <v>94</v>
      </c>
      <c r="R89" s="34"/>
      <c r="S89" s="41"/>
      <c r="T89" s="41"/>
      <c r="U89" s="34"/>
      <c r="V89" s="34"/>
      <c r="W89" s="34"/>
      <c r="X89" s="34" t="s">
        <v>94</v>
      </c>
      <c r="Y89" s="34"/>
      <c r="Z89" s="41" t="s">
        <v>94</v>
      </c>
      <c r="AA89" s="41" t="s">
        <v>94</v>
      </c>
      <c r="AB89" s="41" t="s">
        <v>94</v>
      </c>
      <c r="AC89" s="41" t="s">
        <v>94</v>
      </c>
      <c r="AD89" s="41" t="s">
        <v>94</v>
      </c>
      <c r="AE89" s="41" t="s">
        <v>94</v>
      </c>
      <c r="AF89" s="41" t="s">
        <v>94</v>
      </c>
      <c r="AG89" s="41" t="s">
        <v>94</v>
      </c>
      <c r="AH89" s="34" t="s">
        <v>94</v>
      </c>
      <c r="AI89" s="41" t="s">
        <v>94</v>
      </c>
      <c r="AJ89" s="34" t="s">
        <v>94</v>
      </c>
      <c r="AK89" s="34" t="s">
        <v>94</v>
      </c>
      <c r="AL89" s="41" t="s">
        <v>94</v>
      </c>
      <c r="AM89" s="34" t="s">
        <v>94</v>
      </c>
      <c r="AN89" s="258"/>
    </row>
    <row r="90" spans="1:40" ht="15" hidden="1" thickBot="1" x14ac:dyDescent="0.4">
      <c r="A90" s="305" t="s">
        <v>354</v>
      </c>
      <c r="B90" s="34" t="s">
        <v>131</v>
      </c>
      <c r="C90" s="243" t="s">
        <v>222</v>
      </c>
      <c r="D90" s="259" t="s">
        <v>355</v>
      </c>
      <c r="E90" s="260" t="s">
        <v>356</v>
      </c>
      <c r="F90" s="34" t="s">
        <v>87</v>
      </c>
      <c r="G90" s="34" t="s">
        <v>87</v>
      </c>
      <c r="H90" s="258"/>
      <c r="I90" s="43"/>
      <c r="J90" s="34"/>
      <c r="K90" s="34" t="s">
        <v>89</v>
      </c>
      <c r="L90" s="34" t="s">
        <v>90</v>
      </c>
      <c r="M90" s="34" t="s">
        <v>91</v>
      </c>
      <c r="N90" s="34" t="s">
        <v>120</v>
      </c>
      <c r="O90" s="34"/>
      <c r="P90" s="258"/>
      <c r="Q90" s="41" t="s">
        <v>94</v>
      </c>
      <c r="R90" s="34"/>
      <c r="S90" s="41"/>
      <c r="T90" s="41"/>
      <c r="U90" s="34"/>
      <c r="V90" s="34"/>
      <c r="W90" s="34"/>
      <c r="X90" s="34" t="s">
        <v>94</v>
      </c>
      <c r="Y90" s="34"/>
      <c r="Z90" s="41" t="s">
        <v>94</v>
      </c>
      <c r="AA90" s="41" t="s">
        <v>94</v>
      </c>
      <c r="AB90" s="41" t="s">
        <v>94</v>
      </c>
      <c r="AC90" s="41" t="s">
        <v>94</v>
      </c>
      <c r="AD90" s="41" t="s">
        <v>94</v>
      </c>
      <c r="AE90" s="41" t="s">
        <v>94</v>
      </c>
      <c r="AF90" s="41" t="s">
        <v>94</v>
      </c>
      <c r="AG90" s="41" t="s">
        <v>94</v>
      </c>
      <c r="AH90" s="34" t="s">
        <v>94</v>
      </c>
      <c r="AI90" s="41" t="s">
        <v>94</v>
      </c>
      <c r="AJ90" s="34" t="s">
        <v>94</v>
      </c>
      <c r="AK90" s="34" t="s">
        <v>94</v>
      </c>
      <c r="AL90" s="41" t="s">
        <v>94</v>
      </c>
      <c r="AM90" s="34" t="s">
        <v>94</v>
      </c>
      <c r="AN90" s="258"/>
    </row>
    <row r="91" spans="1:40" ht="15" hidden="1" thickBot="1" x14ac:dyDescent="0.4">
      <c r="A91" s="305" t="s">
        <v>357</v>
      </c>
      <c r="B91" s="34" t="s">
        <v>131</v>
      </c>
      <c r="C91" s="243" t="s">
        <v>222</v>
      </c>
      <c r="D91" s="259" t="s">
        <v>358</v>
      </c>
      <c r="E91" s="260" t="s">
        <v>359</v>
      </c>
      <c r="F91" s="34" t="s">
        <v>87</v>
      </c>
      <c r="G91" s="34" t="s">
        <v>87</v>
      </c>
      <c r="H91" s="258"/>
      <c r="I91" s="43"/>
      <c r="J91" s="34"/>
      <c r="K91" s="34" t="s">
        <v>89</v>
      </c>
      <c r="L91" s="34" t="s">
        <v>90</v>
      </c>
      <c r="M91" s="34" t="s">
        <v>91</v>
      </c>
      <c r="N91" s="34" t="s">
        <v>120</v>
      </c>
      <c r="O91" s="34"/>
      <c r="P91" s="258"/>
      <c r="Q91" s="41" t="s">
        <v>94</v>
      </c>
      <c r="R91" s="34"/>
      <c r="S91" s="41"/>
      <c r="T91" s="41"/>
      <c r="U91" s="34"/>
      <c r="V91" s="34"/>
      <c r="W91" s="34"/>
      <c r="X91" s="34" t="s">
        <v>94</v>
      </c>
      <c r="Y91" s="34"/>
      <c r="Z91" s="41" t="s">
        <v>94</v>
      </c>
      <c r="AA91" s="41" t="s">
        <v>94</v>
      </c>
      <c r="AB91" s="41" t="s">
        <v>94</v>
      </c>
      <c r="AC91" s="41" t="s">
        <v>94</v>
      </c>
      <c r="AD91" s="41" t="s">
        <v>94</v>
      </c>
      <c r="AE91" s="41" t="s">
        <v>94</v>
      </c>
      <c r="AF91" s="41" t="s">
        <v>94</v>
      </c>
      <c r="AG91" s="41" t="s">
        <v>94</v>
      </c>
      <c r="AH91" s="34" t="s">
        <v>94</v>
      </c>
      <c r="AI91" s="41" t="s">
        <v>94</v>
      </c>
      <c r="AJ91" s="34" t="s">
        <v>94</v>
      </c>
      <c r="AK91" s="34" t="s">
        <v>94</v>
      </c>
      <c r="AL91" s="41" t="s">
        <v>94</v>
      </c>
      <c r="AM91" s="34" t="s">
        <v>94</v>
      </c>
      <c r="AN91" s="258"/>
    </row>
    <row r="92" spans="1:40" ht="15" hidden="1" thickBot="1" x14ac:dyDescent="0.4">
      <c r="A92" s="305" t="s">
        <v>360</v>
      </c>
      <c r="B92" s="34" t="s">
        <v>131</v>
      </c>
      <c r="C92" s="243" t="s">
        <v>222</v>
      </c>
      <c r="D92" s="259" t="s">
        <v>361</v>
      </c>
      <c r="E92" s="260" t="s">
        <v>362</v>
      </c>
      <c r="F92" s="34" t="s">
        <v>87</v>
      </c>
      <c r="G92" s="34" t="s">
        <v>87</v>
      </c>
      <c r="H92" s="258"/>
      <c r="I92" s="43"/>
      <c r="J92" s="34"/>
      <c r="K92" s="34" t="s">
        <v>89</v>
      </c>
      <c r="L92" s="34" t="s">
        <v>90</v>
      </c>
      <c r="M92" s="34" t="s">
        <v>91</v>
      </c>
      <c r="N92" s="34" t="s">
        <v>120</v>
      </c>
      <c r="O92" s="34"/>
      <c r="P92" s="258"/>
      <c r="Q92" s="41" t="s">
        <v>94</v>
      </c>
      <c r="R92" s="34"/>
      <c r="S92" s="41"/>
      <c r="T92" s="41"/>
      <c r="U92" s="34"/>
      <c r="V92" s="34"/>
      <c r="W92" s="34"/>
      <c r="X92" s="34" t="s">
        <v>94</v>
      </c>
      <c r="Y92" s="34"/>
      <c r="Z92" s="41" t="s">
        <v>94</v>
      </c>
      <c r="AA92" s="41" t="s">
        <v>94</v>
      </c>
      <c r="AB92" s="41" t="s">
        <v>94</v>
      </c>
      <c r="AC92" s="41" t="s">
        <v>94</v>
      </c>
      <c r="AD92" s="41" t="s">
        <v>94</v>
      </c>
      <c r="AE92" s="41" t="s">
        <v>94</v>
      </c>
      <c r="AF92" s="41" t="s">
        <v>94</v>
      </c>
      <c r="AG92" s="41" t="s">
        <v>94</v>
      </c>
      <c r="AH92" s="34" t="s">
        <v>94</v>
      </c>
      <c r="AI92" s="41" t="s">
        <v>94</v>
      </c>
      <c r="AJ92" s="34" t="s">
        <v>94</v>
      </c>
      <c r="AK92" s="34" t="s">
        <v>94</v>
      </c>
      <c r="AL92" s="41" t="s">
        <v>94</v>
      </c>
      <c r="AM92" s="34" t="s">
        <v>94</v>
      </c>
      <c r="AN92" s="258"/>
    </row>
    <row r="93" spans="1:40" ht="15" hidden="1" thickBot="1" x14ac:dyDescent="0.4">
      <c r="A93" s="305" t="s">
        <v>363</v>
      </c>
      <c r="B93" s="34" t="s">
        <v>131</v>
      </c>
      <c r="C93" s="243" t="s">
        <v>222</v>
      </c>
      <c r="D93" s="259" t="s">
        <v>364</v>
      </c>
      <c r="E93" s="260" t="s">
        <v>365</v>
      </c>
      <c r="F93" s="34" t="s">
        <v>87</v>
      </c>
      <c r="G93" s="34" t="s">
        <v>87</v>
      </c>
      <c r="H93" s="258"/>
      <c r="I93" s="43"/>
      <c r="J93" s="34"/>
      <c r="K93" s="34" t="s">
        <v>89</v>
      </c>
      <c r="L93" s="34" t="s">
        <v>90</v>
      </c>
      <c r="M93" s="34" t="s">
        <v>91</v>
      </c>
      <c r="N93" s="34" t="s">
        <v>120</v>
      </c>
      <c r="O93" s="34"/>
      <c r="P93" s="258"/>
      <c r="Q93" s="41" t="s">
        <v>94</v>
      </c>
      <c r="R93" s="34"/>
      <c r="S93" s="41"/>
      <c r="T93" s="41"/>
      <c r="U93" s="34"/>
      <c r="V93" s="34"/>
      <c r="W93" s="34"/>
      <c r="X93" s="34" t="s">
        <v>94</v>
      </c>
      <c r="Y93" s="34"/>
      <c r="Z93" s="41" t="s">
        <v>94</v>
      </c>
      <c r="AA93" s="41" t="s">
        <v>94</v>
      </c>
      <c r="AB93" s="41" t="s">
        <v>94</v>
      </c>
      <c r="AC93" s="41" t="s">
        <v>94</v>
      </c>
      <c r="AD93" s="41" t="s">
        <v>94</v>
      </c>
      <c r="AE93" s="41" t="s">
        <v>94</v>
      </c>
      <c r="AF93" s="41" t="s">
        <v>94</v>
      </c>
      <c r="AG93" s="41" t="s">
        <v>94</v>
      </c>
      <c r="AH93" s="34" t="s">
        <v>94</v>
      </c>
      <c r="AI93" s="41" t="s">
        <v>94</v>
      </c>
      <c r="AJ93" s="34" t="s">
        <v>94</v>
      </c>
      <c r="AK93" s="34" t="s">
        <v>94</v>
      </c>
      <c r="AL93" s="41" t="s">
        <v>94</v>
      </c>
      <c r="AM93" s="34" t="s">
        <v>94</v>
      </c>
      <c r="AN93" s="258"/>
    </row>
    <row r="94" spans="1:40" ht="15" hidden="1" thickBot="1" x14ac:dyDescent="0.4">
      <c r="A94" s="305" t="s">
        <v>366</v>
      </c>
      <c r="B94" s="34" t="s">
        <v>131</v>
      </c>
      <c r="C94" s="243" t="s">
        <v>222</v>
      </c>
      <c r="D94" s="259" t="s">
        <v>367</v>
      </c>
      <c r="E94" s="260" t="s">
        <v>368</v>
      </c>
      <c r="F94" s="34" t="s">
        <v>87</v>
      </c>
      <c r="G94" s="34" t="s">
        <v>87</v>
      </c>
      <c r="H94" s="258"/>
      <c r="I94" s="43"/>
      <c r="J94" s="34"/>
      <c r="K94" s="34" t="s">
        <v>89</v>
      </c>
      <c r="L94" s="34" t="s">
        <v>90</v>
      </c>
      <c r="M94" s="34" t="s">
        <v>91</v>
      </c>
      <c r="N94" s="34" t="s">
        <v>120</v>
      </c>
      <c r="O94" s="34"/>
      <c r="P94" s="258"/>
      <c r="Q94" s="41" t="s">
        <v>94</v>
      </c>
      <c r="R94" s="34"/>
      <c r="S94" s="41"/>
      <c r="T94" s="41"/>
      <c r="U94" s="34"/>
      <c r="V94" s="34"/>
      <c r="W94" s="34"/>
      <c r="X94" s="34" t="s">
        <v>94</v>
      </c>
      <c r="Y94" s="34"/>
      <c r="Z94" s="41" t="s">
        <v>94</v>
      </c>
      <c r="AA94" s="41" t="s">
        <v>94</v>
      </c>
      <c r="AB94" s="41" t="s">
        <v>94</v>
      </c>
      <c r="AC94" s="41" t="s">
        <v>94</v>
      </c>
      <c r="AD94" s="41" t="s">
        <v>94</v>
      </c>
      <c r="AE94" s="41" t="s">
        <v>94</v>
      </c>
      <c r="AF94" s="41" t="s">
        <v>94</v>
      </c>
      <c r="AG94" s="41" t="s">
        <v>94</v>
      </c>
      <c r="AH94" s="34" t="s">
        <v>94</v>
      </c>
      <c r="AI94" s="41" t="s">
        <v>94</v>
      </c>
      <c r="AJ94" s="34" t="s">
        <v>94</v>
      </c>
      <c r="AK94" s="34" t="s">
        <v>94</v>
      </c>
      <c r="AL94" s="41" t="s">
        <v>94</v>
      </c>
      <c r="AM94" s="34" t="s">
        <v>94</v>
      </c>
      <c r="AN94" s="258"/>
    </row>
    <row r="95" spans="1:40" ht="15" hidden="1" thickBot="1" x14ac:dyDescent="0.4">
      <c r="A95" s="305" t="s">
        <v>369</v>
      </c>
      <c r="B95" s="34" t="s">
        <v>131</v>
      </c>
      <c r="C95" s="243" t="s">
        <v>222</v>
      </c>
      <c r="D95" s="259" t="s">
        <v>370</v>
      </c>
      <c r="E95" s="260" t="s">
        <v>371</v>
      </c>
      <c r="F95" s="34" t="s">
        <v>87</v>
      </c>
      <c r="G95" s="34" t="s">
        <v>87</v>
      </c>
      <c r="H95" s="258"/>
      <c r="I95" s="43"/>
      <c r="J95" s="34"/>
      <c r="K95" s="34" t="s">
        <v>89</v>
      </c>
      <c r="L95" s="34" t="s">
        <v>90</v>
      </c>
      <c r="M95" s="34" t="s">
        <v>91</v>
      </c>
      <c r="N95" s="34" t="s">
        <v>120</v>
      </c>
      <c r="O95" s="34"/>
      <c r="P95" s="258"/>
      <c r="Q95" s="41" t="s">
        <v>94</v>
      </c>
      <c r="R95" s="34"/>
      <c r="S95" s="41"/>
      <c r="T95" s="41"/>
      <c r="U95" s="34"/>
      <c r="V95" s="34"/>
      <c r="W95" s="34"/>
      <c r="X95" s="34" t="s">
        <v>94</v>
      </c>
      <c r="Y95" s="34"/>
      <c r="Z95" s="41" t="s">
        <v>94</v>
      </c>
      <c r="AA95" s="41" t="s">
        <v>94</v>
      </c>
      <c r="AB95" s="41" t="s">
        <v>94</v>
      </c>
      <c r="AC95" s="41" t="s">
        <v>94</v>
      </c>
      <c r="AD95" s="41" t="s">
        <v>94</v>
      </c>
      <c r="AE95" s="41" t="s">
        <v>94</v>
      </c>
      <c r="AF95" s="41" t="s">
        <v>94</v>
      </c>
      <c r="AG95" s="41" t="s">
        <v>94</v>
      </c>
      <c r="AH95" s="34" t="s">
        <v>94</v>
      </c>
      <c r="AI95" s="41" t="s">
        <v>94</v>
      </c>
      <c r="AJ95" s="34" t="s">
        <v>94</v>
      </c>
      <c r="AK95" s="34" t="s">
        <v>94</v>
      </c>
      <c r="AL95" s="41" t="s">
        <v>94</v>
      </c>
      <c r="AM95" s="34" t="s">
        <v>94</v>
      </c>
      <c r="AN95" s="258"/>
    </row>
    <row r="96" spans="1:40" ht="15" hidden="1" thickBot="1" x14ac:dyDescent="0.4">
      <c r="A96" s="305" t="s">
        <v>372</v>
      </c>
      <c r="B96" s="34" t="s">
        <v>131</v>
      </c>
      <c r="C96" s="243" t="s">
        <v>222</v>
      </c>
      <c r="D96" s="259" t="s">
        <v>373</v>
      </c>
      <c r="E96" s="260" t="s">
        <v>374</v>
      </c>
      <c r="F96" s="34" t="s">
        <v>87</v>
      </c>
      <c r="G96" s="34" t="s">
        <v>87</v>
      </c>
      <c r="H96" s="258"/>
      <c r="I96" s="43"/>
      <c r="J96" s="34"/>
      <c r="K96" s="34" t="s">
        <v>89</v>
      </c>
      <c r="L96" s="34" t="s">
        <v>90</v>
      </c>
      <c r="M96" s="34" t="s">
        <v>91</v>
      </c>
      <c r="N96" s="34" t="s">
        <v>120</v>
      </c>
      <c r="O96" s="34"/>
      <c r="P96" s="258"/>
      <c r="Q96" s="41" t="s">
        <v>94</v>
      </c>
      <c r="R96" s="34"/>
      <c r="S96" s="41"/>
      <c r="T96" s="41"/>
      <c r="U96" s="34"/>
      <c r="V96" s="34"/>
      <c r="W96" s="34"/>
      <c r="X96" s="34" t="s">
        <v>94</v>
      </c>
      <c r="Y96" s="34"/>
      <c r="Z96" s="41" t="s">
        <v>94</v>
      </c>
      <c r="AA96" s="41" t="s">
        <v>94</v>
      </c>
      <c r="AB96" s="41" t="s">
        <v>94</v>
      </c>
      <c r="AC96" s="41" t="s">
        <v>94</v>
      </c>
      <c r="AD96" s="41" t="s">
        <v>94</v>
      </c>
      <c r="AE96" s="41" t="s">
        <v>94</v>
      </c>
      <c r="AF96" s="41" t="s">
        <v>94</v>
      </c>
      <c r="AG96" s="41" t="s">
        <v>94</v>
      </c>
      <c r="AH96" s="34" t="s">
        <v>94</v>
      </c>
      <c r="AI96" s="41" t="s">
        <v>94</v>
      </c>
      <c r="AJ96" s="34" t="s">
        <v>94</v>
      </c>
      <c r="AK96" s="34" t="s">
        <v>94</v>
      </c>
      <c r="AL96" s="41" t="s">
        <v>94</v>
      </c>
      <c r="AM96" s="34" t="s">
        <v>94</v>
      </c>
      <c r="AN96" s="258"/>
    </row>
    <row r="97" spans="1:40" ht="15" hidden="1" thickBot="1" x14ac:dyDescent="0.4">
      <c r="A97" s="305" t="s">
        <v>375</v>
      </c>
      <c r="B97" s="34" t="s">
        <v>131</v>
      </c>
      <c r="C97" s="243" t="s">
        <v>222</v>
      </c>
      <c r="D97" s="259" t="s">
        <v>376</v>
      </c>
      <c r="E97" s="260" t="s">
        <v>377</v>
      </c>
      <c r="F97" s="34" t="s">
        <v>87</v>
      </c>
      <c r="G97" s="34" t="s">
        <v>87</v>
      </c>
      <c r="H97" s="258"/>
      <c r="I97" s="43"/>
      <c r="J97" s="34"/>
      <c r="K97" s="34" t="s">
        <v>89</v>
      </c>
      <c r="L97" s="34" t="s">
        <v>90</v>
      </c>
      <c r="M97" s="34" t="s">
        <v>91</v>
      </c>
      <c r="N97" s="34" t="s">
        <v>120</v>
      </c>
      <c r="O97" s="34"/>
      <c r="P97" s="258"/>
      <c r="Q97" s="41" t="s">
        <v>94</v>
      </c>
      <c r="R97" s="34"/>
      <c r="S97" s="41"/>
      <c r="T97" s="41"/>
      <c r="U97" s="34"/>
      <c r="V97" s="34"/>
      <c r="W97" s="34"/>
      <c r="X97" s="34" t="s">
        <v>94</v>
      </c>
      <c r="Y97" s="34"/>
      <c r="Z97" s="41" t="s">
        <v>94</v>
      </c>
      <c r="AA97" s="41" t="s">
        <v>94</v>
      </c>
      <c r="AB97" s="41" t="s">
        <v>94</v>
      </c>
      <c r="AC97" s="41" t="s">
        <v>94</v>
      </c>
      <c r="AD97" s="41" t="s">
        <v>94</v>
      </c>
      <c r="AE97" s="41" t="s">
        <v>94</v>
      </c>
      <c r="AF97" s="41" t="s">
        <v>94</v>
      </c>
      <c r="AG97" s="41" t="s">
        <v>94</v>
      </c>
      <c r="AH97" s="34" t="s">
        <v>94</v>
      </c>
      <c r="AI97" s="41" t="s">
        <v>94</v>
      </c>
      <c r="AJ97" s="34" t="s">
        <v>94</v>
      </c>
      <c r="AK97" s="34" t="s">
        <v>94</v>
      </c>
      <c r="AL97" s="41" t="s">
        <v>94</v>
      </c>
      <c r="AM97" s="34" t="s">
        <v>94</v>
      </c>
      <c r="AN97" s="258"/>
    </row>
    <row r="98" spans="1:40" ht="15" hidden="1" thickBot="1" x14ac:dyDescent="0.4">
      <c r="A98" s="307" t="s">
        <v>378</v>
      </c>
      <c r="B98" s="34" t="s">
        <v>131</v>
      </c>
      <c r="C98" s="243" t="s">
        <v>96</v>
      </c>
      <c r="D98" s="261" t="s">
        <v>379</v>
      </c>
      <c r="E98" s="252" t="s">
        <v>380</v>
      </c>
      <c r="F98" s="34" t="s">
        <v>87</v>
      </c>
      <c r="G98" s="34" t="s">
        <v>87</v>
      </c>
      <c r="H98" s="258"/>
      <c r="I98" s="43"/>
      <c r="J98" s="34"/>
      <c r="K98" s="34" t="s">
        <v>89</v>
      </c>
      <c r="L98" s="34" t="s">
        <v>90</v>
      </c>
      <c r="M98" s="34" t="s">
        <v>91</v>
      </c>
      <c r="N98" s="34" t="s">
        <v>120</v>
      </c>
      <c r="O98" s="34"/>
      <c r="P98" s="258"/>
      <c r="Q98" s="41" t="s">
        <v>94</v>
      </c>
      <c r="R98" s="34"/>
      <c r="S98" s="41"/>
      <c r="T98" s="41"/>
      <c r="U98" s="34"/>
      <c r="V98" s="34"/>
      <c r="W98" s="34"/>
      <c r="X98" s="34" t="s">
        <v>94</v>
      </c>
      <c r="Y98" s="34"/>
      <c r="Z98" s="41" t="s">
        <v>94</v>
      </c>
      <c r="AA98" s="41" t="s">
        <v>94</v>
      </c>
      <c r="AB98" s="41" t="s">
        <v>94</v>
      </c>
      <c r="AC98" s="41" t="s">
        <v>94</v>
      </c>
      <c r="AD98" s="41" t="s">
        <v>94</v>
      </c>
      <c r="AE98" s="41" t="s">
        <v>94</v>
      </c>
      <c r="AF98" s="41" t="s">
        <v>94</v>
      </c>
      <c r="AG98" s="41" t="s">
        <v>94</v>
      </c>
      <c r="AH98" s="34" t="s">
        <v>94</v>
      </c>
      <c r="AI98" s="41" t="s">
        <v>94</v>
      </c>
      <c r="AJ98" s="34" t="s">
        <v>94</v>
      </c>
      <c r="AK98" s="34" t="s">
        <v>94</v>
      </c>
      <c r="AL98" s="41" t="s">
        <v>94</v>
      </c>
      <c r="AM98" s="34" t="s">
        <v>94</v>
      </c>
      <c r="AN98" s="258"/>
    </row>
    <row r="99" spans="1:40" hidden="1" x14ac:dyDescent="0.35">
      <c r="A99" s="262" t="s">
        <v>381</v>
      </c>
      <c r="B99" s="34" t="s">
        <v>131</v>
      </c>
      <c r="C99" s="243" t="s">
        <v>96</v>
      </c>
      <c r="D99" s="263" t="s">
        <v>379</v>
      </c>
      <c r="E99" s="264" t="s">
        <v>382</v>
      </c>
      <c r="F99" s="34" t="s">
        <v>87</v>
      </c>
      <c r="G99" s="34" t="s">
        <v>87</v>
      </c>
      <c r="H99" s="258"/>
      <c r="I99" s="43"/>
      <c r="J99" s="34"/>
      <c r="K99" s="34" t="s">
        <v>89</v>
      </c>
      <c r="L99" s="34" t="s">
        <v>90</v>
      </c>
      <c r="M99" s="34" t="s">
        <v>91</v>
      </c>
      <c r="N99" s="34" t="s">
        <v>120</v>
      </c>
      <c r="O99" s="34"/>
      <c r="P99" s="258"/>
      <c r="Q99" s="41" t="s">
        <v>94</v>
      </c>
      <c r="R99" s="34"/>
      <c r="S99" s="41"/>
      <c r="T99" s="41"/>
      <c r="U99" s="34"/>
      <c r="V99" s="34"/>
      <c r="W99" s="34"/>
      <c r="X99" s="34" t="s">
        <v>94</v>
      </c>
      <c r="Y99" s="34"/>
      <c r="Z99" s="41" t="s">
        <v>94</v>
      </c>
      <c r="AA99" s="41" t="s">
        <v>94</v>
      </c>
      <c r="AB99" s="41" t="s">
        <v>94</v>
      </c>
      <c r="AC99" s="41" t="s">
        <v>94</v>
      </c>
      <c r="AD99" s="41" t="s">
        <v>94</v>
      </c>
      <c r="AE99" s="41" t="s">
        <v>94</v>
      </c>
      <c r="AF99" s="41" t="s">
        <v>94</v>
      </c>
      <c r="AG99" s="41" t="s">
        <v>94</v>
      </c>
      <c r="AH99" s="34" t="s">
        <v>94</v>
      </c>
      <c r="AI99" s="41" t="s">
        <v>94</v>
      </c>
      <c r="AJ99" s="34" t="s">
        <v>94</v>
      </c>
      <c r="AK99" s="34" t="s">
        <v>94</v>
      </c>
      <c r="AL99" s="41" t="s">
        <v>94</v>
      </c>
      <c r="AM99" s="34" t="s">
        <v>94</v>
      </c>
      <c r="AN99" s="258"/>
    </row>
    <row r="100" spans="1:40" hidden="1" x14ac:dyDescent="0.35">
      <c r="A100" s="308" t="s">
        <v>383</v>
      </c>
      <c r="B100" s="34" t="s">
        <v>131</v>
      </c>
      <c r="C100" s="243" t="s">
        <v>96</v>
      </c>
      <c r="D100" s="263" t="s">
        <v>384</v>
      </c>
      <c r="E100" s="252" t="s">
        <v>385</v>
      </c>
      <c r="F100" s="34" t="s">
        <v>87</v>
      </c>
      <c r="G100" s="34" t="s">
        <v>87</v>
      </c>
      <c r="H100" s="258"/>
      <c r="I100" s="43"/>
      <c r="J100" s="34"/>
      <c r="K100" s="34" t="s">
        <v>89</v>
      </c>
      <c r="L100" s="34" t="s">
        <v>90</v>
      </c>
      <c r="M100" s="34" t="s">
        <v>91</v>
      </c>
      <c r="N100" s="34" t="s">
        <v>120</v>
      </c>
      <c r="O100" s="34"/>
      <c r="P100" s="258"/>
      <c r="Q100" s="41" t="s">
        <v>94</v>
      </c>
      <c r="R100" s="34"/>
      <c r="S100" s="41"/>
      <c r="T100" s="41"/>
      <c r="U100" s="34"/>
      <c r="V100" s="34"/>
      <c r="W100" s="34"/>
      <c r="X100" s="34" t="s">
        <v>94</v>
      </c>
      <c r="Y100" s="34"/>
      <c r="Z100" s="41" t="s">
        <v>94</v>
      </c>
      <c r="AA100" s="41" t="s">
        <v>94</v>
      </c>
      <c r="AB100" s="41" t="s">
        <v>94</v>
      </c>
      <c r="AC100" s="41" t="s">
        <v>94</v>
      </c>
      <c r="AD100" s="41" t="s">
        <v>94</v>
      </c>
      <c r="AE100" s="41" t="s">
        <v>94</v>
      </c>
      <c r="AF100" s="41" t="s">
        <v>94</v>
      </c>
      <c r="AG100" s="41" t="s">
        <v>94</v>
      </c>
      <c r="AH100" s="34" t="s">
        <v>94</v>
      </c>
      <c r="AI100" s="41" t="s">
        <v>94</v>
      </c>
      <c r="AJ100" s="34" t="s">
        <v>94</v>
      </c>
      <c r="AK100" s="34" t="s">
        <v>94</v>
      </c>
      <c r="AL100" s="41" t="s">
        <v>94</v>
      </c>
      <c r="AM100" s="34" t="s">
        <v>94</v>
      </c>
      <c r="AN100" s="258"/>
    </row>
    <row r="101" spans="1:40" hidden="1" x14ac:dyDescent="0.35">
      <c r="A101" s="282" t="s">
        <v>386</v>
      </c>
      <c r="B101" s="183" t="s">
        <v>131</v>
      </c>
      <c r="C101" s="184" t="s">
        <v>96</v>
      </c>
      <c r="D101" s="258" t="s">
        <v>387</v>
      </c>
      <c r="E101" s="257" t="s">
        <v>388</v>
      </c>
      <c r="F101" s="34" t="s">
        <v>87</v>
      </c>
      <c r="G101" s="34" t="s">
        <v>87</v>
      </c>
      <c r="H101" s="258"/>
      <c r="I101" s="43"/>
      <c r="J101" s="34"/>
      <c r="K101" s="34" t="s">
        <v>89</v>
      </c>
      <c r="L101" s="34" t="s">
        <v>90</v>
      </c>
      <c r="M101" s="34" t="s">
        <v>91</v>
      </c>
      <c r="N101" s="34" t="s">
        <v>120</v>
      </c>
      <c r="O101" s="34"/>
      <c r="P101" s="258"/>
      <c r="Q101" s="41" t="s">
        <v>94</v>
      </c>
      <c r="R101" s="34"/>
      <c r="S101" s="41"/>
      <c r="T101" s="41"/>
      <c r="U101" s="34"/>
      <c r="V101" s="34"/>
      <c r="W101" s="34"/>
      <c r="X101" s="34" t="s">
        <v>94</v>
      </c>
      <c r="Y101" s="34"/>
      <c r="Z101" s="41" t="s">
        <v>94</v>
      </c>
      <c r="AA101" s="41" t="s">
        <v>94</v>
      </c>
      <c r="AB101" s="41" t="s">
        <v>94</v>
      </c>
      <c r="AC101" s="41" t="s">
        <v>94</v>
      </c>
      <c r="AD101" s="41" t="s">
        <v>94</v>
      </c>
      <c r="AE101" s="41" t="s">
        <v>94</v>
      </c>
      <c r="AF101" s="41" t="s">
        <v>94</v>
      </c>
      <c r="AG101" s="41" t="s">
        <v>94</v>
      </c>
      <c r="AH101" s="34" t="s">
        <v>94</v>
      </c>
      <c r="AI101" s="41" t="s">
        <v>94</v>
      </c>
      <c r="AJ101" s="34" t="s">
        <v>94</v>
      </c>
      <c r="AK101" s="34" t="s">
        <v>94</v>
      </c>
      <c r="AL101" s="41" t="s">
        <v>94</v>
      </c>
      <c r="AM101" s="34" t="s">
        <v>94</v>
      </c>
      <c r="AN101" s="258"/>
    </row>
    <row r="102" spans="1:40" hidden="1" x14ac:dyDescent="0.35">
      <c r="A102" s="282" t="s">
        <v>389</v>
      </c>
      <c r="B102" s="183" t="s">
        <v>131</v>
      </c>
      <c r="C102" s="184" t="s">
        <v>96</v>
      </c>
      <c r="D102" s="258" t="s">
        <v>387</v>
      </c>
      <c r="E102" s="257" t="s">
        <v>390</v>
      </c>
      <c r="F102" s="34" t="s">
        <v>87</v>
      </c>
      <c r="G102" s="34" t="s">
        <v>87</v>
      </c>
      <c r="H102" s="258"/>
      <c r="I102" s="43"/>
      <c r="J102" s="34"/>
      <c r="K102" s="34" t="s">
        <v>89</v>
      </c>
      <c r="L102" s="34" t="s">
        <v>90</v>
      </c>
      <c r="M102" s="34" t="s">
        <v>91</v>
      </c>
      <c r="N102" s="34" t="s">
        <v>120</v>
      </c>
      <c r="O102" s="34"/>
      <c r="P102" s="258"/>
      <c r="Q102" s="41" t="s">
        <v>94</v>
      </c>
      <c r="R102" s="34"/>
      <c r="S102" s="41"/>
      <c r="T102" s="41"/>
      <c r="U102" s="34"/>
      <c r="V102" s="34"/>
      <c r="W102" s="34"/>
      <c r="X102" s="34" t="s">
        <v>94</v>
      </c>
      <c r="Y102" s="34"/>
      <c r="Z102" s="41" t="s">
        <v>94</v>
      </c>
      <c r="AA102" s="41" t="s">
        <v>94</v>
      </c>
      <c r="AB102" s="41" t="s">
        <v>94</v>
      </c>
      <c r="AC102" s="41" t="s">
        <v>94</v>
      </c>
      <c r="AD102" s="41" t="s">
        <v>94</v>
      </c>
      <c r="AE102" s="41" t="s">
        <v>94</v>
      </c>
      <c r="AF102" s="41" t="s">
        <v>94</v>
      </c>
      <c r="AG102" s="41" t="s">
        <v>94</v>
      </c>
      <c r="AH102" s="34" t="s">
        <v>94</v>
      </c>
      <c r="AI102" s="41" t="s">
        <v>94</v>
      </c>
      <c r="AJ102" s="34" t="s">
        <v>94</v>
      </c>
      <c r="AK102" s="34" t="s">
        <v>94</v>
      </c>
      <c r="AL102" s="41" t="s">
        <v>94</v>
      </c>
      <c r="AM102" s="34" t="s">
        <v>94</v>
      </c>
      <c r="AN102" s="258"/>
    </row>
    <row r="103" spans="1:40" hidden="1" x14ac:dyDescent="0.35">
      <c r="A103" s="282" t="s">
        <v>391</v>
      </c>
      <c r="B103" s="183" t="s">
        <v>131</v>
      </c>
      <c r="C103" s="184" t="s">
        <v>96</v>
      </c>
      <c r="D103" s="258" t="s">
        <v>387</v>
      </c>
      <c r="E103" s="257" t="s">
        <v>392</v>
      </c>
      <c r="F103" s="34" t="s">
        <v>87</v>
      </c>
      <c r="G103" s="34" t="s">
        <v>87</v>
      </c>
      <c r="H103" s="258"/>
      <c r="I103" s="43"/>
      <c r="J103" s="34"/>
      <c r="K103" s="34" t="s">
        <v>89</v>
      </c>
      <c r="L103" s="34" t="s">
        <v>90</v>
      </c>
      <c r="M103" s="34" t="s">
        <v>91</v>
      </c>
      <c r="N103" s="34" t="s">
        <v>120</v>
      </c>
      <c r="O103" s="34"/>
      <c r="P103" s="258"/>
      <c r="Q103" s="41" t="s">
        <v>94</v>
      </c>
      <c r="R103" s="34"/>
      <c r="S103" s="41"/>
      <c r="T103" s="41"/>
      <c r="U103" s="34"/>
      <c r="V103" s="34"/>
      <c r="W103" s="34"/>
      <c r="X103" s="34" t="s">
        <v>94</v>
      </c>
      <c r="Y103" s="34"/>
      <c r="Z103" s="41" t="s">
        <v>94</v>
      </c>
      <c r="AA103" s="41" t="s">
        <v>94</v>
      </c>
      <c r="AB103" s="41" t="s">
        <v>94</v>
      </c>
      <c r="AC103" s="41" t="s">
        <v>94</v>
      </c>
      <c r="AD103" s="41" t="s">
        <v>94</v>
      </c>
      <c r="AE103" s="41" t="s">
        <v>94</v>
      </c>
      <c r="AF103" s="41" t="s">
        <v>94</v>
      </c>
      <c r="AG103" s="41" t="s">
        <v>94</v>
      </c>
      <c r="AH103" s="34" t="s">
        <v>94</v>
      </c>
      <c r="AI103" s="41" t="s">
        <v>94</v>
      </c>
      <c r="AJ103" s="34" t="s">
        <v>94</v>
      </c>
      <c r="AK103" s="34" t="s">
        <v>94</v>
      </c>
      <c r="AL103" s="41" t="s">
        <v>94</v>
      </c>
      <c r="AM103" s="34" t="s">
        <v>94</v>
      </c>
      <c r="AN103" s="258"/>
    </row>
    <row r="104" spans="1:40" hidden="1" x14ac:dyDescent="0.35">
      <c r="A104" s="265" t="s">
        <v>393</v>
      </c>
      <c r="B104" s="183" t="s">
        <v>131</v>
      </c>
      <c r="C104" s="184" t="s">
        <v>222</v>
      </c>
      <c r="D104" s="266" t="s">
        <v>394</v>
      </c>
      <c r="E104" s="260" t="s">
        <v>395</v>
      </c>
      <c r="F104" s="34" t="s">
        <v>87</v>
      </c>
      <c r="G104" s="34" t="s">
        <v>87</v>
      </c>
      <c r="H104" s="258"/>
      <c r="I104" s="43"/>
      <c r="J104" s="34"/>
      <c r="K104" s="34" t="s">
        <v>89</v>
      </c>
      <c r="L104" s="34" t="s">
        <v>90</v>
      </c>
      <c r="M104" s="34" t="s">
        <v>91</v>
      </c>
      <c r="N104" s="34" t="s">
        <v>120</v>
      </c>
      <c r="O104" s="34"/>
      <c r="P104" s="258"/>
      <c r="Q104" s="41" t="s">
        <v>94</v>
      </c>
      <c r="R104" s="34"/>
      <c r="S104" s="41"/>
      <c r="T104" s="41"/>
      <c r="U104" s="34"/>
      <c r="V104" s="34"/>
      <c r="W104" s="34"/>
      <c r="X104" s="34" t="s">
        <v>94</v>
      </c>
      <c r="Y104" s="34"/>
      <c r="Z104" s="41" t="s">
        <v>94</v>
      </c>
      <c r="AA104" s="41" t="s">
        <v>94</v>
      </c>
      <c r="AB104" s="41" t="s">
        <v>94</v>
      </c>
      <c r="AC104" s="41" t="s">
        <v>94</v>
      </c>
      <c r="AD104" s="41" t="s">
        <v>94</v>
      </c>
      <c r="AE104" s="41" t="s">
        <v>94</v>
      </c>
      <c r="AF104" s="41" t="s">
        <v>94</v>
      </c>
      <c r="AG104" s="41" t="s">
        <v>94</v>
      </c>
      <c r="AH104" s="34" t="s">
        <v>94</v>
      </c>
      <c r="AI104" s="41" t="s">
        <v>94</v>
      </c>
      <c r="AJ104" s="34" t="s">
        <v>94</v>
      </c>
      <c r="AK104" s="34" t="s">
        <v>94</v>
      </c>
      <c r="AL104" s="41" t="s">
        <v>94</v>
      </c>
      <c r="AM104" s="34" t="s">
        <v>94</v>
      </c>
      <c r="AN104" s="258"/>
    </row>
    <row r="105" spans="1:40" hidden="1" x14ac:dyDescent="0.35">
      <c r="A105" s="265" t="s">
        <v>396</v>
      </c>
      <c r="B105" s="183" t="s">
        <v>131</v>
      </c>
      <c r="C105" s="184" t="s">
        <v>222</v>
      </c>
      <c r="D105" s="266" t="s">
        <v>397</v>
      </c>
      <c r="E105" s="260" t="s">
        <v>398</v>
      </c>
      <c r="F105" s="34" t="s">
        <v>87</v>
      </c>
      <c r="G105" s="34" t="s">
        <v>87</v>
      </c>
      <c r="H105" s="258"/>
      <c r="I105" s="43"/>
      <c r="J105" s="34"/>
      <c r="K105" s="34" t="s">
        <v>89</v>
      </c>
      <c r="L105" s="34" t="s">
        <v>90</v>
      </c>
      <c r="M105" s="34" t="s">
        <v>91</v>
      </c>
      <c r="N105" s="34" t="s">
        <v>120</v>
      </c>
      <c r="O105" s="34"/>
      <c r="P105" s="258"/>
      <c r="Q105" s="41" t="s">
        <v>94</v>
      </c>
      <c r="R105" s="34"/>
      <c r="S105" s="41"/>
      <c r="T105" s="41"/>
      <c r="U105" s="34"/>
      <c r="V105" s="34"/>
      <c r="W105" s="34"/>
      <c r="X105" s="34" t="s">
        <v>94</v>
      </c>
      <c r="Y105" s="34"/>
      <c r="Z105" s="41" t="s">
        <v>94</v>
      </c>
      <c r="AA105" s="41" t="s">
        <v>94</v>
      </c>
      <c r="AB105" s="41" t="s">
        <v>94</v>
      </c>
      <c r="AC105" s="41" t="s">
        <v>94</v>
      </c>
      <c r="AD105" s="41" t="s">
        <v>94</v>
      </c>
      <c r="AE105" s="41" t="s">
        <v>94</v>
      </c>
      <c r="AF105" s="41" t="s">
        <v>94</v>
      </c>
      <c r="AG105" s="41" t="s">
        <v>94</v>
      </c>
      <c r="AH105" s="34" t="s">
        <v>94</v>
      </c>
      <c r="AI105" s="41" t="s">
        <v>94</v>
      </c>
      <c r="AJ105" s="34" t="s">
        <v>94</v>
      </c>
      <c r="AK105" s="34" t="s">
        <v>94</v>
      </c>
      <c r="AL105" s="41" t="s">
        <v>94</v>
      </c>
      <c r="AM105" s="34" t="s">
        <v>94</v>
      </c>
      <c r="AN105" s="258"/>
    </row>
    <row r="106" spans="1:40" hidden="1" x14ac:dyDescent="0.35">
      <c r="A106" s="265" t="s">
        <v>399</v>
      </c>
      <c r="B106" s="183" t="s">
        <v>131</v>
      </c>
      <c r="C106" s="184" t="s">
        <v>222</v>
      </c>
      <c r="D106" s="266" t="s">
        <v>400</v>
      </c>
      <c r="E106" s="260" t="s">
        <v>401</v>
      </c>
      <c r="F106" s="34" t="s">
        <v>87</v>
      </c>
      <c r="G106" s="34" t="s">
        <v>87</v>
      </c>
      <c r="H106" s="258"/>
      <c r="I106" s="43"/>
      <c r="J106" s="34"/>
      <c r="K106" s="34" t="s">
        <v>89</v>
      </c>
      <c r="L106" s="34" t="s">
        <v>90</v>
      </c>
      <c r="M106" s="34" t="s">
        <v>91</v>
      </c>
      <c r="N106" s="34" t="s">
        <v>120</v>
      </c>
      <c r="O106" s="34"/>
      <c r="P106" s="258"/>
      <c r="Q106" s="41" t="s">
        <v>94</v>
      </c>
      <c r="R106" s="34"/>
      <c r="S106" s="41"/>
      <c r="T106" s="41"/>
      <c r="U106" s="34"/>
      <c r="V106" s="34"/>
      <c r="W106" s="34"/>
      <c r="X106" s="34" t="s">
        <v>94</v>
      </c>
      <c r="Y106" s="34"/>
      <c r="Z106" s="41" t="s">
        <v>94</v>
      </c>
      <c r="AA106" s="41" t="s">
        <v>94</v>
      </c>
      <c r="AB106" s="41" t="s">
        <v>94</v>
      </c>
      <c r="AC106" s="41" t="s">
        <v>94</v>
      </c>
      <c r="AD106" s="41" t="s">
        <v>94</v>
      </c>
      <c r="AE106" s="41" t="s">
        <v>94</v>
      </c>
      <c r="AF106" s="41" t="s">
        <v>94</v>
      </c>
      <c r="AG106" s="41" t="s">
        <v>94</v>
      </c>
      <c r="AH106" s="34" t="s">
        <v>94</v>
      </c>
      <c r="AI106" s="41" t="s">
        <v>94</v>
      </c>
      <c r="AJ106" s="34" t="s">
        <v>94</v>
      </c>
      <c r="AK106" s="34" t="s">
        <v>94</v>
      </c>
      <c r="AL106" s="41" t="s">
        <v>94</v>
      </c>
      <c r="AM106" s="34" t="s">
        <v>94</v>
      </c>
      <c r="AN106" s="258"/>
    </row>
    <row r="107" spans="1:40" hidden="1" x14ac:dyDescent="0.35">
      <c r="A107" s="265" t="s">
        <v>402</v>
      </c>
      <c r="B107" s="183" t="s">
        <v>131</v>
      </c>
      <c r="C107" s="184" t="s">
        <v>222</v>
      </c>
      <c r="D107" s="266" t="s">
        <v>403</v>
      </c>
      <c r="E107" s="260" t="s">
        <v>404</v>
      </c>
      <c r="F107" s="34" t="s">
        <v>87</v>
      </c>
      <c r="G107" s="34" t="s">
        <v>87</v>
      </c>
      <c r="H107" s="258"/>
      <c r="I107" s="43"/>
      <c r="J107" s="34"/>
      <c r="K107" s="34" t="s">
        <v>89</v>
      </c>
      <c r="L107" s="34" t="s">
        <v>90</v>
      </c>
      <c r="M107" s="34" t="s">
        <v>91</v>
      </c>
      <c r="N107" s="34" t="s">
        <v>120</v>
      </c>
      <c r="O107" s="34"/>
      <c r="P107" s="258"/>
      <c r="Q107" s="41" t="s">
        <v>94</v>
      </c>
      <c r="R107" s="34"/>
      <c r="S107" s="41"/>
      <c r="T107" s="41"/>
      <c r="U107" s="34"/>
      <c r="V107" s="34"/>
      <c r="W107" s="34"/>
      <c r="X107" s="34" t="s">
        <v>94</v>
      </c>
      <c r="Y107" s="34"/>
      <c r="Z107" s="41" t="s">
        <v>94</v>
      </c>
      <c r="AA107" s="41" t="s">
        <v>94</v>
      </c>
      <c r="AB107" s="41" t="s">
        <v>94</v>
      </c>
      <c r="AC107" s="41" t="s">
        <v>94</v>
      </c>
      <c r="AD107" s="41" t="s">
        <v>94</v>
      </c>
      <c r="AE107" s="41" t="s">
        <v>94</v>
      </c>
      <c r="AF107" s="41" t="s">
        <v>94</v>
      </c>
      <c r="AG107" s="41" t="s">
        <v>94</v>
      </c>
      <c r="AH107" s="34" t="s">
        <v>94</v>
      </c>
      <c r="AI107" s="41" t="s">
        <v>94</v>
      </c>
      <c r="AJ107" s="34" t="s">
        <v>94</v>
      </c>
      <c r="AK107" s="34" t="s">
        <v>94</v>
      </c>
      <c r="AL107" s="41" t="s">
        <v>94</v>
      </c>
      <c r="AM107" s="34" t="s">
        <v>94</v>
      </c>
      <c r="AN107" s="258"/>
    </row>
    <row r="108" spans="1:40" hidden="1" x14ac:dyDescent="0.35">
      <c r="A108" s="265" t="s">
        <v>405</v>
      </c>
      <c r="B108" s="183" t="s">
        <v>131</v>
      </c>
      <c r="C108" s="184" t="s">
        <v>222</v>
      </c>
      <c r="D108" s="266" t="s">
        <v>406</v>
      </c>
      <c r="E108" s="260" t="s">
        <v>407</v>
      </c>
      <c r="F108" s="34" t="s">
        <v>87</v>
      </c>
      <c r="G108" s="34" t="s">
        <v>87</v>
      </c>
      <c r="H108" s="258"/>
      <c r="I108" s="43"/>
      <c r="J108" s="34"/>
      <c r="K108" s="34" t="s">
        <v>89</v>
      </c>
      <c r="L108" s="34" t="s">
        <v>90</v>
      </c>
      <c r="M108" s="34" t="s">
        <v>91</v>
      </c>
      <c r="N108" s="34" t="s">
        <v>120</v>
      </c>
      <c r="O108" s="34"/>
      <c r="P108" s="258"/>
      <c r="Q108" s="41" t="s">
        <v>94</v>
      </c>
      <c r="R108" s="34"/>
      <c r="S108" s="41"/>
      <c r="T108" s="41"/>
      <c r="U108" s="34"/>
      <c r="V108" s="34"/>
      <c r="W108" s="34"/>
      <c r="X108" s="34" t="s">
        <v>94</v>
      </c>
      <c r="Y108" s="34"/>
      <c r="Z108" s="41" t="s">
        <v>94</v>
      </c>
      <c r="AA108" s="41" t="s">
        <v>94</v>
      </c>
      <c r="AB108" s="41" t="s">
        <v>94</v>
      </c>
      <c r="AC108" s="41" t="s">
        <v>94</v>
      </c>
      <c r="AD108" s="41" t="s">
        <v>94</v>
      </c>
      <c r="AE108" s="41" t="s">
        <v>94</v>
      </c>
      <c r="AF108" s="41" t="s">
        <v>94</v>
      </c>
      <c r="AG108" s="41" t="s">
        <v>94</v>
      </c>
      <c r="AH108" s="34" t="s">
        <v>94</v>
      </c>
      <c r="AI108" s="41" t="s">
        <v>94</v>
      </c>
      <c r="AJ108" s="34" t="s">
        <v>94</v>
      </c>
      <c r="AK108" s="34" t="s">
        <v>94</v>
      </c>
      <c r="AL108" s="41" t="s">
        <v>94</v>
      </c>
      <c r="AM108" s="34" t="s">
        <v>94</v>
      </c>
      <c r="AN108" s="258"/>
    </row>
    <row r="109" spans="1:40" hidden="1" x14ac:dyDescent="0.35">
      <c r="A109" s="265" t="s">
        <v>408</v>
      </c>
      <c r="B109" s="183" t="s">
        <v>131</v>
      </c>
      <c r="C109" s="184" t="s">
        <v>222</v>
      </c>
      <c r="D109" s="266" t="s">
        <v>409</v>
      </c>
      <c r="E109" s="260" t="s">
        <v>410</v>
      </c>
      <c r="F109" s="34" t="s">
        <v>87</v>
      </c>
      <c r="G109" s="34" t="s">
        <v>87</v>
      </c>
      <c r="H109" s="258"/>
      <c r="I109" s="43"/>
      <c r="J109" s="34"/>
      <c r="K109" s="34" t="s">
        <v>89</v>
      </c>
      <c r="L109" s="34" t="s">
        <v>90</v>
      </c>
      <c r="M109" s="34" t="s">
        <v>91</v>
      </c>
      <c r="N109" s="34" t="s">
        <v>120</v>
      </c>
      <c r="O109" s="34"/>
      <c r="P109" s="258"/>
      <c r="Q109" s="41" t="s">
        <v>94</v>
      </c>
      <c r="R109" s="34"/>
      <c r="S109" s="41"/>
      <c r="T109" s="41"/>
      <c r="U109" s="34"/>
      <c r="V109" s="34"/>
      <c r="W109" s="34"/>
      <c r="X109" s="34" t="s">
        <v>94</v>
      </c>
      <c r="Y109" s="34"/>
      <c r="Z109" s="41" t="s">
        <v>94</v>
      </c>
      <c r="AA109" s="41" t="s">
        <v>94</v>
      </c>
      <c r="AB109" s="41" t="s">
        <v>94</v>
      </c>
      <c r="AC109" s="41" t="s">
        <v>94</v>
      </c>
      <c r="AD109" s="41" t="s">
        <v>94</v>
      </c>
      <c r="AE109" s="41" t="s">
        <v>94</v>
      </c>
      <c r="AF109" s="41" t="s">
        <v>94</v>
      </c>
      <c r="AG109" s="41" t="s">
        <v>94</v>
      </c>
      <c r="AH109" s="34" t="s">
        <v>94</v>
      </c>
      <c r="AI109" s="41" t="s">
        <v>94</v>
      </c>
      <c r="AJ109" s="34" t="s">
        <v>94</v>
      </c>
      <c r="AK109" s="34" t="s">
        <v>94</v>
      </c>
      <c r="AL109" s="41" t="s">
        <v>94</v>
      </c>
      <c r="AM109" s="34" t="s">
        <v>94</v>
      </c>
      <c r="AN109" s="258"/>
    </row>
    <row r="110" spans="1:40" hidden="1" x14ac:dyDescent="0.35">
      <c r="A110" s="265" t="s">
        <v>411</v>
      </c>
      <c r="B110" s="183" t="s">
        <v>131</v>
      </c>
      <c r="C110" s="184" t="s">
        <v>222</v>
      </c>
      <c r="D110" s="266" t="s">
        <v>412</v>
      </c>
      <c r="E110" s="260" t="s">
        <v>413</v>
      </c>
      <c r="F110" s="34" t="s">
        <v>87</v>
      </c>
      <c r="G110" s="34" t="s">
        <v>87</v>
      </c>
      <c r="H110" s="258"/>
      <c r="I110" s="43"/>
      <c r="J110" s="34"/>
      <c r="K110" s="34" t="s">
        <v>89</v>
      </c>
      <c r="L110" s="34" t="s">
        <v>90</v>
      </c>
      <c r="M110" s="34" t="s">
        <v>91</v>
      </c>
      <c r="N110" s="34" t="s">
        <v>120</v>
      </c>
      <c r="O110" s="34"/>
      <c r="P110" s="258"/>
      <c r="Q110" s="41" t="s">
        <v>94</v>
      </c>
      <c r="R110" s="34"/>
      <c r="S110" s="41"/>
      <c r="T110" s="41"/>
      <c r="U110" s="34"/>
      <c r="V110" s="34"/>
      <c r="W110" s="34"/>
      <c r="X110" s="34" t="s">
        <v>94</v>
      </c>
      <c r="Y110" s="34"/>
      <c r="Z110" s="41" t="s">
        <v>94</v>
      </c>
      <c r="AA110" s="41" t="s">
        <v>94</v>
      </c>
      <c r="AB110" s="41" t="s">
        <v>94</v>
      </c>
      <c r="AC110" s="41" t="s">
        <v>94</v>
      </c>
      <c r="AD110" s="41" t="s">
        <v>94</v>
      </c>
      <c r="AE110" s="41" t="s">
        <v>94</v>
      </c>
      <c r="AF110" s="41" t="s">
        <v>94</v>
      </c>
      <c r="AG110" s="41" t="s">
        <v>94</v>
      </c>
      <c r="AH110" s="34" t="s">
        <v>94</v>
      </c>
      <c r="AI110" s="41" t="s">
        <v>94</v>
      </c>
      <c r="AJ110" s="34" t="s">
        <v>94</v>
      </c>
      <c r="AK110" s="34" t="s">
        <v>94</v>
      </c>
      <c r="AL110" s="41" t="s">
        <v>94</v>
      </c>
      <c r="AM110" s="34" t="s">
        <v>94</v>
      </c>
      <c r="AN110" s="258"/>
    </row>
    <row r="111" spans="1:40" hidden="1" x14ac:dyDescent="0.35">
      <c r="A111" s="265" t="s">
        <v>414</v>
      </c>
      <c r="B111" s="183" t="s">
        <v>131</v>
      </c>
      <c r="C111" s="184" t="s">
        <v>222</v>
      </c>
      <c r="D111" s="266" t="s">
        <v>415</v>
      </c>
      <c r="E111" s="260" t="s">
        <v>416</v>
      </c>
      <c r="F111" s="34" t="s">
        <v>87</v>
      </c>
      <c r="G111" s="34" t="s">
        <v>87</v>
      </c>
      <c r="H111" s="258"/>
      <c r="I111" s="43"/>
      <c r="J111" s="34"/>
      <c r="K111" s="34" t="s">
        <v>89</v>
      </c>
      <c r="L111" s="34" t="s">
        <v>90</v>
      </c>
      <c r="M111" s="34" t="s">
        <v>91</v>
      </c>
      <c r="N111" s="34" t="s">
        <v>120</v>
      </c>
      <c r="O111" s="34"/>
      <c r="P111" s="258"/>
      <c r="Q111" s="41" t="s">
        <v>94</v>
      </c>
      <c r="R111" s="34"/>
      <c r="S111" s="41"/>
      <c r="T111" s="41"/>
      <c r="U111" s="34"/>
      <c r="V111" s="34"/>
      <c r="W111" s="34"/>
      <c r="X111" s="34" t="s">
        <v>94</v>
      </c>
      <c r="Y111" s="34"/>
      <c r="Z111" s="41" t="s">
        <v>94</v>
      </c>
      <c r="AA111" s="41" t="s">
        <v>94</v>
      </c>
      <c r="AB111" s="41" t="s">
        <v>94</v>
      </c>
      <c r="AC111" s="41" t="s">
        <v>94</v>
      </c>
      <c r="AD111" s="41" t="s">
        <v>94</v>
      </c>
      <c r="AE111" s="41" t="s">
        <v>94</v>
      </c>
      <c r="AF111" s="41" t="s">
        <v>94</v>
      </c>
      <c r="AG111" s="41" t="s">
        <v>94</v>
      </c>
      <c r="AH111" s="34" t="s">
        <v>94</v>
      </c>
      <c r="AI111" s="41" t="s">
        <v>94</v>
      </c>
      <c r="AJ111" s="34" t="s">
        <v>94</v>
      </c>
      <c r="AK111" s="34" t="s">
        <v>94</v>
      </c>
      <c r="AL111" s="41" t="s">
        <v>94</v>
      </c>
      <c r="AM111" s="34" t="s">
        <v>94</v>
      </c>
      <c r="AN111" s="258"/>
    </row>
    <row r="112" spans="1:40" hidden="1" x14ac:dyDescent="0.35">
      <c r="A112" s="265" t="s">
        <v>417</v>
      </c>
      <c r="B112" s="183" t="s">
        <v>131</v>
      </c>
      <c r="C112" s="184" t="s">
        <v>222</v>
      </c>
      <c r="D112" s="266" t="s">
        <v>418</v>
      </c>
      <c r="E112" s="260" t="s">
        <v>419</v>
      </c>
      <c r="F112" s="34" t="s">
        <v>87</v>
      </c>
      <c r="G112" s="34" t="s">
        <v>87</v>
      </c>
      <c r="H112" s="258"/>
      <c r="I112" s="43"/>
      <c r="J112" s="34"/>
      <c r="K112" s="34" t="s">
        <v>89</v>
      </c>
      <c r="L112" s="34" t="s">
        <v>90</v>
      </c>
      <c r="M112" s="34" t="s">
        <v>91</v>
      </c>
      <c r="N112" s="34" t="s">
        <v>120</v>
      </c>
      <c r="O112" s="34"/>
      <c r="P112" s="258"/>
      <c r="Q112" s="41" t="s">
        <v>94</v>
      </c>
      <c r="R112" s="34"/>
      <c r="S112" s="41"/>
      <c r="T112" s="41"/>
      <c r="U112" s="34"/>
      <c r="V112" s="34"/>
      <c r="W112" s="34"/>
      <c r="X112" s="34" t="s">
        <v>94</v>
      </c>
      <c r="Y112" s="34"/>
      <c r="Z112" s="41" t="s">
        <v>94</v>
      </c>
      <c r="AA112" s="41" t="s">
        <v>94</v>
      </c>
      <c r="AB112" s="41" t="s">
        <v>94</v>
      </c>
      <c r="AC112" s="41" t="s">
        <v>94</v>
      </c>
      <c r="AD112" s="41" t="s">
        <v>94</v>
      </c>
      <c r="AE112" s="41" t="s">
        <v>94</v>
      </c>
      <c r="AF112" s="41" t="s">
        <v>94</v>
      </c>
      <c r="AG112" s="41" t="s">
        <v>94</v>
      </c>
      <c r="AH112" s="34" t="s">
        <v>94</v>
      </c>
      <c r="AI112" s="41" t="s">
        <v>94</v>
      </c>
      <c r="AJ112" s="34" t="s">
        <v>94</v>
      </c>
      <c r="AK112" s="34" t="s">
        <v>94</v>
      </c>
      <c r="AL112" s="41" t="s">
        <v>94</v>
      </c>
      <c r="AM112" s="34" t="s">
        <v>94</v>
      </c>
      <c r="AN112" s="258"/>
    </row>
    <row r="113" spans="1:40" hidden="1" x14ac:dyDescent="0.35">
      <c r="A113" s="265" t="s">
        <v>420</v>
      </c>
      <c r="B113" s="183" t="s">
        <v>131</v>
      </c>
      <c r="C113" s="184" t="s">
        <v>222</v>
      </c>
      <c r="D113" s="266" t="s">
        <v>421</v>
      </c>
      <c r="E113" s="260" t="s">
        <v>422</v>
      </c>
      <c r="F113" s="34" t="s">
        <v>87</v>
      </c>
      <c r="G113" s="34" t="s">
        <v>87</v>
      </c>
      <c r="H113" s="258"/>
      <c r="I113" s="43"/>
      <c r="J113" s="34"/>
      <c r="K113" s="34" t="s">
        <v>89</v>
      </c>
      <c r="L113" s="34" t="s">
        <v>90</v>
      </c>
      <c r="M113" s="34" t="s">
        <v>91</v>
      </c>
      <c r="N113" s="34" t="s">
        <v>120</v>
      </c>
      <c r="O113" s="34"/>
      <c r="P113" s="258"/>
      <c r="Q113" s="41" t="s">
        <v>94</v>
      </c>
      <c r="R113" s="34"/>
      <c r="S113" s="41"/>
      <c r="T113" s="41"/>
      <c r="U113" s="34"/>
      <c r="V113" s="34"/>
      <c r="W113" s="34"/>
      <c r="X113" s="34" t="s">
        <v>94</v>
      </c>
      <c r="Y113" s="34"/>
      <c r="Z113" s="41" t="s">
        <v>94</v>
      </c>
      <c r="AA113" s="41" t="s">
        <v>94</v>
      </c>
      <c r="AB113" s="41" t="s">
        <v>94</v>
      </c>
      <c r="AC113" s="41" t="s">
        <v>94</v>
      </c>
      <c r="AD113" s="41" t="s">
        <v>94</v>
      </c>
      <c r="AE113" s="41" t="s">
        <v>94</v>
      </c>
      <c r="AF113" s="41" t="s">
        <v>94</v>
      </c>
      <c r="AG113" s="41" t="s">
        <v>94</v>
      </c>
      <c r="AH113" s="34" t="s">
        <v>94</v>
      </c>
      <c r="AI113" s="41" t="s">
        <v>94</v>
      </c>
      <c r="AJ113" s="34" t="s">
        <v>94</v>
      </c>
      <c r="AK113" s="34" t="s">
        <v>94</v>
      </c>
      <c r="AL113" s="41" t="s">
        <v>94</v>
      </c>
      <c r="AM113" s="34" t="s">
        <v>94</v>
      </c>
      <c r="AN113" s="258"/>
    </row>
    <row r="114" spans="1:40" hidden="1" x14ac:dyDescent="0.35">
      <c r="A114" s="265" t="s">
        <v>423</v>
      </c>
      <c r="B114" s="34" t="s">
        <v>424</v>
      </c>
      <c r="C114" s="34" t="s">
        <v>222</v>
      </c>
      <c r="D114" s="41" t="s">
        <v>425</v>
      </c>
      <c r="E114" s="254" t="s">
        <v>426</v>
      </c>
      <c r="F114" s="34" t="s">
        <v>87</v>
      </c>
      <c r="G114" s="34" t="s">
        <v>87</v>
      </c>
      <c r="H114" s="258" t="s">
        <v>427</v>
      </c>
      <c r="I114" s="43"/>
      <c r="J114" s="254" t="s">
        <v>428</v>
      </c>
      <c r="K114" s="34" t="s">
        <v>89</v>
      </c>
      <c r="L114" s="34" t="s">
        <v>90</v>
      </c>
      <c r="M114" s="34" t="s">
        <v>91</v>
      </c>
      <c r="N114" s="34" t="s">
        <v>429</v>
      </c>
      <c r="O114" s="34"/>
      <c r="P114" s="34"/>
      <c r="Q114" s="41"/>
      <c r="R114" s="34"/>
      <c r="S114" s="41"/>
      <c r="T114" s="41"/>
      <c r="U114" s="34"/>
      <c r="V114" s="34"/>
      <c r="W114" s="34"/>
      <c r="X114" s="34" t="s">
        <v>94</v>
      </c>
      <c r="Y114" s="34"/>
      <c r="Z114" s="41"/>
      <c r="AA114" s="41"/>
      <c r="AB114" s="41"/>
      <c r="AC114" s="41"/>
      <c r="AD114" s="41"/>
      <c r="AE114" s="41"/>
      <c r="AF114" s="41"/>
      <c r="AG114" s="41"/>
      <c r="AH114" s="34" t="s">
        <v>94</v>
      </c>
      <c r="AI114" s="41"/>
      <c r="AJ114" s="34"/>
      <c r="AK114" s="34"/>
      <c r="AL114" s="41"/>
      <c r="AM114" s="34"/>
      <c r="AN114" s="256"/>
    </row>
    <row r="115" spans="1:40" hidden="1" x14ac:dyDescent="0.35">
      <c r="A115" s="265" t="s">
        <v>430</v>
      </c>
      <c r="B115" s="34" t="s">
        <v>431</v>
      </c>
      <c r="C115" s="34" t="s">
        <v>84</v>
      </c>
      <c r="D115" s="258"/>
      <c r="E115" s="257"/>
      <c r="F115" s="34" t="s">
        <v>87</v>
      </c>
      <c r="G115" s="34" t="s">
        <v>87</v>
      </c>
      <c r="H115" s="258"/>
      <c r="I115" s="43"/>
      <c r="J115" s="34"/>
      <c r="K115" s="258"/>
      <c r="L115" s="34"/>
      <c r="M115" s="34" t="s">
        <v>91</v>
      </c>
      <c r="N115" s="34" t="s">
        <v>432</v>
      </c>
      <c r="O115" s="34"/>
      <c r="P115" s="34" t="s">
        <v>94</v>
      </c>
      <c r="Q115" s="34" t="s">
        <v>94</v>
      </c>
      <c r="R115" s="258"/>
      <c r="S115" s="258"/>
      <c r="T115" s="258"/>
      <c r="U115" s="258"/>
      <c r="V115" s="258"/>
      <c r="W115" s="258"/>
      <c r="X115" s="34" t="s">
        <v>94</v>
      </c>
      <c r="Y115" s="258"/>
      <c r="Z115" s="34" t="s">
        <v>94</v>
      </c>
      <c r="AA115" s="34" t="s">
        <v>94</v>
      </c>
      <c r="AB115" s="34" t="s">
        <v>94</v>
      </c>
      <c r="AC115" s="34" t="s">
        <v>94</v>
      </c>
      <c r="AD115" s="34" t="s">
        <v>94</v>
      </c>
      <c r="AE115" s="34" t="s">
        <v>94</v>
      </c>
      <c r="AF115" s="34" t="s">
        <v>94</v>
      </c>
      <c r="AG115" s="34" t="s">
        <v>94</v>
      </c>
      <c r="AH115" s="34" t="s">
        <v>94</v>
      </c>
      <c r="AI115" s="34" t="s">
        <v>94</v>
      </c>
      <c r="AJ115" s="34" t="s">
        <v>94</v>
      </c>
      <c r="AK115" s="34" t="s">
        <v>94</v>
      </c>
      <c r="AL115" s="34" t="s">
        <v>94</v>
      </c>
      <c r="AM115" s="34" t="s">
        <v>94</v>
      </c>
      <c r="AN115" s="258"/>
    </row>
    <row r="116" spans="1:40" hidden="1" x14ac:dyDescent="0.35">
      <c r="A116" s="265" t="s">
        <v>433</v>
      </c>
      <c r="B116" s="34" t="s">
        <v>431</v>
      </c>
      <c r="C116" s="34" t="s">
        <v>84</v>
      </c>
      <c r="D116" s="258"/>
      <c r="E116" s="257"/>
      <c r="F116" s="34" t="s">
        <v>87</v>
      </c>
      <c r="G116" s="34" t="s">
        <v>87</v>
      </c>
      <c r="H116" s="258"/>
      <c r="I116" s="43"/>
      <c r="J116" s="34"/>
      <c r="K116" s="258"/>
      <c r="L116" s="34"/>
      <c r="M116" s="34" t="s">
        <v>91</v>
      </c>
      <c r="N116" s="34" t="s">
        <v>432</v>
      </c>
      <c r="O116" s="34"/>
      <c r="P116" s="34" t="s">
        <v>94</v>
      </c>
      <c r="Q116" s="34" t="s">
        <v>94</v>
      </c>
      <c r="R116" s="258"/>
      <c r="S116" s="258"/>
      <c r="T116" s="258"/>
      <c r="U116" s="258"/>
      <c r="V116" s="258"/>
      <c r="W116" s="258"/>
      <c r="X116" s="34" t="s">
        <v>94</v>
      </c>
      <c r="Y116" s="258"/>
      <c r="Z116" s="34" t="s">
        <v>94</v>
      </c>
      <c r="AA116" s="34" t="s">
        <v>94</v>
      </c>
      <c r="AB116" s="34" t="s">
        <v>94</v>
      </c>
      <c r="AC116" s="34" t="s">
        <v>94</v>
      </c>
      <c r="AD116" s="34" t="s">
        <v>94</v>
      </c>
      <c r="AE116" s="34" t="s">
        <v>94</v>
      </c>
      <c r="AF116" s="34" t="s">
        <v>94</v>
      </c>
      <c r="AG116" s="34" t="s">
        <v>94</v>
      </c>
      <c r="AH116" s="34" t="s">
        <v>94</v>
      </c>
      <c r="AI116" s="34" t="s">
        <v>94</v>
      </c>
      <c r="AJ116" s="34" t="s">
        <v>94</v>
      </c>
      <c r="AK116" s="34" t="s">
        <v>94</v>
      </c>
      <c r="AL116" s="34" t="s">
        <v>94</v>
      </c>
      <c r="AM116" s="34" t="s">
        <v>94</v>
      </c>
      <c r="AN116" s="258"/>
    </row>
    <row r="117" spans="1:40" hidden="1" x14ac:dyDescent="0.35">
      <c r="A117" s="265" t="s">
        <v>434</v>
      </c>
      <c r="B117" s="34" t="s">
        <v>431</v>
      </c>
      <c r="C117" s="34" t="s">
        <v>84</v>
      </c>
      <c r="D117" s="258"/>
      <c r="E117" s="257"/>
      <c r="F117" s="34" t="s">
        <v>87</v>
      </c>
      <c r="G117" s="34" t="s">
        <v>87</v>
      </c>
      <c r="H117" s="258"/>
      <c r="I117" s="43"/>
      <c r="J117" s="34"/>
      <c r="K117" s="258"/>
      <c r="L117" s="34"/>
      <c r="M117" s="34" t="s">
        <v>91</v>
      </c>
      <c r="N117" s="34" t="s">
        <v>432</v>
      </c>
      <c r="O117" s="34"/>
      <c r="P117" s="34" t="s">
        <v>94</v>
      </c>
      <c r="Q117" s="34" t="s">
        <v>94</v>
      </c>
      <c r="R117" s="258"/>
      <c r="S117" s="258"/>
      <c r="T117" s="258"/>
      <c r="U117" s="258"/>
      <c r="V117" s="258"/>
      <c r="W117" s="258"/>
      <c r="X117" s="34" t="s">
        <v>94</v>
      </c>
      <c r="Y117" s="258"/>
      <c r="Z117" s="34" t="s">
        <v>94</v>
      </c>
      <c r="AA117" s="34" t="s">
        <v>94</v>
      </c>
      <c r="AB117" s="34" t="s">
        <v>94</v>
      </c>
      <c r="AC117" s="34" t="s">
        <v>94</v>
      </c>
      <c r="AD117" s="34" t="s">
        <v>94</v>
      </c>
      <c r="AE117" s="34" t="s">
        <v>94</v>
      </c>
      <c r="AF117" s="34" t="s">
        <v>94</v>
      </c>
      <c r="AG117" s="34" t="s">
        <v>94</v>
      </c>
      <c r="AH117" s="34" t="s">
        <v>94</v>
      </c>
      <c r="AI117" s="34" t="s">
        <v>94</v>
      </c>
      <c r="AJ117" s="34" t="s">
        <v>94</v>
      </c>
      <c r="AK117" s="34" t="s">
        <v>94</v>
      </c>
      <c r="AL117" s="34" t="s">
        <v>94</v>
      </c>
      <c r="AM117" s="34" t="s">
        <v>94</v>
      </c>
      <c r="AN117" s="258"/>
    </row>
    <row r="118" spans="1:40" hidden="1" x14ac:dyDescent="0.35">
      <c r="A118" s="265" t="s">
        <v>435</v>
      </c>
      <c r="B118" s="34" t="s">
        <v>431</v>
      </c>
      <c r="C118" s="34" t="s">
        <v>84</v>
      </c>
      <c r="D118" s="258"/>
      <c r="E118" s="257"/>
      <c r="F118" s="34" t="s">
        <v>87</v>
      </c>
      <c r="G118" s="34" t="s">
        <v>87</v>
      </c>
      <c r="H118" s="258"/>
      <c r="I118" s="43"/>
      <c r="J118" s="34"/>
      <c r="K118" s="258"/>
      <c r="L118" s="34"/>
      <c r="M118" s="34" t="s">
        <v>91</v>
      </c>
      <c r="N118" s="34" t="s">
        <v>432</v>
      </c>
      <c r="O118" s="34"/>
      <c r="P118" s="34" t="s">
        <v>94</v>
      </c>
      <c r="Q118" s="34" t="s">
        <v>94</v>
      </c>
      <c r="R118" s="258"/>
      <c r="S118" s="258"/>
      <c r="T118" s="258"/>
      <c r="U118" s="258"/>
      <c r="V118" s="258"/>
      <c r="W118" s="258"/>
      <c r="X118" s="34" t="s">
        <v>94</v>
      </c>
      <c r="Y118" s="258"/>
      <c r="Z118" s="34" t="s">
        <v>94</v>
      </c>
      <c r="AA118" s="34" t="s">
        <v>94</v>
      </c>
      <c r="AB118" s="34" t="s">
        <v>94</v>
      </c>
      <c r="AC118" s="34" t="s">
        <v>94</v>
      </c>
      <c r="AD118" s="34" t="s">
        <v>94</v>
      </c>
      <c r="AE118" s="34" t="s">
        <v>94</v>
      </c>
      <c r="AF118" s="34" t="s">
        <v>94</v>
      </c>
      <c r="AG118" s="34" t="s">
        <v>94</v>
      </c>
      <c r="AH118" s="34" t="s">
        <v>94</v>
      </c>
      <c r="AI118" s="34" t="s">
        <v>94</v>
      </c>
      <c r="AJ118" s="34" t="s">
        <v>94</v>
      </c>
      <c r="AK118" s="34" t="s">
        <v>94</v>
      </c>
      <c r="AL118" s="34" t="s">
        <v>94</v>
      </c>
      <c r="AM118" s="34" t="s">
        <v>94</v>
      </c>
      <c r="AN118" s="258"/>
    </row>
    <row r="119" spans="1:40" hidden="1" x14ac:dyDescent="0.35">
      <c r="A119" s="265" t="s">
        <v>436</v>
      </c>
      <c r="B119" s="34" t="s">
        <v>431</v>
      </c>
      <c r="C119" s="34" t="s">
        <v>84</v>
      </c>
      <c r="D119" s="258"/>
      <c r="E119" s="257"/>
      <c r="F119" s="34" t="s">
        <v>87</v>
      </c>
      <c r="G119" s="34" t="s">
        <v>87</v>
      </c>
      <c r="H119" s="258"/>
      <c r="I119" s="43"/>
      <c r="J119" s="34"/>
      <c r="K119" s="258"/>
      <c r="L119" s="34"/>
      <c r="M119" s="34" t="s">
        <v>91</v>
      </c>
      <c r="N119" s="34" t="s">
        <v>432</v>
      </c>
      <c r="O119" s="34"/>
      <c r="P119" s="34" t="s">
        <v>94</v>
      </c>
      <c r="Q119" s="34" t="s">
        <v>94</v>
      </c>
      <c r="R119" s="258"/>
      <c r="S119" s="258"/>
      <c r="T119" s="258"/>
      <c r="U119" s="258"/>
      <c r="V119" s="258"/>
      <c r="W119" s="258"/>
      <c r="X119" s="34" t="s">
        <v>94</v>
      </c>
      <c r="Y119" s="258"/>
      <c r="Z119" s="34" t="s">
        <v>94</v>
      </c>
      <c r="AA119" s="34" t="s">
        <v>94</v>
      </c>
      <c r="AB119" s="34" t="s">
        <v>94</v>
      </c>
      <c r="AC119" s="34" t="s">
        <v>94</v>
      </c>
      <c r="AD119" s="34" t="s">
        <v>94</v>
      </c>
      <c r="AE119" s="34" t="s">
        <v>94</v>
      </c>
      <c r="AF119" s="34" t="s">
        <v>94</v>
      </c>
      <c r="AG119" s="34" t="s">
        <v>94</v>
      </c>
      <c r="AH119" s="34" t="s">
        <v>94</v>
      </c>
      <c r="AI119" s="34" t="s">
        <v>94</v>
      </c>
      <c r="AJ119" s="34" t="s">
        <v>94</v>
      </c>
      <c r="AK119" s="34" t="s">
        <v>94</v>
      </c>
      <c r="AL119" s="34" t="s">
        <v>94</v>
      </c>
      <c r="AM119" s="34" t="s">
        <v>94</v>
      </c>
      <c r="AN119" s="258"/>
    </row>
    <row r="120" spans="1:40" hidden="1" x14ac:dyDescent="0.35">
      <c r="A120" s="265" t="s">
        <v>437</v>
      </c>
      <c r="B120" s="34" t="s">
        <v>431</v>
      </c>
      <c r="C120" s="34" t="s">
        <v>84</v>
      </c>
      <c r="D120" s="258"/>
      <c r="E120" s="257"/>
      <c r="F120" s="34" t="s">
        <v>87</v>
      </c>
      <c r="G120" s="34" t="s">
        <v>87</v>
      </c>
      <c r="H120" s="258"/>
      <c r="I120" s="43"/>
      <c r="J120" s="34"/>
      <c r="K120" s="258"/>
      <c r="L120" s="34"/>
      <c r="M120" s="34" t="s">
        <v>91</v>
      </c>
      <c r="N120" s="34" t="s">
        <v>432</v>
      </c>
      <c r="O120" s="34"/>
      <c r="P120" s="34" t="s">
        <v>94</v>
      </c>
      <c r="Q120" s="34" t="s">
        <v>94</v>
      </c>
      <c r="R120" s="258"/>
      <c r="S120" s="258"/>
      <c r="T120" s="258"/>
      <c r="U120" s="258"/>
      <c r="V120" s="258"/>
      <c r="W120" s="258"/>
      <c r="X120" s="34" t="s">
        <v>94</v>
      </c>
      <c r="Y120" s="258"/>
      <c r="Z120" s="34" t="s">
        <v>94</v>
      </c>
      <c r="AA120" s="34" t="s">
        <v>94</v>
      </c>
      <c r="AB120" s="34" t="s">
        <v>94</v>
      </c>
      <c r="AC120" s="34" t="s">
        <v>94</v>
      </c>
      <c r="AD120" s="34" t="s">
        <v>94</v>
      </c>
      <c r="AE120" s="34" t="s">
        <v>94</v>
      </c>
      <c r="AF120" s="34" t="s">
        <v>94</v>
      </c>
      <c r="AG120" s="34" t="s">
        <v>94</v>
      </c>
      <c r="AH120" s="34" t="s">
        <v>94</v>
      </c>
      <c r="AI120" s="34" t="s">
        <v>94</v>
      </c>
      <c r="AJ120" s="34" t="s">
        <v>94</v>
      </c>
      <c r="AK120" s="34" t="s">
        <v>94</v>
      </c>
      <c r="AL120" s="34" t="s">
        <v>94</v>
      </c>
      <c r="AM120" s="34" t="s">
        <v>94</v>
      </c>
      <c r="AN120" s="258"/>
    </row>
    <row r="121" spans="1:40" hidden="1" x14ac:dyDescent="0.35">
      <c r="A121" s="265" t="s">
        <v>438</v>
      </c>
      <c r="B121" s="34" t="s">
        <v>431</v>
      </c>
      <c r="C121" s="34" t="s">
        <v>84</v>
      </c>
      <c r="D121" s="258"/>
      <c r="E121" s="257"/>
      <c r="F121" s="34" t="s">
        <v>87</v>
      </c>
      <c r="G121" s="34" t="s">
        <v>87</v>
      </c>
      <c r="H121" s="258"/>
      <c r="I121" s="43"/>
      <c r="J121" s="34"/>
      <c r="K121" s="258"/>
      <c r="L121" s="34"/>
      <c r="M121" s="34" t="s">
        <v>91</v>
      </c>
      <c r="N121" s="34" t="s">
        <v>432</v>
      </c>
      <c r="O121" s="34"/>
      <c r="P121" s="34" t="s">
        <v>94</v>
      </c>
      <c r="Q121" s="34" t="s">
        <v>94</v>
      </c>
      <c r="R121" s="258"/>
      <c r="S121" s="258"/>
      <c r="T121" s="258"/>
      <c r="U121" s="258"/>
      <c r="V121" s="258"/>
      <c r="W121" s="258"/>
      <c r="X121" s="34" t="s">
        <v>94</v>
      </c>
      <c r="Y121" s="258"/>
      <c r="Z121" s="34" t="s">
        <v>94</v>
      </c>
      <c r="AA121" s="34" t="s">
        <v>94</v>
      </c>
      <c r="AB121" s="34" t="s">
        <v>94</v>
      </c>
      <c r="AC121" s="34" t="s">
        <v>94</v>
      </c>
      <c r="AD121" s="34" t="s">
        <v>94</v>
      </c>
      <c r="AE121" s="34" t="s">
        <v>94</v>
      </c>
      <c r="AF121" s="34" t="s">
        <v>94</v>
      </c>
      <c r="AG121" s="34" t="s">
        <v>94</v>
      </c>
      <c r="AH121" s="34" t="s">
        <v>94</v>
      </c>
      <c r="AI121" s="34" t="s">
        <v>94</v>
      </c>
      <c r="AJ121" s="34" t="s">
        <v>94</v>
      </c>
      <c r="AK121" s="34" t="s">
        <v>94</v>
      </c>
      <c r="AL121" s="34" t="s">
        <v>94</v>
      </c>
      <c r="AM121" s="34" t="s">
        <v>94</v>
      </c>
      <c r="AN121" s="258"/>
    </row>
    <row r="122" spans="1:40" hidden="1" x14ac:dyDescent="0.35">
      <c r="A122" s="265" t="s">
        <v>439</v>
      </c>
      <c r="B122" s="34" t="s">
        <v>431</v>
      </c>
      <c r="C122" s="34" t="s">
        <v>84</v>
      </c>
      <c r="D122" s="258"/>
      <c r="E122" s="257"/>
      <c r="F122" s="34" t="s">
        <v>87</v>
      </c>
      <c r="G122" s="34" t="s">
        <v>87</v>
      </c>
      <c r="H122" s="258"/>
      <c r="I122" s="43"/>
      <c r="J122" s="34"/>
      <c r="K122" s="258"/>
      <c r="L122" s="34"/>
      <c r="M122" s="34" t="s">
        <v>91</v>
      </c>
      <c r="N122" s="34" t="s">
        <v>432</v>
      </c>
      <c r="O122" s="34"/>
      <c r="P122" s="34" t="s">
        <v>94</v>
      </c>
      <c r="Q122" s="34" t="s">
        <v>94</v>
      </c>
      <c r="R122" s="258"/>
      <c r="S122" s="258"/>
      <c r="T122" s="258"/>
      <c r="U122" s="258"/>
      <c r="V122" s="258"/>
      <c r="W122" s="258"/>
      <c r="X122" s="34" t="s">
        <v>94</v>
      </c>
      <c r="Y122" s="258"/>
      <c r="Z122" s="34" t="s">
        <v>94</v>
      </c>
      <c r="AA122" s="34" t="s">
        <v>94</v>
      </c>
      <c r="AB122" s="34" t="s">
        <v>94</v>
      </c>
      <c r="AC122" s="34" t="s">
        <v>94</v>
      </c>
      <c r="AD122" s="34" t="s">
        <v>94</v>
      </c>
      <c r="AE122" s="34" t="s">
        <v>94</v>
      </c>
      <c r="AF122" s="34" t="s">
        <v>94</v>
      </c>
      <c r="AG122" s="34" t="s">
        <v>94</v>
      </c>
      <c r="AH122" s="34" t="s">
        <v>94</v>
      </c>
      <c r="AI122" s="34" t="s">
        <v>94</v>
      </c>
      <c r="AJ122" s="34" t="s">
        <v>94</v>
      </c>
      <c r="AK122" s="34" t="s">
        <v>94</v>
      </c>
      <c r="AL122" s="34" t="s">
        <v>94</v>
      </c>
      <c r="AM122" s="34" t="s">
        <v>94</v>
      </c>
      <c r="AN122" s="258"/>
    </row>
    <row r="123" spans="1:40" hidden="1" x14ac:dyDescent="0.35">
      <c r="A123" s="265" t="s">
        <v>440</v>
      </c>
      <c r="B123" s="34" t="s">
        <v>431</v>
      </c>
      <c r="C123" s="34" t="s">
        <v>84</v>
      </c>
      <c r="D123" s="258"/>
      <c r="E123" s="257"/>
      <c r="F123" s="34" t="s">
        <v>87</v>
      </c>
      <c r="G123" s="34" t="s">
        <v>87</v>
      </c>
      <c r="H123" s="258"/>
      <c r="I123" s="43"/>
      <c r="J123" s="34"/>
      <c r="K123" s="258"/>
      <c r="L123" s="34"/>
      <c r="M123" s="34" t="s">
        <v>91</v>
      </c>
      <c r="N123" s="34" t="s">
        <v>432</v>
      </c>
      <c r="O123" s="34"/>
      <c r="P123" s="34" t="s">
        <v>94</v>
      </c>
      <c r="Q123" s="34" t="s">
        <v>94</v>
      </c>
      <c r="R123" s="258"/>
      <c r="S123" s="258"/>
      <c r="T123" s="258"/>
      <c r="U123" s="258"/>
      <c r="V123" s="258"/>
      <c r="W123" s="258"/>
      <c r="X123" s="34" t="s">
        <v>94</v>
      </c>
      <c r="Y123" s="258"/>
      <c r="Z123" s="34" t="s">
        <v>94</v>
      </c>
      <c r="AA123" s="34" t="s">
        <v>94</v>
      </c>
      <c r="AB123" s="34" t="s">
        <v>94</v>
      </c>
      <c r="AC123" s="34" t="s">
        <v>94</v>
      </c>
      <c r="AD123" s="34" t="s">
        <v>94</v>
      </c>
      <c r="AE123" s="34" t="s">
        <v>94</v>
      </c>
      <c r="AF123" s="34" t="s">
        <v>94</v>
      </c>
      <c r="AG123" s="34" t="s">
        <v>94</v>
      </c>
      <c r="AH123" s="34" t="s">
        <v>94</v>
      </c>
      <c r="AI123" s="34" t="s">
        <v>94</v>
      </c>
      <c r="AJ123" s="34" t="s">
        <v>94</v>
      </c>
      <c r="AK123" s="34" t="s">
        <v>94</v>
      </c>
      <c r="AL123" s="34" t="s">
        <v>94</v>
      </c>
      <c r="AM123" s="34" t="s">
        <v>94</v>
      </c>
      <c r="AN123" s="258"/>
    </row>
    <row r="124" spans="1:40" x14ac:dyDescent="0.35">
      <c r="A124" s="300"/>
      <c r="B124" s="34"/>
      <c r="C124" s="34"/>
      <c r="D124" s="258"/>
      <c r="E124" s="257"/>
      <c r="F124" s="258"/>
      <c r="G124" s="258"/>
      <c r="H124" s="258"/>
      <c r="I124" s="43"/>
      <c r="J124" s="34"/>
      <c r="K124" s="258"/>
      <c r="L124" s="34"/>
      <c r="M124" s="258"/>
      <c r="N124" s="258"/>
      <c r="O124" s="34"/>
      <c r="P124" s="258"/>
      <c r="Q124" s="258"/>
      <c r="R124" s="258"/>
      <c r="S124" s="258"/>
      <c r="T124" s="258"/>
      <c r="U124" s="258"/>
      <c r="V124" s="258"/>
      <c r="W124" s="258"/>
      <c r="X124" s="258"/>
      <c r="Y124" s="258"/>
      <c r="Z124" s="258"/>
      <c r="AA124" s="258"/>
      <c r="AB124" s="258"/>
      <c r="AC124" s="258"/>
      <c r="AD124" s="258"/>
      <c r="AE124" s="258"/>
      <c r="AF124" s="258"/>
      <c r="AG124" s="258"/>
      <c r="AH124" s="258"/>
      <c r="AI124" s="258"/>
      <c r="AJ124" s="258"/>
      <c r="AK124" s="258"/>
      <c r="AL124" s="258"/>
      <c r="AM124" s="258"/>
      <c r="AN124" s="258"/>
    </row>
    <row r="125" spans="1:40" x14ac:dyDescent="0.35">
      <c r="A125" s="300"/>
      <c r="B125" s="34"/>
      <c r="C125" s="34"/>
      <c r="D125" s="258"/>
      <c r="E125" s="257"/>
      <c r="F125" s="258"/>
      <c r="G125" s="258"/>
      <c r="H125" s="258"/>
      <c r="I125" s="43"/>
      <c r="J125" s="34"/>
      <c r="K125" s="258"/>
      <c r="L125" s="34"/>
      <c r="M125" s="258"/>
      <c r="N125" s="258"/>
      <c r="O125" s="34"/>
      <c r="P125" s="258"/>
      <c r="Q125" s="258"/>
      <c r="R125" s="258"/>
      <c r="S125" s="258"/>
      <c r="T125" s="258"/>
      <c r="U125" s="258"/>
      <c r="V125" s="258"/>
      <c r="W125" s="258"/>
      <c r="X125" s="258"/>
      <c r="Y125" s="258"/>
      <c r="Z125" s="258"/>
      <c r="AA125" s="258"/>
      <c r="AB125" s="258"/>
      <c r="AC125" s="258"/>
      <c r="AD125" s="258"/>
      <c r="AE125" s="258"/>
      <c r="AF125" s="258"/>
      <c r="AG125" s="258"/>
      <c r="AH125" s="258"/>
      <c r="AI125" s="258"/>
      <c r="AJ125" s="258"/>
      <c r="AK125" s="258"/>
      <c r="AL125" s="258"/>
      <c r="AM125" s="258"/>
      <c r="AN125" s="258"/>
    </row>
    <row r="126" spans="1:40" x14ac:dyDescent="0.35">
      <c r="A126" s="300"/>
      <c r="B126" s="34"/>
      <c r="C126" s="34"/>
      <c r="D126" s="258"/>
      <c r="E126" s="257"/>
      <c r="F126" s="258"/>
      <c r="G126" s="258"/>
      <c r="H126" s="258"/>
      <c r="I126" s="43"/>
      <c r="J126" s="34"/>
      <c r="K126" s="258"/>
      <c r="L126" s="34"/>
      <c r="M126" s="258"/>
      <c r="N126" s="258"/>
      <c r="O126" s="34"/>
      <c r="P126" s="258"/>
      <c r="Q126" s="258"/>
      <c r="R126" s="258"/>
      <c r="S126" s="258"/>
      <c r="T126" s="258"/>
      <c r="U126" s="258"/>
      <c r="V126" s="258"/>
      <c r="W126" s="258"/>
      <c r="X126" s="258"/>
      <c r="Y126" s="258"/>
      <c r="Z126" s="258"/>
      <c r="AA126" s="258"/>
      <c r="AB126" s="258"/>
      <c r="AC126" s="258"/>
      <c r="AD126" s="258"/>
      <c r="AE126" s="258"/>
      <c r="AF126" s="258"/>
      <c r="AG126" s="258"/>
      <c r="AH126" s="258"/>
      <c r="AI126" s="258"/>
      <c r="AJ126" s="258"/>
      <c r="AK126" s="258"/>
      <c r="AL126" s="258"/>
      <c r="AM126" s="258"/>
      <c r="AN126" s="258"/>
    </row>
    <row r="127" spans="1:40" x14ac:dyDescent="0.35">
      <c r="A127" s="300"/>
      <c r="B127" s="34"/>
      <c r="C127" s="34"/>
      <c r="D127" s="258"/>
      <c r="E127" s="257"/>
      <c r="F127" s="258"/>
      <c r="G127" s="258"/>
      <c r="H127" s="258"/>
      <c r="I127" s="43"/>
      <c r="J127" s="34"/>
      <c r="K127" s="258"/>
      <c r="L127" s="34"/>
      <c r="M127" s="258"/>
      <c r="N127" s="258"/>
      <c r="O127" s="34"/>
      <c r="P127" s="258"/>
      <c r="Q127" s="258"/>
      <c r="R127" s="258"/>
      <c r="S127" s="258"/>
      <c r="T127" s="258"/>
      <c r="U127" s="258"/>
      <c r="V127" s="258"/>
      <c r="W127" s="258"/>
      <c r="X127" s="258"/>
      <c r="Y127" s="258"/>
      <c r="Z127" s="258"/>
      <c r="AA127" s="258"/>
      <c r="AB127" s="258"/>
      <c r="AC127" s="258"/>
      <c r="AD127" s="258"/>
      <c r="AE127" s="258"/>
      <c r="AF127" s="258"/>
      <c r="AG127" s="258"/>
      <c r="AH127" s="258"/>
      <c r="AI127" s="258"/>
      <c r="AJ127" s="258"/>
      <c r="AK127" s="258"/>
      <c r="AL127" s="258"/>
      <c r="AM127" s="258"/>
      <c r="AN127" s="258"/>
    </row>
    <row r="128" spans="1:40" x14ac:dyDescent="0.35">
      <c r="A128" s="300"/>
      <c r="B128" s="34"/>
      <c r="C128" s="34"/>
      <c r="D128" s="258"/>
      <c r="E128" s="257"/>
      <c r="F128" s="258"/>
      <c r="G128" s="258"/>
      <c r="H128" s="258"/>
      <c r="I128" s="43"/>
      <c r="J128" s="34"/>
      <c r="K128" s="258"/>
      <c r="L128" s="34"/>
      <c r="M128" s="258"/>
      <c r="N128" s="258"/>
      <c r="O128" s="34"/>
      <c r="P128" s="258"/>
      <c r="Q128" s="258"/>
      <c r="R128" s="258"/>
      <c r="S128" s="258"/>
      <c r="T128" s="258"/>
      <c r="U128" s="258"/>
      <c r="V128" s="258"/>
      <c r="W128" s="258"/>
      <c r="X128" s="258"/>
      <c r="Y128" s="258"/>
      <c r="Z128" s="258"/>
      <c r="AA128" s="258"/>
      <c r="AB128" s="258"/>
      <c r="AC128" s="258"/>
      <c r="AD128" s="258"/>
      <c r="AE128" s="258"/>
      <c r="AF128" s="258"/>
      <c r="AG128" s="258"/>
      <c r="AH128" s="258"/>
      <c r="AI128" s="258"/>
      <c r="AJ128" s="258"/>
      <c r="AK128" s="258"/>
      <c r="AL128" s="258"/>
      <c r="AM128" s="258"/>
      <c r="AN128" s="258"/>
    </row>
    <row r="129" spans="1:40" x14ac:dyDescent="0.35">
      <c r="A129" s="300"/>
      <c r="B129" s="34"/>
      <c r="C129" s="34"/>
      <c r="D129" s="258"/>
      <c r="E129" s="257"/>
      <c r="F129" s="258"/>
      <c r="G129" s="258"/>
      <c r="H129" s="258"/>
      <c r="I129" s="43"/>
      <c r="J129" s="34"/>
      <c r="K129" s="258"/>
      <c r="L129" s="34"/>
      <c r="M129" s="258"/>
      <c r="N129" s="258"/>
      <c r="O129" s="34"/>
      <c r="P129" s="258"/>
      <c r="Q129" s="258"/>
      <c r="R129" s="258"/>
      <c r="S129" s="258"/>
      <c r="T129" s="258"/>
      <c r="U129" s="258"/>
      <c r="V129" s="258"/>
      <c r="W129" s="258"/>
      <c r="X129" s="258"/>
      <c r="Y129" s="258"/>
      <c r="Z129" s="258"/>
      <c r="AA129" s="258"/>
      <c r="AB129" s="258"/>
      <c r="AC129" s="258"/>
      <c r="AD129" s="258"/>
      <c r="AE129" s="258"/>
      <c r="AF129" s="258"/>
      <c r="AG129" s="258"/>
      <c r="AH129" s="258"/>
      <c r="AI129" s="258"/>
      <c r="AJ129" s="258"/>
      <c r="AK129" s="258"/>
      <c r="AL129" s="258"/>
      <c r="AM129" s="258"/>
      <c r="AN129" s="258"/>
    </row>
  </sheetData>
  <autoFilter ref="A1:AN123" xr:uid="{2AD16442-40DE-4F33-AF13-C1F64E6EFADA}">
    <filterColumn colId="0">
      <filters>
        <filter val="REQ_SYS_Combo-Fast-Charge_260"/>
        <filter val="REQ_SYS_Cooling_Design_2601"/>
        <filter val="REQ_SYS_Cooling_Design_2602"/>
        <filter val="REQ_SYS_Cooling_Design_2603"/>
        <filter val="REQ_SYS_Cooling_Design_2605"/>
        <filter val="REQ_SYS_Cooling_Design_2606"/>
        <filter val="REQ_SYS_Cooling_Design_2608"/>
      </filters>
    </filterColumn>
  </autoFilter>
  <phoneticPr fontId="41" type="noConversion"/>
  <conditionalFormatting sqref="C1">
    <cfRule type="containsText" dxfId="2219" priority="1" stopIfTrue="1" operator="containsText" text="Operational requirement : Dependability requirements (RAMS)">
      <formula>NOT(ISERROR(SEARCH("Operational requirement : Dependability requirements (RAMS)",C1)))</formula>
    </cfRule>
  </conditionalFormatting>
  <pageMargins left="0.7" right="0.7" top="0.75" bottom="0.75" header="0.3" footer="0.3"/>
  <pageSetup paperSize="9" orientation="portrait" r:id="rId1"/>
  <headerFooter>
    <oddFooter>&amp;R&amp;1#&amp;"Arial"&amp;10&amp;K000000Confidential C</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7D1BD-0CD3-4209-AC3E-D633E9103C80}">
  <sheetPr codeName="Feuil6"/>
  <dimension ref="A1"/>
  <sheetViews>
    <sheetView workbookViewId="0">
      <selection activeCell="H6" sqref="H6"/>
    </sheetView>
  </sheetViews>
  <sheetFormatPr baseColWidth="10" defaultColWidth="11.453125" defaultRowHeight="14.5" x14ac:dyDescent="0.35"/>
  <sheetData/>
  <pageMargins left="0.7" right="0.7" top="0.75" bottom="0.75" header="0.3" footer="0.3"/>
  <pageSetup paperSize="9" orientation="portrait" r:id="rId1"/>
  <headerFooter>
    <oddFooter>&amp;R&amp;1#&amp;"Arial"&amp;10&amp;K000000Confidential C</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756A7-9FA0-4EEE-A26A-DFF689191D83}">
  <sheetPr codeName="Feuil7"/>
  <dimension ref="B2:J14"/>
  <sheetViews>
    <sheetView workbookViewId="0">
      <selection activeCell="P24" sqref="P24"/>
    </sheetView>
  </sheetViews>
  <sheetFormatPr baseColWidth="10" defaultColWidth="11.453125" defaultRowHeight="14.5" x14ac:dyDescent="0.35"/>
  <sheetData>
    <row r="2" spans="2:10" x14ac:dyDescent="0.35">
      <c r="B2" s="44"/>
      <c r="C2" s="368" t="s">
        <v>441</v>
      </c>
      <c r="D2" s="369"/>
      <c r="E2" s="368" t="s">
        <v>442</v>
      </c>
      <c r="F2" s="369"/>
      <c r="G2" s="368"/>
      <c r="H2" s="369"/>
      <c r="I2" s="368"/>
      <c r="J2" s="369"/>
    </row>
    <row r="3" spans="2:10" x14ac:dyDescent="0.35">
      <c r="B3" s="44"/>
      <c r="C3" s="34" t="s">
        <v>443</v>
      </c>
      <c r="D3" s="34" t="s">
        <v>444</v>
      </c>
      <c r="E3" s="34" t="s">
        <v>443</v>
      </c>
      <c r="F3" s="34" t="s">
        <v>444</v>
      </c>
      <c r="G3" s="34" t="s">
        <v>443</v>
      </c>
      <c r="H3" s="34" t="s">
        <v>444</v>
      </c>
      <c r="I3" s="34" t="s">
        <v>443</v>
      </c>
      <c r="J3" s="34" t="s">
        <v>444</v>
      </c>
    </row>
    <row r="4" spans="2:10" ht="43.5" x14ac:dyDescent="0.35">
      <c r="B4" s="34" t="s">
        <v>445</v>
      </c>
      <c r="C4" s="42" t="s">
        <v>446</v>
      </c>
      <c r="D4" s="42" t="s">
        <v>447</v>
      </c>
      <c r="E4" s="42" t="s">
        <v>448</v>
      </c>
      <c r="F4" s="34" t="s">
        <v>449</v>
      </c>
      <c r="G4" s="34"/>
      <c r="H4" s="34"/>
      <c r="I4" s="34"/>
      <c r="J4" s="34"/>
    </row>
    <row r="5" spans="2:10" x14ac:dyDescent="0.35">
      <c r="B5" s="34"/>
      <c r="C5" s="34"/>
      <c r="D5" s="34"/>
      <c r="E5" s="34"/>
      <c r="F5" s="34"/>
      <c r="G5" s="34"/>
      <c r="H5" s="34"/>
      <c r="I5" s="34"/>
      <c r="J5" s="34"/>
    </row>
    <row r="6" spans="2:10" x14ac:dyDescent="0.35">
      <c r="B6" s="34"/>
      <c r="C6" s="34"/>
      <c r="D6" s="34"/>
      <c r="E6" s="34"/>
      <c r="F6" s="34"/>
      <c r="G6" s="34"/>
      <c r="H6" s="34"/>
      <c r="I6" s="34"/>
      <c r="J6" s="34"/>
    </row>
    <row r="7" spans="2:10" x14ac:dyDescent="0.35">
      <c r="B7" s="34"/>
      <c r="C7" s="34"/>
      <c r="D7" s="34"/>
      <c r="E7" s="34"/>
      <c r="F7" s="34"/>
      <c r="G7" s="34"/>
      <c r="H7" s="34"/>
      <c r="I7" s="34"/>
      <c r="J7" s="34"/>
    </row>
    <row r="8" spans="2:10" x14ac:dyDescent="0.35">
      <c r="B8" s="34"/>
      <c r="C8" s="34"/>
      <c r="D8" s="34"/>
      <c r="E8" s="34"/>
      <c r="F8" s="34"/>
      <c r="G8" s="34"/>
      <c r="H8" s="34"/>
      <c r="I8" s="34"/>
      <c r="J8" s="34"/>
    </row>
    <row r="9" spans="2:10" x14ac:dyDescent="0.35">
      <c r="B9" s="34"/>
      <c r="C9" s="34"/>
      <c r="D9" s="34"/>
      <c r="E9" s="34"/>
      <c r="F9" s="34"/>
      <c r="G9" s="34"/>
      <c r="H9" s="34"/>
      <c r="I9" s="34"/>
      <c r="J9" s="34"/>
    </row>
    <row r="10" spans="2:10" x14ac:dyDescent="0.35">
      <c r="B10" s="34"/>
      <c r="C10" s="34"/>
      <c r="D10" s="34"/>
      <c r="E10" s="34"/>
      <c r="F10" s="34"/>
      <c r="G10" s="34"/>
      <c r="H10" s="34"/>
      <c r="I10" s="34"/>
      <c r="J10" s="34"/>
    </row>
    <row r="11" spans="2:10" x14ac:dyDescent="0.35">
      <c r="B11" s="34"/>
      <c r="C11" s="34"/>
      <c r="D11" s="34"/>
      <c r="E11" s="34"/>
      <c r="F11" s="34"/>
      <c r="G11" s="34"/>
      <c r="H11" s="34"/>
      <c r="I11" s="34"/>
      <c r="J11" s="34"/>
    </row>
    <row r="12" spans="2:10" x14ac:dyDescent="0.35">
      <c r="B12" s="34"/>
      <c r="C12" s="34"/>
      <c r="D12" s="34"/>
      <c r="E12" s="34"/>
      <c r="F12" s="34"/>
      <c r="G12" s="34"/>
      <c r="H12" s="34"/>
      <c r="I12" s="34"/>
      <c r="J12" s="34"/>
    </row>
    <row r="13" spans="2:10" x14ac:dyDescent="0.35">
      <c r="B13" s="34"/>
      <c r="C13" s="34"/>
      <c r="D13" s="34"/>
      <c r="E13" s="34"/>
      <c r="F13" s="34"/>
      <c r="G13" s="34"/>
      <c r="H13" s="34"/>
      <c r="I13" s="34"/>
      <c r="J13" s="34"/>
    </row>
    <row r="14" spans="2:10" x14ac:dyDescent="0.35">
      <c r="B14" s="34"/>
      <c r="C14" s="34"/>
      <c r="D14" s="34"/>
      <c r="E14" s="34"/>
      <c r="F14" s="34"/>
      <c r="G14" s="34"/>
      <c r="H14" s="34"/>
      <c r="I14" s="34"/>
      <c r="J14" s="34"/>
    </row>
  </sheetData>
  <mergeCells count="4">
    <mergeCell ref="C2:D2"/>
    <mergeCell ref="E2:F2"/>
    <mergeCell ref="G2:H2"/>
    <mergeCell ref="I2:J2"/>
  </mergeCells>
  <pageMargins left="0.7" right="0.7" top="0.75" bottom="0.75" header="0.3" footer="0.3"/>
  <pageSetup paperSize="9" orientation="portrait" r:id="rId1"/>
  <headerFooter>
    <oddFooter>&amp;R&amp;1#&amp;"Arial"&amp;10&amp;K000000Confidential C</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tabColor rgb="FF00B0F0"/>
  </sheetPr>
  <dimension ref="A1:GC12"/>
  <sheetViews>
    <sheetView zoomScale="83" zoomScaleNormal="99" workbookViewId="0">
      <pane ySplit="2" topLeftCell="A3" activePane="bottomLeft" state="frozen"/>
      <selection activeCell="E71" sqref="E71"/>
      <selection pane="bottomLeft" activeCell="P3" sqref="P3"/>
    </sheetView>
  </sheetViews>
  <sheetFormatPr baseColWidth="10" defaultColWidth="11.453125" defaultRowHeight="15.5" x14ac:dyDescent="0.35"/>
  <cols>
    <col min="1" max="1" width="40.7265625" style="24" customWidth="1"/>
    <col min="2" max="2" width="20.26953125" style="24" customWidth="1"/>
    <col min="3" max="3" width="37.453125" style="24" customWidth="1"/>
    <col min="4" max="4" width="14.54296875" style="24" customWidth="1"/>
    <col min="5" max="5" width="12.453125" style="24" bestFit="1" customWidth="1"/>
    <col min="6" max="29" width="3.26953125" style="24" customWidth="1"/>
    <col min="30" max="30" width="12" style="24" bestFit="1" customWidth="1"/>
    <col min="31" max="31" width="10.81640625" style="24" customWidth="1"/>
    <col min="32" max="35" width="10.7265625" style="24" customWidth="1"/>
    <col min="36" max="36" width="16.81640625" style="24" customWidth="1"/>
    <col min="37" max="37" width="10.54296875" style="24" customWidth="1"/>
    <col min="38" max="38" width="7.1796875" style="24" customWidth="1"/>
    <col min="39" max="39" width="33.1796875" style="24" customWidth="1"/>
    <col min="40" max="40" width="29.453125" style="29" customWidth="1"/>
    <col min="41" max="41" width="29.26953125" style="29" customWidth="1"/>
    <col min="42" max="42" width="33.81640625" style="29" customWidth="1"/>
    <col min="43" max="43" width="45" style="29" customWidth="1"/>
    <col min="44" max="59" width="10.26953125" style="29" customWidth="1"/>
    <col min="60" max="79" width="11.453125" style="24"/>
    <col min="80" max="80" width="10.26953125" style="29" customWidth="1"/>
    <col min="81" max="16384" width="11.453125" style="24"/>
  </cols>
  <sheetData>
    <row r="1" spans="1:185" s="22" customFormat="1" ht="27.75" customHeight="1" thickBot="1" x14ac:dyDescent="0.4">
      <c r="A1" s="374" t="s">
        <v>450</v>
      </c>
      <c r="B1" s="375"/>
      <c r="C1" s="375"/>
      <c r="D1" s="375"/>
      <c r="E1" s="376"/>
      <c r="F1" s="382" t="s">
        <v>451</v>
      </c>
      <c r="G1" s="383"/>
      <c r="H1" s="383"/>
      <c r="I1" s="383"/>
      <c r="J1" s="383"/>
      <c r="K1" s="383"/>
      <c r="L1" s="383"/>
      <c r="M1" s="383"/>
      <c r="N1" s="383"/>
      <c r="O1" s="384"/>
      <c r="P1" s="384"/>
      <c r="Q1" s="384"/>
      <c r="R1" s="384"/>
      <c r="S1" s="384"/>
      <c r="T1" s="384"/>
      <c r="U1" s="384"/>
      <c r="V1" s="384"/>
      <c r="W1" s="384"/>
      <c r="X1" s="384"/>
      <c r="Y1" s="384"/>
      <c r="Z1" s="384"/>
      <c r="AA1" s="384"/>
      <c r="AB1" s="384"/>
      <c r="AC1" s="384"/>
      <c r="AD1" s="380" t="s">
        <v>452</v>
      </c>
      <c r="AE1" s="381"/>
      <c r="AF1" s="377" t="s">
        <v>453</v>
      </c>
      <c r="AG1" s="378"/>
      <c r="AH1" s="378"/>
      <c r="AI1" s="379"/>
      <c r="AJ1" s="164" t="s">
        <v>454</v>
      </c>
      <c r="AK1" s="370" t="s">
        <v>455</v>
      </c>
      <c r="AL1" s="371"/>
      <c r="AM1" s="371"/>
      <c r="AN1" s="371"/>
      <c r="AO1" s="371"/>
      <c r="AP1" s="371"/>
      <c r="AQ1" s="371"/>
      <c r="AR1" s="371"/>
      <c r="AS1" s="371"/>
      <c r="AT1" s="371"/>
      <c r="AU1" s="371"/>
      <c r="AV1" s="371"/>
      <c r="AW1" s="371"/>
      <c r="AX1" s="371"/>
      <c r="AY1" s="371"/>
      <c r="AZ1" s="371"/>
      <c r="BA1" s="371"/>
      <c r="BB1" s="371"/>
      <c r="BC1" s="371"/>
      <c r="BD1" s="371"/>
      <c r="BE1" s="371"/>
      <c r="BF1" s="371"/>
      <c r="BG1" s="371"/>
      <c r="BH1" s="371"/>
      <c r="BI1" s="371"/>
      <c r="BJ1" s="371"/>
      <c r="BK1" s="371"/>
      <c r="BL1" s="371"/>
      <c r="BM1" s="371"/>
      <c r="BN1" s="371"/>
      <c r="BO1" s="371"/>
      <c r="BP1" s="371"/>
      <c r="BQ1" s="371"/>
      <c r="BR1" s="371"/>
      <c r="BS1" s="371"/>
      <c r="BT1" s="371"/>
      <c r="BU1" s="371"/>
      <c r="BV1" s="371"/>
      <c r="BW1" s="371"/>
      <c r="BX1" s="371"/>
      <c r="BY1" s="371"/>
      <c r="BZ1" s="371"/>
      <c r="CA1" s="371"/>
      <c r="CB1" s="371"/>
      <c r="CC1" s="371"/>
      <c r="CD1" s="371"/>
      <c r="CE1" s="371"/>
      <c r="CF1" s="371"/>
      <c r="CG1" s="371"/>
      <c r="CH1" s="371"/>
      <c r="CI1" s="371"/>
      <c r="CJ1" s="371"/>
      <c r="CK1" s="371"/>
      <c r="CL1" s="371"/>
      <c r="CM1" s="371"/>
      <c r="CN1" s="371"/>
      <c r="CO1" s="371"/>
      <c r="CP1" s="371"/>
      <c r="CQ1" s="371"/>
      <c r="CR1" s="371"/>
      <c r="CS1" s="371"/>
      <c r="CT1" s="371"/>
      <c r="CU1" s="371"/>
      <c r="CV1" s="371"/>
      <c r="CW1" s="371"/>
      <c r="CX1" s="371"/>
      <c r="CY1" s="371"/>
      <c r="CZ1" s="371"/>
      <c r="DA1" s="371"/>
      <c r="DB1" s="371"/>
      <c r="DC1" s="371"/>
      <c r="DD1" s="371"/>
      <c r="DE1" s="371"/>
      <c r="DF1" s="371"/>
      <c r="DG1" s="371"/>
      <c r="DH1" s="371"/>
      <c r="DI1" s="371"/>
      <c r="DJ1" s="371"/>
      <c r="DK1" s="371"/>
      <c r="DL1" s="371"/>
      <c r="DM1" s="371"/>
      <c r="DN1" s="371"/>
      <c r="DO1" s="371"/>
      <c r="DP1" s="371"/>
      <c r="DQ1" s="371"/>
      <c r="DR1" s="371"/>
      <c r="DS1" s="371"/>
      <c r="DT1" s="371"/>
      <c r="DU1" s="371"/>
      <c r="DV1" s="371"/>
      <c r="DW1" s="371"/>
      <c r="DX1" s="371"/>
      <c r="DY1" s="371"/>
      <c r="DZ1" s="371"/>
      <c r="EA1" s="371"/>
      <c r="EB1" s="371"/>
      <c r="EC1" s="371"/>
      <c r="ED1" s="371"/>
      <c r="EE1" s="371"/>
      <c r="EF1" s="371"/>
      <c r="EG1" s="371"/>
      <c r="EH1" s="371"/>
      <c r="EI1" s="371"/>
      <c r="EJ1" s="371"/>
      <c r="EK1" s="371"/>
      <c r="EL1" s="371"/>
      <c r="EM1" s="371"/>
    </row>
    <row r="2" spans="1:185" ht="129" customHeight="1" thickBot="1" x14ac:dyDescent="0.4">
      <c r="A2" s="49" t="s">
        <v>456</v>
      </c>
      <c r="B2" s="47" t="s">
        <v>457</v>
      </c>
      <c r="C2" s="47" t="s">
        <v>458</v>
      </c>
      <c r="D2" s="48" t="s">
        <v>459</v>
      </c>
      <c r="E2" s="52" t="s">
        <v>460</v>
      </c>
      <c r="F2" s="275" t="s">
        <v>58</v>
      </c>
      <c r="G2" s="276" t="s">
        <v>59</v>
      </c>
      <c r="H2" s="276" t="s">
        <v>461</v>
      </c>
      <c r="I2" s="276" t="s">
        <v>462</v>
      </c>
      <c r="J2" s="276" t="s">
        <v>463</v>
      </c>
      <c r="K2" s="277" t="s">
        <v>464</v>
      </c>
      <c r="L2" s="277" t="s">
        <v>465</v>
      </c>
      <c r="M2" s="277" t="s">
        <v>65</v>
      </c>
      <c r="N2" s="277" t="s">
        <v>466</v>
      </c>
      <c r="O2" s="269" t="s">
        <v>67</v>
      </c>
      <c r="P2" s="269" t="s">
        <v>68</v>
      </c>
      <c r="Q2" s="269" t="s">
        <v>69</v>
      </c>
      <c r="R2" s="269" t="s">
        <v>70</v>
      </c>
      <c r="S2" s="269" t="s">
        <v>71</v>
      </c>
      <c r="T2" s="269" t="s">
        <v>467</v>
      </c>
      <c r="U2" s="269" t="s">
        <v>73</v>
      </c>
      <c r="V2" s="269" t="s">
        <v>74</v>
      </c>
      <c r="W2" s="269" t="s">
        <v>75</v>
      </c>
      <c r="X2" s="269" t="s">
        <v>76</v>
      </c>
      <c r="Y2" s="269" t="s">
        <v>73</v>
      </c>
      <c r="Z2" s="269" t="s">
        <v>77</v>
      </c>
      <c r="AA2" s="269" t="s">
        <v>78</v>
      </c>
      <c r="AB2" s="269" t="s">
        <v>79</v>
      </c>
      <c r="AC2" s="270" t="s">
        <v>80</v>
      </c>
      <c r="AD2" s="133" t="s">
        <v>468</v>
      </c>
      <c r="AE2" s="50" t="s">
        <v>469</v>
      </c>
      <c r="AF2" s="49" t="s">
        <v>470</v>
      </c>
      <c r="AG2" s="47" t="s">
        <v>471</v>
      </c>
      <c r="AH2" s="47" t="s">
        <v>472</v>
      </c>
      <c r="AI2" s="50" t="s">
        <v>473</v>
      </c>
      <c r="AJ2" s="165" t="s">
        <v>474</v>
      </c>
      <c r="AK2" s="47" t="s">
        <v>475</v>
      </c>
      <c r="AL2" s="47" t="s">
        <v>476</v>
      </c>
      <c r="AM2" s="53" t="s">
        <v>477</v>
      </c>
      <c r="AN2" s="372" t="s">
        <v>478</v>
      </c>
      <c r="AO2" s="373"/>
      <c r="AP2" s="373"/>
      <c r="AQ2" s="373"/>
      <c r="AR2" s="373"/>
      <c r="AS2" s="373"/>
      <c r="AT2" s="373"/>
      <c r="AU2" s="373"/>
      <c r="AV2" s="373"/>
      <c r="AW2" s="373"/>
      <c r="AX2" s="373"/>
      <c r="AY2" s="373"/>
      <c r="AZ2" s="373"/>
      <c r="BA2" s="373"/>
      <c r="BB2" s="373"/>
      <c r="BC2" s="373"/>
      <c r="BD2" s="373"/>
      <c r="BE2" s="373"/>
      <c r="BF2" s="373"/>
      <c r="BG2" s="373"/>
      <c r="BH2" s="373"/>
      <c r="BI2" s="373"/>
      <c r="BJ2" s="373"/>
      <c r="BK2" s="373"/>
      <c r="BL2" s="373"/>
      <c r="BM2" s="373"/>
      <c r="BN2" s="373"/>
      <c r="BO2" s="373"/>
      <c r="BP2" s="373"/>
      <c r="BQ2" s="373"/>
      <c r="BR2" s="373"/>
      <c r="BS2" s="373"/>
      <c r="BT2" s="373"/>
      <c r="BU2" s="373"/>
      <c r="BV2" s="373"/>
      <c r="BW2" s="373"/>
      <c r="BX2" s="373"/>
      <c r="BY2" s="373"/>
      <c r="BZ2" s="373"/>
      <c r="CA2" s="373"/>
      <c r="CB2" s="373"/>
      <c r="CC2" s="373"/>
      <c r="CD2" s="373"/>
      <c r="CE2" s="373"/>
      <c r="CF2" s="373"/>
      <c r="CG2" s="373"/>
      <c r="CH2" s="373"/>
      <c r="CI2" s="373"/>
      <c r="CJ2" s="373"/>
      <c r="CK2" s="373"/>
      <c r="CL2" s="373"/>
      <c r="CM2" s="373"/>
      <c r="CN2" s="373"/>
      <c r="CO2" s="373"/>
      <c r="CP2" s="373"/>
      <c r="CQ2" s="373"/>
      <c r="CR2" s="373"/>
      <c r="CS2" s="373"/>
      <c r="CT2" s="373"/>
      <c r="CU2" s="373"/>
      <c r="CV2" s="373"/>
      <c r="CW2" s="373"/>
      <c r="CX2" s="373"/>
      <c r="CY2" s="373"/>
      <c r="CZ2" s="373"/>
      <c r="DA2" s="373"/>
      <c r="DB2" s="373"/>
      <c r="DC2" s="373"/>
      <c r="DD2" s="373"/>
      <c r="DE2" s="373"/>
      <c r="DF2" s="373"/>
      <c r="DG2" s="373"/>
      <c r="DH2" s="373"/>
      <c r="DI2" s="373"/>
      <c r="DJ2" s="373"/>
      <c r="DK2" s="373"/>
      <c r="DL2" s="373"/>
      <c r="DM2" s="373"/>
      <c r="DN2" s="373"/>
      <c r="DO2" s="373"/>
      <c r="DP2" s="373"/>
      <c r="DQ2" s="373"/>
      <c r="DR2" s="373"/>
      <c r="DS2" s="373"/>
      <c r="DT2" s="373"/>
      <c r="DU2" s="373"/>
      <c r="DV2" s="373"/>
      <c r="DW2" s="373"/>
      <c r="DX2" s="373"/>
      <c r="DY2" s="373"/>
      <c r="DZ2" s="373"/>
      <c r="EA2" s="373"/>
      <c r="EB2" s="373"/>
      <c r="EC2" s="373"/>
      <c r="ED2" s="373"/>
      <c r="EE2" s="373"/>
      <c r="EF2" s="373"/>
      <c r="EG2" s="373"/>
      <c r="EH2" s="373"/>
      <c r="EI2" s="373"/>
      <c r="EJ2" s="373"/>
      <c r="EK2" s="373"/>
      <c r="EL2" s="373"/>
      <c r="EM2" s="373"/>
    </row>
    <row r="3" spans="1:185" ht="38.25" customHeight="1" x14ac:dyDescent="0.35">
      <c r="A3" s="51" t="s">
        <v>479</v>
      </c>
      <c r="B3" s="47"/>
      <c r="C3" s="55" t="s">
        <v>480</v>
      </c>
      <c r="D3" s="46" t="s">
        <v>90</v>
      </c>
      <c r="E3" s="81">
        <v>44320</v>
      </c>
      <c r="F3" s="274" t="s">
        <v>94</v>
      </c>
      <c r="G3" s="271" t="s">
        <v>94</v>
      </c>
      <c r="H3" s="271" t="s">
        <v>94</v>
      </c>
      <c r="I3" s="271"/>
      <c r="J3" s="271" t="s">
        <v>94</v>
      </c>
      <c r="K3" s="271" t="s">
        <v>94</v>
      </c>
      <c r="L3" s="271" t="s">
        <v>94</v>
      </c>
      <c r="M3" s="271"/>
      <c r="N3" s="271" t="s">
        <v>94</v>
      </c>
      <c r="O3" s="272" t="s">
        <v>94</v>
      </c>
      <c r="P3" s="271" t="s">
        <v>94</v>
      </c>
      <c r="Q3" s="271" t="s">
        <v>94</v>
      </c>
      <c r="R3" s="271" t="s">
        <v>94</v>
      </c>
      <c r="S3" s="271" t="s">
        <v>94</v>
      </c>
      <c r="T3" s="271" t="s">
        <v>94</v>
      </c>
      <c r="U3" s="271" t="s">
        <v>94</v>
      </c>
      <c r="V3" s="271" t="s">
        <v>94</v>
      </c>
      <c r="W3" s="271" t="s">
        <v>94</v>
      </c>
      <c r="X3" s="271" t="s">
        <v>94</v>
      </c>
      <c r="Y3" s="271" t="s">
        <v>94</v>
      </c>
      <c r="Z3" s="271" t="s">
        <v>94</v>
      </c>
      <c r="AA3" s="271" t="s">
        <v>94</v>
      </c>
      <c r="AB3" s="271" t="s">
        <v>94</v>
      </c>
      <c r="AC3" s="273" t="s">
        <v>94</v>
      </c>
      <c r="AD3" s="131"/>
      <c r="AE3" s="50"/>
      <c r="AF3" s="27" t="s">
        <v>481</v>
      </c>
      <c r="AG3" s="25" t="s">
        <v>482</v>
      </c>
      <c r="AH3" s="25"/>
      <c r="AI3" s="26" t="s">
        <v>89</v>
      </c>
      <c r="AJ3" s="35"/>
      <c r="AK3" s="27"/>
      <c r="AL3" s="283" t="str">
        <f>'#1'!C61</f>
        <v>NR</v>
      </c>
      <c r="AM3" s="283" t="str">
        <f>'#1'!D61</f>
        <v>Comments</v>
      </c>
      <c r="AN3" s="28" t="str">
        <f>IF('#1'!$B46="","",'#1'!$B46)</f>
        <v>REQ_ROB_1</v>
      </c>
      <c r="AO3" s="28"/>
      <c r="AP3" s="28"/>
      <c r="AQ3" s="28"/>
      <c r="AR3" s="28"/>
      <c r="AS3" s="54"/>
      <c r="AT3" s="28"/>
      <c r="AU3" s="28"/>
      <c r="AV3" s="28"/>
      <c r="AW3" s="67"/>
      <c r="AX3" s="67"/>
      <c r="AY3" s="67"/>
      <c r="AZ3" s="67"/>
      <c r="BA3" s="67"/>
      <c r="BB3" s="67"/>
      <c r="BC3" s="67"/>
      <c r="BD3" s="67"/>
      <c r="BE3" s="67"/>
      <c r="BF3" s="67"/>
      <c r="BG3" s="67"/>
      <c r="BH3" s="25"/>
      <c r="BI3" s="25"/>
      <c r="BJ3" s="25"/>
      <c r="BK3" s="25"/>
      <c r="BL3" s="25"/>
      <c r="BM3" s="25"/>
      <c r="BN3" s="25"/>
      <c r="BO3" s="25"/>
      <c r="BP3" s="25"/>
      <c r="BQ3" s="25"/>
      <c r="BR3" s="25"/>
      <c r="BS3" s="25"/>
      <c r="BT3" s="25"/>
      <c r="BU3" s="25"/>
      <c r="BV3" s="25"/>
      <c r="BW3" s="25"/>
      <c r="BX3" s="25"/>
      <c r="BY3" s="25"/>
      <c r="BZ3" s="25"/>
      <c r="CA3" s="25"/>
      <c r="CB3" s="67"/>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167"/>
      <c r="EC3" s="25"/>
      <c r="ED3" s="25"/>
      <c r="EE3" s="25"/>
      <c r="EF3" s="25"/>
      <c r="EG3" s="25"/>
      <c r="EH3" s="25"/>
      <c r="EI3" s="25"/>
      <c r="EJ3" s="25"/>
      <c r="EK3" s="25"/>
      <c r="EL3" s="167"/>
      <c r="EM3" s="25"/>
    </row>
    <row r="4" spans="1:185" ht="38.25" customHeight="1" x14ac:dyDescent="0.35">
      <c r="A4" s="51" t="s">
        <v>483</v>
      </c>
      <c r="B4" s="47"/>
      <c r="C4" s="55" t="s">
        <v>484</v>
      </c>
      <c r="D4" s="46" t="s">
        <v>90</v>
      </c>
      <c r="E4" s="81">
        <v>44320</v>
      </c>
      <c r="F4" s="38" t="s">
        <v>94</v>
      </c>
      <c r="G4" s="39" t="s">
        <v>94</v>
      </c>
      <c r="H4" s="39" t="s">
        <v>94</v>
      </c>
      <c r="I4" s="39"/>
      <c r="J4" s="39" t="s">
        <v>94</v>
      </c>
      <c r="K4" s="39" t="s">
        <v>94</v>
      </c>
      <c r="L4" s="39" t="s">
        <v>94</v>
      </c>
      <c r="M4" s="39"/>
      <c r="N4" s="39" t="s">
        <v>94</v>
      </c>
      <c r="O4" s="268" t="s">
        <v>94</v>
      </c>
      <c r="P4" s="39" t="s">
        <v>94</v>
      </c>
      <c r="Q4" s="39" t="s">
        <v>94</v>
      </c>
      <c r="R4" s="39" t="s">
        <v>94</v>
      </c>
      <c r="S4" s="39" t="s">
        <v>94</v>
      </c>
      <c r="T4" s="39" t="s">
        <v>94</v>
      </c>
      <c r="U4" s="39" t="s">
        <v>94</v>
      </c>
      <c r="V4" s="39" t="s">
        <v>94</v>
      </c>
      <c r="W4" s="39" t="s">
        <v>94</v>
      </c>
      <c r="X4" s="39" t="s">
        <v>94</v>
      </c>
      <c r="Y4" s="39" t="s">
        <v>94</v>
      </c>
      <c r="Z4" s="39" t="s">
        <v>94</v>
      </c>
      <c r="AA4" s="39" t="s">
        <v>94</v>
      </c>
      <c r="AB4" s="39" t="s">
        <v>94</v>
      </c>
      <c r="AC4" s="40" t="s">
        <v>94</v>
      </c>
      <c r="AD4" s="131"/>
      <c r="AE4" s="50"/>
      <c r="AF4" s="27" t="s">
        <v>481</v>
      </c>
      <c r="AG4" s="25" t="s">
        <v>485</v>
      </c>
      <c r="AH4" s="25"/>
      <c r="AI4" s="26" t="s">
        <v>89</v>
      </c>
      <c r="AJ4" s="35"/>
      <c r="AK4" s="27"/>
      <c r="AL4" s="283" t="str">
        <f>'#2'!C42</f>
        <v>NR</v>
      </c>
      <c r="AM4" s="283" t="str">
        <f>'#2'!D42</f>
        <v>Comments</v>
      </c>
      <c r="AN4" s="28" t="str">
        <f>IF('#2'!$B27="","",'#2'!$B27)</f>
        <v>REQ_SYS_Combo-Fast-Charge_260</v>
      </c>
      <c r="AO4" s="28"/>
      <c r="AP4" s="28"/>
      <c r="AQ4" s="28"/>
      <c r="AR4" s="28"/>
      <c r="AS4" s="28"/>
      <c r="AT4" s="28"/>
      <c r="AU4" s="28"/>
      <c r="AV4" s="28"/>
      <c r="AW4" s="67"/>
      <c r="AX4" s="67"/>
      <c r="AY4" s="67"/>
      <c r="AZ4" s="67"/>
      <c r="BA4" s="67"/>
      <c r="BB4" s="67"/>
      <c r="BC4" s="67"/>
      <c r="BD4" s="67"/>
      <c r="BE4" s="67"/>
      <c r="BF4" s="67"/>
      <c r="BG4" s="67"/>
      <c r="BH4" s="25"/>
      <c r="BI4" s="25"/>
      <c r="BJ4" s="25"/>
      <c r="BK4" s="25"/>
      <c r="BL4" s="25"/>
      <c r="BM4" s="25"/>
      <c r="BN4" s="25"/>
      <c r="BO4" s="25"/>
      <c r="BP4" s="25"/>
      <c r="BQ4" s="25"/>
      <c r="BR4" s="25"/>
      <c r="BS4" s="25"/>
      <c r="BT4" s="25"/>
      <c r="BU4" s="25"/>
      <c r="BV4" s="25"/>
      <c r="BW4" s="25"/>
      <c r="BX4" s="25"/>
      <c r="BY4" s="25"/>
      <c r="BZ4" s="25"/>
      <c r="CA4" s="25"/>
      <c r="CB4" s="67"/>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167"/>
      <c r="EC4" s="25"/>
      <c r="ED4" s="25"/>
      <c r="EE4" s="25"/>
      <c r="EF4" s="25"/>
      <c r="EG4" s="25"/>
      <c r="EH4" s="25"/>
      <c r="EI4" s="25"/>
      <c r="EJ4" s="25"/>
      <c r="EK4" s="25"/>
      <c r="EL4" s="167"/>
      <c r="EM4" s="25"/>
    </row>
    <row r="5" spans="1:185" ht="38.25" customHeight="1" x14ac:dyDescent="0.35">
      <c r="A5" s="51" t="s">
        <v>486</v>
      </c>
      <c r="B5" s="47"/>
      <c r="C5" s="55" t="s">
        <v>487</v>
      </c>
      <c r="D5" s="46" t="s">
        <v>90</v>
      </c>
      <c r="E5" s="81">
        <v>44320</v>
      </c>
      <c r="F5" s="38" t="s">
        <v>94</v>
      </c>
      <c r="G5" s="39" t="s">
        <v>94</v>
      </c>
      <c r="H5" s="39" t="s">
        <v>94</v>
      </c>
      <c r="I5" s="39"/>
      <c r="J5" s="39" t="s">
        <v>94</v>
      </c>
      <c r="K5" s="39" t="s">
        <v>94</v>
      </c>
      <c r="L5" s="39" t="s">
        <v>94</v>
      </c>
      <c r="M5" s="39"/>
      <c r="N5" s="39" t="s">
        <v>94</v>
      </c>
      <c r="O5" s="268" t="s">
        <v>94</v>
      </c>
      <c r="P5" s="39" t="s">
        <v>94</v>
      </c>
      <c r="Q5" s="39" t="s">
        <v>94</v>
      </c>
      <c r="R5" s="39" t="s">
        <v>94</v>
      </c>
      <c r="S5" s="39" t="s">
        <v>94</v>
      </c>
      <c r="T5" s="39" t="s">
        <v>94</v>
      </c>
      <c r="U5" s="39" t="s">
        <v>94</v>
      </c>
      <c r="V5" s="39" t="s">
        <v>94</v>
      </c>
      <c r="W5" s="39" t="s">
        <v>94</v>
      </c>
      <c r="X5" s="39" t="s">
        <v>94</v>
      </c>
      <c r="Y5" s="39" t="s">
        <v>94</v>
      </c>
      <c r="Z5" s="39" t="s">
        <v>94</v>
      </c>
      <c r="AA5" s="39" t="s">
        <v>94</v>
      </c>
      <c r="AB5" s="39" t="s">
        <v>94</v>
      </c>
      <c r="AC5" s="40" t="s">
        <v>94</v>
      </c>
      <c r="AD5" s="131"/>
      <c r="AE5" s="50"/>
      <c r="AF5" s="27" t="s">
        <v>481</v>
      </c>
      <c r="AG5" s="25" t="s">
        <v>485</v>
      </c>
      <c r="AH5" s="25"/>
      <c r="AI5" s="26" t="s">
        <v>89</v>
      </c>
      <c r="AJ5" s="35"/>
      <c r="AK5" s="27"/>
      <c r="AL5" s="283" t="str">
        <f>'#3'!C229</f>
        <v>NR</v>
      </c>
      <c r="AM5" s="283" t="str">
        <f>'#3'!D229</f>
        <v>Comments</v>
      </c>
      <c r="AN5" s="28" t="str">
        <f>IF('#3'!$B214="","",'#3'!$B214)</f>
        <v>REQ_ROB-Interop-V2G_001</v>
      </c>
      <c r="AO5" s="28" t="str">
        <f>IF('#3'!$B215="","",'#3'!$B215)</f>
        <v>REQ_ROB-Interop-DC_001</v>
      </c>
      <c r="AP5" s="28" t="str">
        <f>IF('#3'!$B216="","",'#3'!$B216)</f>
        <v>REQ_ROB-Interop-DC_002</v>
      </c>
      <c r="AQ5" s="28" t="str">
        <f>IF('#3'!$B217="","",'#3'!$B217)</f>
        <v>REQ_ROB-Interop-DC_003</v>
      </c>
      <c r="AR5" s="28" t="str">
        <f>IF('#3'!$B218="","",'#3'!$B218)</f>
        <v>REQ_ROB-Interop-DC_004</v>
      </c>
      <c r="AS5" s="28" t="str">
        <f>IF('#3'!$B219="","",'#3'!$B219)</f>
        <v>REQ_ROB-Interop-AC_001</v>
      </c>
      <c r="AT5" s="28" t="str">
        <f>IF('#3'!$B220="","",'#3'!$B220)</f>
        <v>REQ_ROB-Interop-AC_002</v>
      </c>
      <c r="AU5" s="28" t="str">
        <f>IF('#3'!$B221="","",'#3'!$B221)</f>
        <v>REQ_ROB-Interop-AC_003</v>
      </c>
      <c r="AV5" s="28" t="str">
        <f>IF('#3'!$B222="","",'#3'!$B222)</f>
        <v>REQ_ROB-Interop-AC_004</v>
      </c>
      <c r="AW5" s="241"/>
      <c r="AX5" s="241"/>
      <c r="AY5" s="241"/>
      <c r="AZ5" s="241"/>
      <c r="BA5" s="28"/>
      <c r="BB5" s="67"/>
      <c r="BC5" s="67"/>
      <c r="BD5" s="67"/>
      <c r="BE5" s="67"/>
      <c r="BF5" s="67"/>
      <c r="BG5" s="67"/>
      <c r="BH5" s="25"/>
      <c r="BI5" s="25"/>
      <c r="BJ5" s="25"/>
      <c r="BK5" s="25"/>
      <c r="BL5" s="25"/>
      <c r="BM5" s="25"/>
      <c r="BN5" s="25"/>
      <c r="BO5" s="25"/>
      <c r="BP5" s="25"/>
      <c r="BQ5" s="25"/>
      <c r="BR5" s="25"/>
      <c r="BS5" s="25"/>
      <c r="BT5" s="25"/>
      <c r="BU5" s="25"/>
      <c r="BV5" s="25"/>
      <c r="BW5" s="25"/>
      <c r="BX5" s="25"/>
      <c r="BY5" s="25"/>
      <c r="BZ5" s="25"/>
      <c r="CA5" s="25"/>
      <c r="CB5" s="67" t="str">
        <f>IF('#3'!$B226="","",'#3'!$B226)</f>
        <v/>
      </c>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5"/>
      <c r="DD5" s="25"/>
      <c r="DE5" s="25"/>
      <c r="DF5" s="25"/>
      <c r="DG5" s="25"/>
      <c r="DH5" s="25"/>
      <c r="DI5" s="25"/>
      <c r="DJ5" s="25"/>
      <c r="DK5" s="25"/>
      <c r="DL5" s="25"/>
      <c r="DM5" s="25"/>
      <c r="DN5" s="25"/>
      <c r="DO5" s="25"/>
      <c r="DP5" s="25"/>
      <c r="DQ5" s="25"/>
      <c r="DR5" s="25"/>
      <c r="DS5" s="25"/>
      <c r="DT5" s="25"/>
      <c r="DU5" s="25"/>
      <c r="DV5" s="25"/>
      <c r="DW5" s="25"/>
      <c r="DX5" s="25"/>
      <c r="DY5" s="25"/>
      <c r="DZ5" s="25"/>
      <c r="EA5" s="25"/>
      <c r="EB5" s="167"/>
      <c r="EC5" s="25"/>
      <c r="ED5" s="25"/>
      <c r="EE5" s="25"/>
      <c r="EF5" s="25"/>
      <c r="EG5" s="25"/>
      <c r="EH5" s="25"/>
      <c r="EI5" s="25"/>
      <c r="EJ5" s="25"/>
      <c r="EK5" s="25"/>
      <c r="EL5" s="167"/>
      <c r="EM5" s="25"/>
    </row>
    <row r="6" spans="1:185" ht="38.25" customHeight="1" x14ac:dyDescent="0.35">
      <c r="A6" s="51" t="s">
        <v>488</v>
      </c>
      <c r="B6" s="47"/>
      <c r="C6" s="55" t="s">
        <v>489</v>
      </c>
      <c r="D6" s="46" t="s">
        <v>90</v>
      </c>
      <c r="E6" s="81">
        <v>44320</v>
      </c>
      <c r="F6" s="38"/>
      <c r="G6" s="39"/>
      <c r="H6" s="39"/>
      <c r="I6" s="39"/>
      <c r="J6" s="39"/>
      <c r="K6" s="39"/>
      <c r="L6" s="39"/>
      <c r="M6" s="39"/>
      <c r="N6" s="39"/>
      <c r="O6" s="268"/>
      <c r="P6" s="39"/>
      <c r="Q6" s="39"/>
      <c r="R6" s="39"/>
      <c r="S6" s="39"/>
      <c r="T6" s="39"/>
      <c r="U6" s="39"/>
      <c r="V6" s="39"/>
      <c r="W6" s="39"/>
      <c r="X6" s="39"/>
      <c r="Y6" s="39"/>
      <c r="Z6" s="39"/>
      <c r="AA6" s="39"/>
      <c r="AB6" s="39"/>
      <c r="AC6" s="40"/>
      <c r="AD6" s="131"/>
      <c r="AE6" s="50"/>
      <c r="AF6" s="27" t="s">
        <v>481</v>
      </c>
      <c r="AG6" s="25" t="s">
        <v>485</v>
      </c>
      <c r="AH6" s="25"/>
      <c r="AI6" s="26" t="s">
        <v>90</v>
      </c>
      <c r="AJ6" s="35"/>
      <c r="AK6" s="27"/>
      <c r="AL6" s="283" t="str">
        <f>'#4'!C50</f>
        <v>NA</v>
      </c>
      <c r="AM6" s="283" t="str">
        <f>'#4'!D50</f>
        <v>Comments</v>
      </c>
      <c r="AN6" s="28"/>
      <c r="AO6" s="28" t="str">
        <f>IF('#4'!$B36="","",'#4'!$B36)</f>
        <v/>
      </c>
      <c r="AP6" s="28" t="str">
        <f>IF('#4'!$B37="","",'#4'!$B37)</f>
        <v/>
      </c>
      <c r="AQ6" s="28" t="str">
        <f>IF('#4'!$B38="","",'#4'!$B38)</f>
        <v/>
      </c>
      <c r="AR6" s="28" t="str">
        <f>IF('#4'!$B39="","",'#4'!$B39)</f>
        <v/>
      </c>
      <c r="AS6" s="28" t="str">
        <f>IF('#4'!$B40="","",'#4'!$B40)</f>
        <v/>
      </c>
      <c r="AT6" s="28" t="str">
        <f>IF('#4'!$B41="","",'#4'!$B41)</f>
        <v/>
      </c>
      <c r="AU6" s="28" t="str">
        <f>IF('#4'!$B42="","",'#4'!$B42)</f>
        <v/>
      </c>
      <c r="AV6" s="28" t="str">
        <f>IF('#4'!$B43="","",'#4'!$B43)</f>
        <v/>
      </c>
      <c r="AW6" s="67" t="str">
        <f>IF('#4'!$B44="","",'#4'!$B44)</f>
        <v/>
      </c>
      <c r="AX6" s="67" t="str">
        <f>IF('#4'!$B45="","",'#4'!$B45)</f>
        <v/>
      </c>
      <c r="AY6" s="67" t="str">
        <f>IF('#4'!$B46="","",'#4'!$B46)</f>
        <v/>
      </c>
      <c r="AZ6" s="67"/>
      <c r="BA6" s="67"/>
      <c r="BB6" s="67"/>
      <c r="BC6" s="67"/>
      <c r="BD6" s="67"/>
      <c r="BE6" s="67"/>
      <c r="BF6" s="67"/>
      <c r="BG6" s="67"/>
      <c r="BH6" s="25"/>
      <c r="BI6" s="25"/>
      <c r="BJ6" s="25"/>
      <c r="BK6" s="25"/>
      <c r="BL6" s="25"/>
      <c r="BM6" s="25"/>
      <c r="BN6" s="25"/>
      <c r="BO6" s="25"/>
      <c r="BP6" s="25"/>
      <c r="BQ6" s="25"/>
      <c r="BR6" s="25"/>
      <c r="BS6" s="25"/>
      <c r="BT6" s="25"/>
      <c r="BU6" s="25"/>
      <c r="BV6" s="25"/>
      <c r="BW6" s="25"/>
      <c r="BX6" s="25"/>
      <c r="BY6" s="25"/>
      <c r="BZ6" s="25"/>
      <c r="CA6" s="25"/>
      <c r="CB6" s="67" t="str">
        <f>IF('#4'!$B47="","",'#4'!$B47)</f>
        <v/>
      </c>
      <c r="CC6" s="25"/>
      <c r="CD6" s="25"/>
      <c r="CE6" s="25"/>
      <c r="CF6" s="25"/>
      <c r="CG6" s="25"/>
      <c r="CH6" s="25"/>
      <c r="CI6" s="25"/>
      <c r="CJ6" s="25"/>
      <c r="CK6" s="25"/>
      <c r="CL6" s="25"/>
      <c r="CM6" s="25"/>
      <c r="CN6" s="25"/>
      <c r="CO6" s="25"/>
      <c r="CP6" s="25"/>
      <c r="CQ6" s="25"/>
      <c r="CR6" s="25"/>
      <c r="CS6" s="25"/>
      <c r="CT6" s="25"/>
      <c r="CU6" s="25"/>
      <c r="CV6" s="25"/>
      <c r="CW6" s="25"/>
      <c r="CX6" s="25"/>
      <c r="CY6" s="25"/>
      <c r="CZ6" s="25"/>
      <c r="DA6" s="25"/>
      <c r="DB6" s="25"/>
      <c r="DC6" s="25"/>
      <c r="DD6" s="25"/>
      <c r="DE6" s="25"/>
      <c r="DF6" s="25"/>
      <c r="DG6" s="25"/>
      <c r="DH6" s="25"/>
      <c r="DI6" s="25"/>
      <c r="DJ6" s="25"/>
      <c r="DK6" s="25"/>
      <c r="DL6" s="25"/>
      <c r="DM6" s="25"/>
      <c r="DN6" s="25"/>
      <c r="DO6" s="25"/>
      <c r="DP6" s="25"/>
      <c r="DQ6" s="25"/>
      <c r="DR6" s="25"/>
      <c r="DS6" s="25"/>
      <c r="DT6" s="25"/>
      <c r="DU6" s="25"/>
      <c r="DV6" s="25"/>
      <c r="DW6" s="25"/>
      <c r="DX6" s="25"/>
      <c r="DY6" s="25"/>
      <c r="DZ6" s="25"/>
      <c r="EA6" s="25"/>
      <c r="EB6" s="167"/>
      <c r="EC6" s="25"/>
      <c r="ED6" s="25"/>
      <c r="EE6" s="25"/>
      <c r="EF6" s="25"/>
      <c r="EG6" s="25"/>
      <c r="EH6" s="25"/>
      <c r="EI6" s="25"/>
      <c r="EJ6" s="25"/>
      <c r="EK6" s="25"/>
      <c r="EL6" s="167"/>
      <c r="EM6" s="25"/>
    </row>
    <row r="7" spans="1:185" ht="38.25" customHeight="1" x14ac:dyDescent="0.35">
      <c r="A7" s="51" t="s">
        <v>490</v>
      </c>
      <c r="B7" s="47"/>
      <c r="C7" s="55" t="s">
        <v>491</v>
      </c>
      <c r="D7" s="46" t="s">
        <v>90</v>
      </c>
      <c r="E7" s="81">
        <v>44405</v>
      </c>
      <c r="F7" s="38" t="s">
        <v>94</v>
      </c>
      <c r="G7" s="39" t="s">
        <v>94</v>
      </c>
      <c r="H7" s="39"/>
      <c r="I7" s="39"/>
      <c r="J7" s="39" t="s">
        <v>94</v>
      </c>
      <c r="K7" s="39" t="s">
        <v>94</v>
      </c>
      <c r="L7" s="39" t="s">
        <v>94</v>
      </c>
      <c r="M7" s="39"/>
      <c r="N7" s="39" t="s">
        <v>94</v>
      </c>
      <c r="O7" s="268" t="s">
        <v>94</v>
      </c>
      <c r="P7" s="39" t="s">
        <v>94</v>
      </c>
      <c r="Q7" s="39" t="s">
        <v>94</v>
      </c>
      <c r="R7" s="39" t="s">
        <v>94</v>
      </c>
      <c r="S7" s="39" t="s">
        <v>94</v>
      </c>
      <c r="T7" s="39" t="s">
        <v>94</v>
      </c>
      <c r="U7" s="39" t="s">
        <v>94</v>
      </c>
      <c r="V7" s="39" t="s">
        <v>94</v>
      </c>
      <c r="W7" s="39" t="s">
        <v>94</v>
      </c>
      <c r="X7" s="39" t="s">
        <v>94</v>
      </c>
      <c r="Y7" s="39" t="s">
        <v>94</v>
      </c>
      <c r="Z7" s="39" t="s">
        <v>94</v>
      </c>
      <c r="AA7" s="39" t="s">
        <v>94</v>
      </c>
      <c r="AB7" s="39" t="s">
        <v>94</v>
      </c>
      <c r="AC7" s="40" t="s">
        <v>94</v>
      </c>
      <c r="AD7" s="131"/>
      <c r="AE7" s="50"/>
      <c r="AF7" s="27" t="s">
        <v>481</v>
      </c>
      <c r="AG7" s="25" t="s">
        <v>485</v>
      </c>
      <c r="AH7" s="25"/>
      <c r="AI7" s="26" t="s">
        <v>89</v>
      </c>
      <c r="AJ7" s="35"/>
      <c r="AK7" s="27"/>
      <c r="AL7" s="283" t="str">
        <f>'#5'!C63</f>
        <v>NR</v>
      </c>
      <c r="AM7" s="283" t="str">
        <f>'#5'!D63</f>
        <v>Comments</v>
      </c>
      <c r="AN7" s="28" t="str">
        <f>IF('#5'!$B48="","",'#5'!$B48)</f>
        <v>REQ_ROB_3</v>
      </c>
      <c r="AO7" s="28" t="str">
        <f>IF('#5'!$B49="","",'#5'!$B49)</f>
        <v>REQ_ROB_4</v>
      </c>
      <c r="AP7" s="28" t="str">
        <f>IF('#5'!$B50="","",'#5'!$B50)</f>
        <v>REQ_ROB_5</v>
      </c>
      <c r="AQ7" s="28" t="str">
        <f>IF('#5'!$B51="","",'#5'!$B51)</f>
        <v>REQ_SYS_AC-Charge_140</v>
      </c>
      <c r="AR7" s="28"/>
      <c r="AS7" s="28"/>
      <c r="AT7" s="28"/>
      <c r="AU7" s="28"/>
      <c r="AV7" s="28"/>
      <c r="AW7" s="67"/>
      <c r="AX7" s="67"/>
      <c r="AY7" s="67"/>
      <c r="AZ7" s="67"/>
      <c r="BA7" s="67"/>
      <c r="BB7" s="67"/>
      <c r="BC7" s="67"/>
      <c r="BD7" s="67"/>
      <c r="BE7" s="67"/>
      <c r="BF7" s="67"/>
      <c r="BG7" s="67"/>
      <c r="BH7" s="25"/>
      <c r="BI7" s="25"/>
      <c r="BJ7" s="25"/>
      <c r="BK7" s="25"/>
      <c r="BL7" s="25"/>
      <c r="BM7" s="25"/>
      <c r="BN7" s="25"/>
      <c r="BO7" s="25"/>
      <c r="BP7" s="25"/>
      <c r="BQ7" s="25"/>
      <c r="BR7" s="25"/>
      <c r="BS7" s="25"/>
      <c r="BT7" s="25"/>
      <c r="BU7" s="25"/>
      <c r="BV7" s="25"/>
      <c r="BW7" s="25"/>
      <c r="BX7" s="25"/>
      <c r="BY7" s="25"/>
      <c r="BZ7" s="25"/>
      <c r="CA7" s="25"/>
      <c r="CB7" s="67"/>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167"/>
      <c r="EC7" s="25"/>
      <c r="ED7" s="25"/>
      <c r="EE7" s="25"/>
      <c r="EF7" s="25"/>
      <c r="EG7" s="25"/>
      <c r="EH7" s="25"/>
      <c r="EI7" s="25"/>
      <c r="EJ7" s="25"/>
      <c r="EK7" s="25"/>
      <c r="EL7" s="167"/>
      <c r="EM7" s="25"/>
    </row>
    <row r="8" spans="1:185" ht="38.25" customHeight="1" x14ac:dyDescent="0.35">
      <c r="A8" s="51" t="s">
        <v>492</v>
      </c>
      <c r="B8" s="47"/>
      <c r="C8" s="55" t="s">
        <v>493</v>
      </c>
      <c r="D8" s="46" t="s">
        <v>90</v>
      </c>
      <c r="E8" s="81">
        <v>44320</v>
      </c>
      <c r="F8" s="38" t="s">
        <v>94</v>
      </c>
      <c r="G8" s="39" t="s">
        <v>94</v>
      </c>
      <c r="H8" s="39"/>
      <c r="I8" s="39"/>
      <c r="J8" s="39" t="s">
        <v>94</v>
      </c>
      <c r="K8" s="39"/>
      <c r="L8" s="39" t="s">
        <v>94</v>
      </c>
      <c r="M8" s="39"/>
      <c r="N8" s="39" t="s">
        <v>94</v>
      </c>
      <c r="O8" s="268" t="s">
        <v>94</v>
      </c>
      <c r="P8" s="39" t="s">
        <v>94</v>
      </c>
      <c r="Q8" s="39" t="s">
        <v>94</v>
      </c>
      <c r="R8" s="39" t="s">
        <v>94</v>
      </c>
      <c r="S8" s="39" t="s">
        <v>94</v>
      </c>
      <c r="T8" s="39" t="s">
        <v>94</v>
      </c>
      <c r="U8" s="39" t="s">
        <v>94</v>
      </c>
      <c r="V8" s="39" t="s">
        <v>94</v>
      </c>
      <c r="W8" s="39" t="s">
        <v>94</v>
      </c>
      <c r="X8" s="39" t="s">
        <v>94</v>
      </c>
      <c r="Y8" s="39" t="s">
        <v>94</v>
      </c>
      <c r="Z8" s="39" t="s">
        <v>94</v>
      </c>
      <c r="AA8" s="39" t="s">
        <v>94</v>
      </c>
      <c r="AB8" s="39" t="s">
        <v>94</v>
      </c>
      <c r="AC8" s="40" t="s">
        <v>94</v>
      </c>
      <c r="AD8" s="131"/>
      <c r="AE8" s="50"/>
      <c r="AF8" s="27" t="s">
        <v>481</v>
      </c>
      <c r="AG8" s="25" t="s">
        <v>485</v>
      </c>
      <c r="AH8" s="25"/>
      <c r="AI8" s="26" t="s">
        <v>89</v>
      </c>
      <c r="AJ8" s="35"/>
      <c r="AK8" s="27"/>
      <c r="AL8" s="283" t="str">
        <f>'#6'!C35</f>
        <v>NR</v>
      </c>
      <c r="AM8" s="283" t="str">
        <f>'#6'!D35</f>
        <v>Comments</v>
      </c>
      <c r="AN8" s="28" t="str">
        <f>IF('#6'!$B20="","",'#6'!$B20)</f>
        <v>REQ_ROB_6</v>
      </c>
      <c r="AO8" s="28"/>
      <c r="AP8" s="28"/>
      <c r="AQ8" s="28"/>
      <c r="AR8" s="28"/>
      <c r="AS8" s="28"/>
      <c r="AT8" s="28"/>
      <c r="AU8" s="28"/>
      <c r="AV8" s="28"/>
      <c r="AW8" s="67"/>
      <c r="AX8" s="67"/>
      <c r="AY8" s="67"/>
      <c r="AZ8" s="67"/>
      <c r="BA8" s="67"/>
      <c r="BB8" s="67"/>
      <c r="BC8" s="67"/>
      <c r="BD8" s="67"/>
      <c r="BE8" s="67"/>
      <c r="BF8" s="67"/>
      <c r="BG8" s="67"/>
      <c r="BH8" s="25"/>
      <c r="BI8" s="25"/>
      <c r="BJ8" s="25"/>
      <c r="BK8" s="25"/>
      <c r="BL8" s="25"/>
      <c r="BM8" s="25"/>
      <c r="BN8" s="25"/>
      <c r="BO8" s="25"/>
      <c r="BP8" s="25"/>
      <c r="BQ8" s="25"/>
      <c r="BR8" s="25"/>
      <c r="BS8" s="25"/>
      <c r="BT8" s="25"/>
      <c r="BU8" s="25"/>
      <c r="BV8" s="25"/>
      <c r="BW8" s="25"/>
      <c r="BX8" s="25"/>
      <c r="BY8" s="25"/>
      <c r="BZ8" s="25"/>
      <c r="CA8" s="25"/>
      <c r="CB8" s="67"/>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167"/>
      <c r="EC8" s="25"/>
      <c r="ED8" s="25"/>
      <c r="EE8" s="25"/>
      <c r="EF8" s="25"/>
      <c r="EG8" s="25"/>
      <c r="EH8" s="25"/>
      <c r="EI8" s="25"/>
      <c r="EJ8" s="25"/>
      <c r="EK8" s="25"/>
      <c r="EL8" s="167"/>
      <c r="EM8" s="25"/>
    </row>
    <row r="9" spans="1:185" ht="38.25" customHeight="1" x14ac:dyDescent="0.35">
      <c r="A9" s="51" t="s">
        <v>494</v>
      </c>
      <c r="B9" s="62"/>
      <c r="C9" s="55" t="s">
        <v>495</v>
      </c>
      <c r="D9" s="46" t="s">
        <v>90</v>
      </c>
      <c r="E9" s="81">
        <v>45504</v>
      </c>
      <c r="F9" s="38" t="s">
        <v>94</v>
      </c>
      <c r="G9" s="39" t="s">
        <v>94</v>
      </c>
      <c r="H9" s="39" t="s">
        <v>94</v>
      </c>
      <c r="I9" s="39"/>
      <c r="J9" s="39" t="s">
        <v>94</v>
      </c>
      <c r="K9" s="39" t="s">
        <v>94</v>
      </c>
      <c r="L9" s="39" t="s">
        <v>94</v>
      </c>
      <c r="M9" s="39"/>
      <c r="N9" s="39" t="s">
        <v>94</v>
      </c>
      <c r="O9" s="268" t="s">
        <v>94</v>
      </c>
      <c r="P9" s="39" t="s">
        <v>94</v>
      </c>
      <c r="Q9" s="39" t="s">
        <v>94</v>
      </c>
      <c r="R9" s="39" t="s">
        <v>94</v>
      </c>
      <c r="S9" s="39" t="s">
        <v>94</v>
      </c>
      <c r="T9" s="39" t="s">
        <v>94</v>
      </c>
      <c r="U9" s="39" t="s">
        <v>94</v>
      </c>
      <c r="V9" s="39" t="s">
        <v>94</v>
      </c>
      <c r="W9" s="39" t="s">
        <v>94</v>
      </c>
      <c r="X9" s="39" t="s">
        <v>94</v>
      </c>
      <c r="Y9" s="39" t="s">
        <v>94</v>
      </c>
      <c r="Z9" s="39" t="s">
        <v>94</v>
      </c>
      <c r="AA9" s="39" t="s">
        <v>94</v>
      </c>
      <c r="AB9" s="39" t="s">
        <v>94</v>
      </c>
      <c r="AC9" s="40" t="s">
        <v>94</v>
      </c>
      <c r="AD9" s="132"/>
      <c r="AE9" s="23"/>
      <c r="AF9" s="27" t="s">
        <v>481</v>
      </c>
      <c r="AG9" s="25" t="s">
        <v>485</v>
      </c>
      <c r="AH9" s="25"/>
      <c r="AI9" s="26" t="s">
        <v>89</v>
      </c>
      <c r="AJ9" s="64"/>
      <c r="AK9" s="63"/>
      <c r="AL9" s="283" t="str">
        <f>'#7'!C445</f>
        <v>NR</v>
      </c>
      <c r="AM9" s="284" t="str">
        <f>'#7'!D445</f>
        <v>Comments</v>
      </c>
      <c r="AN9" s="65" t="str">
        <f>IF('#7'!$B340="","",'#7'!$B340)</f>
        <v>REQ_SYS_HV_NW_Remote_148</v>
      </c>
      <c r="AO9" s="65" t="str">
        <f>IF('#7'!$B341="","",'#7'!$B341)</f>
        <v/>
      </c>
      <c r="AP9" s="65" t="str">
        <f>IF('#7'!$B342="","",'#7'!$B342)</f>
        <v>REQ_SYS_Peak-Off-Charge-Opt_68</v>
      </c>
      <c r="AQ9" s="65" t="str">
        <f>IF('#7'!$B343="","",'#7'!$B343)</f>
        <v>REQ_SYS_Combo-Fast-Charge_279</v>
      </c>
      <c r="AR9" s="65" t="str">
        <f>IF('#7'!$B344="","",'#7'!$B344)</f>
        <v>REQ_SYS_AC-Charge_329</v>
      </c>
      <c r="AS9" s="65" t="str">
        <f>IF('#7'!$B345="","",'#7'!$B345)</f>
        <v>REQ_SYS_Electric_drive_1310</v>
      </c>
      <c r="AT9" s="65" t="str">
        <f>IF('#7'!$B346="","",'#7'!$B346)</f>
        <v>REQ_SYS_Electric_drive_1312</v>
      </c>
      <c r="AU9" s="65" t="str">
        <f>IF('#7'!$B347="","",'#7'!$B347)</f>
        <v>REQ_SYS_Cooling_Design_2618</v>
      </c>
      <c r="AV9" s="68" t="str">
        <f>IF('#7'!$B348="","",'#7'!$B348)</f>
        <v>REQ_SYS_Cooling_Design_2616</v>
      </c>
      <c r="AW9" s="68" t="str">
        <f>IF('#7'!$B349="","",'#7'!$B349)</f>
        <v>REQ_SYS_Cooling_Design_2614</v>
      </c>
      <c r="AX9" s="68" t="str">
        <f>IF('#7'!$B350="","",'#7'!$B350)</f>
        <v>REQ_SYS_Cooling_Design_2612</v>
      </c>
      <c r="AY9" s="66" t="str">
        <f>IF('#7'!$B351="","",'#7'!$B351)</f>
        <v>REQ_SYS_Cooling_Design_2610</v>
      </c>
      <c r="AZ9" s="66" t="str">
        <f>IF('#7'!$B352="","",'#7'!$B352)</f>
        <v>REQ_SYS_Cooling_Design_2608</v>
      </c>
      <c r="BA9" s="66" t="str">
        <f>IF('#7'!$B353="","",'#7'!$B353)</f>
        <v>REQ_SYS_Cooling_Design_2606</v>
      </c>
      <c r="BB9" s="66" t="str">
        <f>IF('#7'!$B354="","",'#7'!$B354)</f>
        <v>REQ_SYS_Cooling_Design_2605</v>
      </c>
      <c r="BC9" s="66" t="str">
        <f>IF('#7'!$B355="","",'#7'!$B355)</f>
        <v>REQ_SYS_Cooling_Design_2603</v>
      </c>
      <c r="BD9" s="66" t="str">
        <f>IF('#7'!$B356="","",'#7'!$B356)</f>
        <v>REQ_SYS_Cooling_Design_2602</v>
      </c>
      <c r="BE9" s="66" t="str">
        <f>IF('#7'!$B357="","",'#7'!$B357)</f>
        <v>REQ_SYS_Cooling_Design_2601</v>
      </c>
      <c r="BF9" s="66" t="str">
        <f>IF('#7'!$B358="","",'#7'!$B358)</f>
        <v>REQ_SYS_Cooling_Design_2599</v>
      </c>
      <c r="BG9" s="66" t="str">
        <f>IF('#7'!$B359="","",'#7'!$B359)</f>
        <v>REQ_SYS_combo-Fast-charge_484</v>
      </c>
      <c r="BH9" s="66" t="str">
        <f>IF('#7'!$B360="","",'#7'!$B360)</f>
        <v>REQ_SYS_combo-Fast-charge_485</v>
      </c>
      <c r="BI9" s="66" t="str">
        <f>IF('#7'!$B361="","",'#7'!$B361)</f>
        <v>REQ_SYS_combo-Fast-charge_486</v>
      </c>
      <c r="BJ9" s="66" t="str">
        <f>IF('#7'!$B362="","",'#7'!$B362)</f>
        <v>REQ_SYS_Plug-charge_187</v>
      </c>
      <c r="BK9" s="66" t="str">
        <f>IF('#7'!$B363="","",'#7'!$B363)</f>
        <v>REQ_SYS_Plug-charge_188</v>
      </c>
      <c r="BL9" s="66" t="str">
        <f>IF('#7'!$B364="","",'#7'!$B364)</f>
        <v>REQ_SYS_Plug-charge_189</v>
      </c>
      <c r="BM9" s="66" t="str">
        <f>IF('#7'!$B365="","",'#7'!$B365)</f>
        <v>REQ_SYS_Plug-charge_190</v>
      </c>
      <c r="BN9" s="66" t="str">
        <f>IF('#7'!$B366="","",'#7'!$B366)</f>
        <v>REQ_SYS_Plug-charge_191</v>
      </c>
      <c r="BO9" s="66" t="str">
        <f>IF('#7'!$B367="","",'#7'!$B367)</f>
        <v>REQ_SYS_V2G_525</v>
      </c>
      <c r="BP9" s="66" t="str">
        <f>IF('#7'!$B368="","",'#7'!$B368)</f>
        <v>REQ_SYS_V2G_526</v>
      </c>
      <c r="BQ9" s="66" t="str">
        <f>IF('#7'!$B369="","",'#7'!$B369)</f>
        <v>REQ_SYS_V2G_527</v>
      </c>
      <c r="BR9" s="66" t="str">
        <f>IF('#7'!$B370="","",'#7'!$B370)</f>
        <v>REQ_SYS_V2G_528</v>
      </c>
      <c r="BS9" s="66" t="str">
        <f>IF('#7'!$B371="","",'#7'!$B371)</f>
        <v>REQ_SYS_V2G_529</v>
      </c>
      <c r="BT9" s="66" t="str">
        <f>IF('#7'!$B372="","",'#7'!$B372)</f>
        <v>REQ_SYS_V2G_530</v>
      </c>
      <c r="BU9" s="66" t="str">
        <f>IF('#7'!$B373="","",'#7'!$B373)</f>
        <v>REQ_SYS_V2L_675</v>
      </c>
      <c r="BV9" s="66" t="str">
        <f>IF('#7'!$B374="","",'#7'!$B374)</f>
        <v>REQ_SYS_V2L_676</v>
      </c>
      <c r="BW9" s="66" t="str">
        <f>IF('#7'!$B375="","",'#7'!$B375)</f>
        <v>REQ_SYS_V2L_677</v>
      </c>
      <c r="BX9" s="66" t="str">
        <f>IF('#7'!$B376="","",'#7'!$B376)</f>
        <v>REQ_SYS_V2L_678</v>
      </c>
      <c r="BY9" s="66" t="str">
        <f>IF('#7'!$B377="","",'#7'!$B377)</f>
        <v>REQ_SYS_V2L_679</v>
      </c>
      <c r="BZ9" s="66" t="str">
        <f>IF('#7'!$B378="","",'#7'!$B378)</f>
        <v>REQ_SYS_Comm_107378</v>
      </c>
      <c r="CA9" s="66" t="str">
        <f>IF('#7'!$B379="","",'#7'!$B379)</f>
        <v>REQ_SYS_Comm_107379</v>
      </c>
      <c r="CB9" s="66" t="str">
        <f>IF('#7'!$B380="","",'#7'!$B380)</f>
        <v>REQ_SYS_Comm_107380</v>
      </c>
      <c r="CC9" s="66" t="str">
        <f>IF('#7'!$B381="","",'#7'!$B381)</f>
        <v>REQ_SYS_Comm_107381</v>
      </c>
      <c r="CD9" s="66" t="str">
        <f>IF('#7'!$B382="","",'#7'!$B382)</f>
        <v>REQ_SYS_Comm_107382</v>
      </c>
      <c r="CE9" s="66" t="str">
        <f>IF('#7'!$B383="","",'#7'!$B383)</f>
        <v>REQ_SYS_Comm_107383</v>
      </c>
      <c r="CF9" s="66" t="str">
        <f>IF('#7'!$B384="","",'#7'!$B384)</f>
        <v>REQ_SYS_Comm_107385</v>
      </c>
      <c r="CG9" s="66" t="str">
        <f>IF('#7'!$B385="","",'#7'!$B385)</f>
        <v>REQ_SYS_Comm_107386</v>
      </c>
      <c r="CH9" s="66" t="str">
        <f>IF('#7'!$B386="","",'#7'!$B386)</f>
        <v>REQ_SYS_Comm_107387</v>
      </c>
      <c r="CI9" s="66" t="str">
        <f>IF('#7'!$B387="","",'#7'!$B387)</f>
        <v>REQ_SYS_Comm_107388</v>
      </c>
      <c r="CJ9" s="66" t="str">
        <f>IF('#7'!$B388="","",'#7'!$B388)</f>
        <v>REQ_SYS_Comm_107389</v>
      </c>
      <c r="CK9" s="66" t="str">
        <f>IF('#7'!$B389="","",'#7'!$B389)</f>
        <v>REQ_SYS_Comm_107390</v>
      </c>
      <c r="CL9" s="66" t="str">
        <f>IF('#7'!$B390="","",'#7'!$B390)</f>
        <v>REQ_SYS_GRA_NEW_394</v>
      </c>
      <c r="CM9" s="66" t="str">
        <f>IF('#7'!$B391="","",'#7'!$B391)</f>
        <v>REQ_SYS_GRA_NEW_395</v>
      </c>
      <c r="CN9" s="66" t="str">
        <f>IF('#7'!$B392="","",'#7'!$B392)</f>
        <v>REQ_SYS_GRA_NEW_396</v>
      </c>
      <c r="CO9" s="66" t="str">
        <f>IF('#7'!$B393="","",'#7'!$B393)</f>
        <v>REQ_SYS_Comm_488</v>
      </c>
      <c r="CP9" s="66" t="str">
        <f>IF('#7'!$B394="","",'#7'!$B394)</f>
        <v>REQ_SYS_Comm_489</v>
      </c>
      <c r="CQ9" s="66" t="str">
        <f>IF('#7'!$B395="","",'#7'!$B395)</f>
        <v>REQ_SYS_Comm_490</v>
      </c>
      <c r="CR9" s="66" t="str">
        <f>IF('#7'!$B396="","",'#7'!$B396)</f>
        <v>REQ_SYS_Comm_491</v>
      </c>
      <c r="CS9" s="66" t="str">
        <f>IF('#7'!$B397="","",'#7'!$B397)</f>
        <v>REQ_SYS_Comm_492</v>
      </c>
      <c r="CT9" s="66" t="str">
        <f>IF('#7'!$B398="","",'#7'!$B398)</f>
        <v>REQ_SYS_Comm_493</v>
      </c>
      <c r="CU9" s="66" t="str">
        <f>IF('#7'!$B399="","",'#7'!$B399)</f>
        <v>REQ_SYS_Comm_494</v>
      </c>
      <c r="CV9" s="66" t="str">
        <f>IF('#7'!$B400="","",'#7'!$B400)</f>
        <v>REQ_SYS_Comm_495</v>
      </c>
      <c r="CW9" s="66" t="str">
        <f>IF('#7'!$B401="","",'#7'!$B401)</f>
        <v>REQ_SYS_Comm_496</v>
      </c>
      <c r="CX9" s="66" t="str">
        <f>IF('#7'!$B402="","",'#7'!$B402)</f>
        <v>REQ_SYS_Comm_497</v>
      </c>
      <c r="CY9" s="66" t="str">
        <f>IF('#7'!$B403="","",'#7'!$B403)</f>
        <v>REQ_SYS_Comm_498</v>
      </c>
      <c r="CZ9" s="66" t="str">
        <f>IF('#7'!$B404="","",'#7'!$B404)</f>
        <v>REQ_SYS_Comm_499</v>
      </c>
      <c r="DA9" s="66" t="str">
        <f>IF('#7'!$B405="","",'#7'!$B405)</f>
        <v>REQ_SYS_Comm_501</v>
      </c>
      <c r="DB9" s="66" t="str">
        <f>IF('#7'!$B406="","",'#7'!$B406)</f>
        <v>REQ_SYS_Comm_500</v>
      </c>
      <c r="DC9" s="66" t="str">
        <f>IF('#7'!$B407="","",'#7'!$B407)</f>
        <v>REQ_SYS_Comm_502</v>
      </c>
      <c r="DD9" s="66" t="str">
        <f>IF('#7'!$B408="","",'#7'!$B408)</f>
        <v>REQ_SYS_Comm_503</v>
      </c>
      <c r="DE9" s="66" t="str">
        <f>IF('#7'!$B409="","",'#7'!$B409)</f>
        <v>REQ_SYS_Comm_504</v>
      </c>
      <c r="DF9" s="66" t="str">
        <f>IF('#7'!$B410="","",'#7'!$B410)</f>
        <v>REQ_SYS_Comm_505</v>
      </c>
      <c r="DG9" s="66" t="str">
        <f>IF('#7'!$B411="","",'#7'!$B411)</f>
        <v>REQ_SYS_Comm_506</v>
      </c>
      <c r="DH9" s="66" t="str">
        <f>IF('#7'!$B412="","",'#7'!$B412)</f>
        <v>REQ_SYS_Comm_507</v>
      </c>
      <c r="DI9" s="66" t="str">
        <f>IF('#7'!$B413="","",'#7'!$B413)</f>
        <v>REQ_SYS_Comm_508</v>
      </c>
      <c r="DJ9" s="66" t="str">
        <f>IF('#7'!$B414="","",'#7'!$B414)</f>
        <v>REQ_SYS_Comm_519</v>
      </c>
      <c r="DK9" s="66" t="str">
        <f>IF('#7'!$B415="","",'#7'!$B415)</f>
        <v xml:space="preserve"> REQ_SYS_Comm_520</v>
      </c>
      <c r="DL9" s="66" t="str">
        <f>IF('#7'!$B416="","",'#7'!$B416)</f>
        <v xml:space="preserve"> REQ_SYS_Comm_521 </v>
      </c>
      <c r="DM9" s="66" t="str">
        <f>IF('#7'!$B417="","",'#7'!$B417)</f>
        <v xml:space="preserve">REQ_SYS_Comm_522 </v>
      </c>
      <c r="DN9" s="66" t="str">
        <f>IF('#7'!$B418="","",'#7'!$B418)</f>
        <v xml:space="preserve"> REQ_SYS_Comm_523 </v>
      </c>
      <c r="DO9" s="66" t="str">
        <f>IF('#7'!$B419="","",'#7'!$B419)</f>
        <v xml:space="preserve"> REQ_SYS_Comm_524</v>
      </c>
      <c r="DP9" s="66" t="str">
        <f>IF('#7'!$B420="","",'#7'!$B420)</f>
        <v xml:space="preserve"> REQ_SYS_Comm_525 </v>
      </c>
      <c r="DQ9" s="66" t="str">
        <f>IF('#7'!$B421="","",'#7'!$B421)</f>
        <v xml:space="preserve">REQ_SYS_Comm_526 </v>
      </c>
      <c r="DR9" s="66" t="str">
        <f>IF('#7'!$B422="","",'#7'!$B422)</f>
        <v xml:space="preserve"> REQ_SYS_Comm_527 </v>
      </c>
      <c r="DS9" s="66" t="str">
        <f>IF('#7'!$B423="","",'#7'!$B423)</f>
        <v xml:space="preserve"> REQ_SYS_Comm_528 </v>
      </c>
      <c r="DT9" s="66" t="str">
        <f>IF('#7'!$B424="","",'#7'!$B424)</f>
        <v xml:space="preserve"> REQ_SYS_Comm_529</v>
      </c>
      <c r="DU9" s="66" t="str">
        <f>IF('#7'!$B425="","",'#7'!$B425)</f>
        <v xml:space="preserve"> REQ_SYS_Comm_530 </v>
      </c>
      <c r="DV9" s="66" t="str">
        <f>IF('#7'!$B426="","",'#7'!$B426)</f>
        <v xml:space="preserve"> REQ_SYS_Comm_531 </v>
      </c>
      <c r="DW9" s="66" t="str">
        <f>IF('#7'!$B427="","",'#7'!$B427)</f>
        <v xml:space="preserve">REQ_SYS_Comm_532 </v>
      </c>
      <c r="DX9" s="66" t="str">
        <f>IF('#7'!$B428="","",'#7'!$B428)</f>
        <v xml:space="preserve"> REQ_SYS_Comm_533</v>
      </c>
      <c r="DY9" s="66" t="str">
        <f>IF('#7'!$B429="","",'#7'!$B429)</f>
        <v xml:space="preserve"> REQ_SYS_Comm_534 </v>
      </c>
      <c r="DZ9" s="66" t="str">
        <f>IF('#7'!$B430="","",'#7'!$B430)</f>
        <v>REQ_SYS_AC-Charge_489</v>
      </c>
      <c r="EA9" s="68" t="str">
        <f>IF('#7'!$B431="","",'#7'!$B431)</f>
        <v>REQ_SYS_AC-Charge_488</v>
      </c>
      <c r="EB9" s="28" t="str">
        <f>IF('#7'!$B432="","",'#7'!$B432)</f>
        <v>REQ_SYS_combo-Fast-charge_459</v>
      </c>
      <c r="EC9" s="66" t="str">
        <f>IF('#7'!$B433="","",'#7'!$B433)</f>
        <v>REQ_SYS_Comm_509</v>
      </c>
      <c r="ED9" s="66" t="str">
        <f>IF('#7'!$B434="","",'#7'!$B434)</f>
        <v>REQ_SYS_Comm_510</v>
      </c>
      <c r="EE9" s="66" t="str">
        <f>IF('#7'!$B435="","",'#7'!$B435)</f>
        <v>REQ_SYS_Comm_511</v>
      </c>
      <c r="EF9" s="66" t="str">
        <f>IF('#7'!$B436="","",'#7'!$B436)</f>
        <v>REQ_SYS_Comm_512</v>
      </c>
      <c r="EG9" s="66" t="str">
        <f>IF('#7'!$B437="","",'#7'!$B437)</f>
        <v>REQ_SYS_Comm_513</v>
      </c>
      <c r="EH9" s="66" t="str">
        <f>IF('#7'!$B438="","",'#7'!$B438)</f>
        <v>REQ_SYS_Comm_514</v>
      </c>
      <c r="EI9" s="66" t="str">
        <f>IF('#7'!$B439="","",'#7'!$B439)</f>
        <v>REQ_SYS_Comm_515</v>
      </c>
      <c r="EJ9" s="66" t="str">
        <f>IF('#7'!$B440="","",'#7'!$B440)</f>
        <v>REQ_SYS_Comm_516</v>
      </c>
      <c r="EK9" s="68" t="str">
        <f>IF('#7'!$B441="","",'#7'!$B441)</f>
        <v>REQ_SYS_Comm_517</v>
      </c>
      <c r="EL9" s="28" t="str">
        <f>IF('#7'!$B442="","",'#7'!$B442)</f>
        <v>REQ_SYS_Comm_518</v>
      </c>
      <c r="EM9" s="25"/>
    </row>
    <row r="10" spans="1:185" ht="37.5" customHeight="1" x14ac:dyDescent="0.35">
      <c r="A10" s="51" t="s">
        <v>496</v>
      </c>
      <c r="B10" s="62"/>
      <c r="C10" s="55" t="s">
        <v>497</v>
      </c>
      <c r="D10" s="46" t="s">
        <v>90</v>
      </c>
      <c r="E10" s="81">
        <v>44859</v>
      </c>
      <c r="F10" s="38" t="s">
        <v>94</v>
      </c>
      <c r="G10" s="39" t="s">
        <v>94</v>
      </c>
      <c r="H10" s="39" t="s">
        <v>94</v>
      </c>
      <c r="I10" s="39"/>
      <c r="J10" s="39"/>
      <c r="K10" s="39" t="s">
        <v>94</v>
      </c>
      <c r="L10" s="39" t="s">
        <v>94</v>
      </c>
      <c r="M10" s="39"/>
      <c r="N10" s="39" t="s">
        <v>94</v>
      </c>
      <c r="O10" s="268" t="s">
        <v>94</v>
      </c>
      <c r="P10" s="39" t="s">
        <v>94</v>
      </c>
      <c r="Q10" s="39" t="s">
        <v>94</v>
      </c>
      <c r="R10" s="39" t="s">
        <v>94</v>
      </c>
      <c r="S10" s="39" t="s">
        <v>94</v>
      </c>
      <c r="T10" s="39" t="s">
        <v>94</v>
      </c>
      <c r="U10" s="39" t="s">
        <v>94</v>
      </c>
      <c r="V10" s="39" t="s">
        <v>94</v>
      </c>
      <c r="W10" s="39" t="s">
        <v>94</v>
      </c>
      <c r="X10" s="39" t="s">
        <v>94</v>
      </c>
      <c r="Y10" s="39" t="s">
        <v>94</v>
      </c>
      <c r="Z10" s="39" t="s">
        <v>94</v>
      </c>
      <c r="AA10" s="39" t="s">
        <v>94</v>
      </c>
      <c r="AB10" s="39" t="s">
        <v>94</v>
      </c>
      <c r="AC10" s="40" t="s">
        <v>94</v>
      </c>
      <c r="AD10" s="132"/>
      <c r="AE10" s="23"/>
      <c r="AF10" s="27" t="s">
        <v>481</v>
      </c>
      <c r="AG10" s="25" t="s">
        <v>485</v>
      </c>
      <c r="AH10" s="25"/>
      <c r="AI10" s="167" t="s">
        <v>89</v>
      </c>
      <c r="AJ10" s="25"/>
      <c r="AK10" s="25"/>
      <c r="AL10" s="283" t="str">
        <f>'#8'!C150</f>
        <v>NR</v>
      </c>
      <c r="AM10" s="283" t="str">
        <f>'#8'!D150</f>
        <v>Comments</v>
      </c>
      <c r="AN10" s="28" t="str">
        <f>IF('#8'!$B135="","",'#8'!$B135)</f>
        <v>REQ_SYS_Battery-Discharge_224</v>
      </c>
      <c r="AO10" s="28"/>
      <c r="AP10" s="28"/>
      <c r="AQ10" s="28"/>
      <c r="AR10" s="28"/>
      <c r="AS10" s="28"/>
      <c r="AT10" s="28"/>
      <c r="AU10" s="28"/>
      <c r="AV10" s="28"/>
      <c r="AW10" s="28"/>
      <c r="AX10" s="28"/>
      <c r="AY10" s="28"/>
      <c r="AZ10" s="28"/>
      <c r="BA10" s="28"/>
      <c r="BB10" s="28"/>
      <c r="BC10" s="28"/>
      <c r="BD10" s="28"/>
      <c r="BE10" s="28"/>
      <c r="BF10" s="28"/>
      <c r="BG10" s="28"/>
      <c r="BH10" s="25"/>
      <c r="BI10" s="25"/>
      <c r="BJ10" s="25"/>
      <c r="BK10" s="25"/>
      <c r="BL10" s="25"/>
      <c r="BM10" s="25"/>
      <c r="BN10" s="25"/>
      <c r="BO10" s="25"/>
      <c r="BP10" s="25"/>
      <c r="BQ10" s="25"/>
      <c r="BR10" s="25"/>
      <c r="BS10" s="25"/>
      <c r="BT10" s="25"/>
      <c r="BU10" s="25"/>
      <c r="BV10" s="25"/>
      <c r="BW10" s="25"/>
      <c r="BX10" s="25"/>
      <c r="BY10" s="25"/>
      <c r="BZ10" s="25"/>
      <c r="CA10" s="25"/>
      <c r="CB10" s="68"/>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167"/>
      <c r="EC10" s="25"/>
      <c r="ED10" s="25"/>
      <c r="EE10" s="25"/>
      <c r="EF10" s="25"/>
      <c r="EG10" s="25"/>
      <c r="EH10" s="25"/>
      <c r="EI10" s="25"/>
      <c r="EJ10" s="25"/>
      <c r="EK10" s="25"/>
      <c r="EL10" s="167"/>
      <c r="EM10" s="25"/>
    </row>
    <row r="11" spans="1:185" ht="38.25" customHeight="1" x14ac:dyDescent="0.35">
      <c r="A11" s="175" t="s">
        <v>498</v>
      </c>
      <c r="B11" s="62"/>
      <c r="C11" s="55" t="s">
        <v>499</v>
      </c>
      <c r="D11" s="176" t="s">
        <v>90</v>
      </c>
      <c r="E11" s="229">
        <v>45489</v>
      </c>
      <c r="F11" s="177"/>
      <c r="G11" s="178"/>
      <c r="H11" s="178"/>
      <c r="I11" s="178"/>
      <c r="J11" s="178"/>
      <c r="K11" s="178"/>
      <c r="L11" s="178"/>
      <c r="M11" s="178"/>
      <c r="N11" s="178" t="s">
        <v>500</v>
      </c>
      <c r="O11" s="268"/>
      <c r="P11" s="268"/>
      <c r="Q11" s="268"/>
      <c r="R11" s="268"/>
      <c r="S11" s="268"/>
      <c r="T11" s="268"/>
      <c r="U11" s="268"/>
      <c r="V11" s="268"/>
      <c r="W11" s="268"/>
      <c r="X11" s="178" t="s">
        <v>500</v>
      </c>
      <c r="Y11" s="268"/>
      <c r="Z11" s="268"/>
      <c r="AA11" s="268"/>
      <c r="AB11" s="268"/>
      <c r="AC11" s="40"/>
      <c r="AD11" s="132"/>
      <c r="AE11" s="23"/>
      <c r="AF11" s="63" t="s">
        <v>481</v>
      </c>
      <c r="AG11" s="230" t="s">
        <v>501</v>
      </c>
      <c r="AH11" s="179"/>
      <c r="AI11" s="180" t="s">
        <v>89</v>
      </c>
      <c r="AJ11" s="64"/>
      <c r="AK11" s="63"/>
      <c r="AL11" s="284" t="str">
        <f>'#9'!C57</f>
        <v>NR</v>
      </c>
      <c r="AM11" s="284" t="str">
        <f>'#9'!D57</f>
        <v>Comments</v>
      </c>
      <c r="AN11" s="28" t="str">
        <f>IF('#9'!$B42="","",'#9'!$B42)</f>
        <v>REQ_SYS_Comm_107481</v>
      </c>
      <c r="AO11" s="28" t="str">
        <f>IF('#9'!$B43="","",'#9'!$B43)</f>
        <v/>
      </c>
      <c r="AP11" s="28" t="str">
        <f>IF('#9'!$B44="","",'#9'!$B44)</f>
        <v/>
      </c>
      <c r="AQ11" s="28" t="str">
        <f>IF('#9'!$B45="","",'#9'!$B45)</f>
        <v/>
      </c>
      <c r="AR11" s="28" t="str">
        <f>IF('#9'!$B46="","",'#9'!$B46)</f>
        <v/>
      </c>
      <c r="AS11" s="28"/>
      <c r="AT11" s="28"/>
      <c r="AU11" s="28"/>
      <c r="AV11" s="28"/>
      <c r="AW11" s="28"/>
      <c r="AX11" s="28"/>
      <c r="AY11" s="28"/>
      <c r="AZ11" s="68"/>
      <c r="BA11" s="68"/>
      <c r="BB11" s="68"/>
      <c r="BC11" s="68"/>
      <c r="BD11" s="68"/>
      <c r="BE11" s="68"/>
      <c r="BF11" s="68"/>
      <c r="BG11" s="68"/>
      <c r="BH11" s="179"/>
      <c r="BI11" s="179"/>
      <c r="BJ11" s="179"/>
      <c r="BK11" s="179"/>
      <c r="BL11" s="179"/>
      <c r="BM11" s="179"/>
      <c r="BN11" s="179"/>
      <c r="BO11" s="179"/>
      <c r="BP11" s="179"/>
      <c r="BQ11" s="179"/>
      <c r="BR11" s="179"/>
      <c r="BS11" s="179"/>
      <c r="BT11" s="179"/>
      <c r="BU11" s="179"/>
      <c r="BV11" s="179"/>
      <c r="BW11" s="179"/>
      <c r="BX11" s="179"/>
      <c r="BY11" s="179"/>
      <c r="BZ11" s="179"/>
      <c r="CA11" s="179"/>
      <c r="CB11" s="68"/>
      <c r="CC11" s="179"/>
      <c r="CD11" s="179"/>
      <c r="CE11" s="179"/>
      <c r="CF11" s="179"/>
      <c r="CG11" s="179"/>
      <c r="CH11" s="179"/>
      <c r="CI11" s="179"/>
      <c r="CJ11" s="179"/>
      <c r="CK11" s="179"/>
      <c r="CL11" s="179"/>
      <c r="CM11" s="179"/>
      <c r="CN11" s="179"/>
      <c r="CO11" s="179"/>
      <c r="CP11" s="179"/>
      <c r="CQ11" s="179"/>
      <c r="CR11" s="179"/>
      <c r="CS11" s="179"/>
      <c r="CT11" s="179"/>
      <c r="CU11" s="179"/>
      <c r="CV11" s="179"/>
      <c r="CW11" s="179"/>
      <c r="CX11" s="179"/>
      <c r="CY11" s="179"/>
      <c r="CZ11" s="179"/>
      <c r="DA11" s="179"/>
      <c r="DB11" s="179"/>
      <c r="DC11" s="179"/>
      <c r="DD11" s="179"/>
      <c r="DE11" s="179"/>
      <c r="DF11" s="179"/>
      <c r="DG11" s="179"/>
      <c r="DH11" s="179"/>
      <c r="DI11" s="179"/>
      <c r="DJ11" s="179"/>
      <c r="DK11" s="179"/>
      <c r="DL11" s="179"/>
      <c r="DM11" s="179"/>
      <c r="DN11" s="179"/>
      <c r="DO11" s="179"/>
      <c r="DP11" s="179"/>
      <c r="DQ11" s="179"/>
      <c r="DR11" s="179"/>
      <c r="DS11" s="179"/>
      <c r="DT11" s="179"/>
      <c r="DU11" s="179"/>
      <c r="DV11" s="179"/>
      <c r="DW11" s="179"/>
      <c r="DX11" s="179"/>
      <c r="DY11" s="179"/>
      <c r="DZ11" s="179"/>
      <c r="EA11" s="179"/>
      <c r="EB11" s="181"/>
      <c r="EC11" s="179"/>
      <c r="ED11" s="179"/>
      <c r="EE11" s="179"/>
      <c r="EF11" s="179"/>
      <c r="EG11" s="179"/>
      <c r="EH11" s="179"/>
      <c r="EI11" s="179"/>
      <c r="EJ11" s="179"/>
      <c r="EK11" s="179"/>
      <c r="EL11" s="181"/>
      <c r="EM11" s="25"/>
    </row>
    <row r="12" spans="1:185" s="25" customFormat="1" ht="38.25" customHeight="1" thickBot="1" x14ac:dyDescent="0.4">
      <c r="A12" s="182" t="s">
        <v>502</v>
      </c>
      <c r="B12" s="47"/>
      <c r="C12" s="55" t="s">
        <v>503</v>
      </c>
      <c r="D12" s="46" t="s">
        <v>90</v>
      </c>
      <c r="E12" s="81"/>
      <c r="F12" s="278"/>
      <c r="G12" s="279"/>
      <c r="H12" s="279"/>
      <c r="I12" s="279"/>
      <c r="J12" s="279"/>
      <c r="K12" s="279"/>
      <c r="L12" s="279"/>
      <c r="M12" s="279"/>
      <c r="N12" s="279"/>
      <c r="O12" s="280"/>
      <c r="P12" s="280"/>
      <c r="Q12" s="280"/>
      <c r="R12" s="280"/>
      <c r="S12" s="280"/>
      <c r="T12" s="280"/>
      <c r="U12" s="280"/>
      <c r="V12" s="280"/>
      <c r="W12" s="280"/>
      <c r="X12" s="280"/>
      <c r="Y12" s="280"/>
      <c r="Z12" s="280"/>
      <c r="AA12" s="280"/>
      <c r="AB12" s="280"/>
      <c r="AC12" s="281"/>
      <c r="AE12" s="47"/>
      <c r="AF12" s="25" t="s">
        <v>481</v>
      </c>
      <c r="AG12" s="25" t="s">
        <v>485</v>
      </c>
      <c r="AI12" s="25" t="s">
        <v>89</v>
      </c>
      <c r="AL12" s="283" t="str">
        <f>'#10'!C50</f>
        <v>NA</v>
      </c>
      <c r="AM12" s="283" t="str">
        <f>'#10'!D50</f>
        <v>Comments</v>
      </c>
      <c r="AN12" s="28"/>
      <c r="AO12" s="28" t="str">
        <f>IF('#10'!$B36="","",'#10'!$B36)</f>
        <v/>
      </c>
      <c r="AP12" s="28" t="str">
        <f>IF('#10'!$B37="","",'#10'!$B37)</f>
        <v/>
      </c>
      <c r="AQ12" s="28" t="str">
        <f>IF('#10'!$B38="","",'#10'!$B38)</f>
        <v/>
      </c>
      <c r="AR12" s="28" t="str">
        <f>IF('#10'!$B39="","",'#10'!$B39)</f>
        <v/>
      </c>
      <c r="AS12" s="28" t="str">
        <f>IF('#10'!$B40="","",'#10'!$B40)</f>
        <v/>
      </c>
      <c r="AT12" s="28" t="str">
        <f>IF('#10'!$B41="","",'#10'!$B41)</f>
        <v/>
      </c>
      <c r="AU12" s="28" t="str">
        <f>IF('#10'!$B42="","",'#10'!$B42)</f>
        <v/>
      </c>
      <c r="AV12" s="28" t="str">
        <f>IF('#10'!$B43="","",'#10'!$B43)</f>
        <v/>
      </c>
      <c r="AW12" s="28" t="str">
        <f>IF('#10'!$B44="","",'#10'!$B44)</f>
        <v/>
      </c>
      <c r="AX12" s="28" t="str">
        <f>IF('#10'!$B45="","",'#10'!$B45)</f>
        <v/>
      </c>
      <c r="AY12" s="28" t="str">
        <f>IF('#10'!$B46="","",'#10'!$B46)</f>
        <v/>
      </c>
      <c r="AZ12" s="28"/>
      <c r="BA12" s="28"/>
      <c r="BB12" s="28"/>
      <c r="BC12" s="28"/>
      <c r="BD12" s="28"/>
      <c r="BE12" s="28"/>
      <c r="BF12" s="28"/>
      <c r="BG12" s="28"/>
      <c r="CB12" s="28" t="str">
        <f>IF('#10'!$B47="","",'#10'!$B47)</f>
        <v/>
      </c>
      <c r="EN12" s="24"/>
      <c r="EO12" s="24"/>
      <c r="EP12" s="24"/>
      <c r="EQ12" s="24"/>
      <c r="ER12" s="24"/>
      <c r="ES12" s="24"/>
      <c r="ET12" s="24"/>
      <c r="EU12" s="24"/>
      <c r="EV12" s="24"/>
      <c r="EW12" s="24"/>
      <c r="EX12" s="24"/>
      <c r="EY12" s="24"/>
      <c r="EZ12" s="24"/>
      <c r="FA12" s="24"/>
      <c r="FB12" s="24"/>
      <c r="FC12" s="24"/>
      <c r="FD12" s="24"/>
      <c r="FE12" s="24"/>
      <c r="FF12" s="24"/>
      <c r="FG12" s="24"/>
      <c r="FH12" s="24"/>
      <c r="FI12" s="24"/>
      <c r="FJ12" s="24"/>
      <c r="FK12" s="24"/>
      <c r="FL12" s="24"/>
      <c r="FM12" s="24"/>
      <c r="FN12" s="24"/>
      <c r="FO12" s="24"/>
      <c r="FP12" s="24"/>
      <c r="FQ12" s="24"/>
      <c r="FR12" s="24"/>
      <c r="FS12" s="24"/>
      <c r="FT12" s="24"/>
      <c r="FU12" s="24"/>
      <c r="FV12" s="24"/>
      <c r="FW12" s="24"/>
      <c r="FX12" s="24"/>
      <c r="FY12" s="24"/>
      <c r="FZ12" s="24"/>
      <c r="GA12" s="24"/>
      <c r="GB12" s="24"/>
      <c r="GC12" s="24"/>
    </row>
  </sheetData>
  <mergeCells count="6">
    <mergeCell ref="AK1:EM1"/>
    <mergeCell ref="AN2:EM2"/>
    <mergeCell ref="A1:E1"/>
    <mergeCell ref="AF1:AI1"/>
    <mergeCell ref="AD1:AE1"/>
    <mergeCell ref="F1:AC1"/>
  </mergeCells>
  <phoneticPr fontId="41" type="noConversion"/>
  <conditionalFormatting sqref="AD3">
    <cfRule type="cellIs" dxfId="2218" priority="1378" operator="equal">
      <formula>"X"</formula>
    </cfRule>
  </conditionalFormatting>
  <conditionalFormatting sqref="AF3:AH4 AF5 AH5 AF8:AF11 AH8:AH11">
    <cfRule type="cellIs" dxfId="2217" priority="1376" operator="equal">
      <formula>"NOK"</formula>
    </cfRule>
    <cfRule type="cellIs" dxfId="2216" priority="1377" operator="equal">
      <formula>"OK"</formula>
    </cfRule>
  </conditionalFormatting>
  <conditionalFormatting sqref="AI8:AI11 AI3:AI5">
    <cfRule type="cellIs" dxfId="2215" priority="1364" operator="equal">
      <formula>"NO"</formula>
    </cfRule>
    <cfRule type="cellIs" dxfId="2214" priority="1365" operator="equal">
      <formula>"YES"</formula>
    </cfRule>
    <cfRule type="cellIs" dxfId="2213" priority="1366" operator="equal">
      <formula>"NOK"</formula>
    </cfRule>
    <cfRule type="cellIs" dxfId="2212" priority="1367" operator="equal">
      <formula>"OK"</formula>
    </cfRule>
  </conditionalFormatting>
  <conditionalFormatting sqref="AL3:AM3">
    <cfRule type="cellIs" dxfId="2211" priority="1345" operator="equal">
      <formula>"NR"</formula>
    </cfRule>
    <cfRule type="cellIs" dxfId="2210" priority="1346" operator="equal">
      <formula>"OK"</formula>
    </cfRule>
    <cfRule type="cellIs" dxfId="2209" priority="1347" operator="equal">
      <formula>"NOK"</formula>
    </cfRule>
  </conditionalFormatting>
  <conditionalFormatting sqref="AD4">
    <cfRule type="cellIs" dxfId="2208" priority="1218" operator="equal">
      <formula>"X"</formula>
    </cfRule>
  </conditionalFormatting>
  <conditionalFormatting sqref="AD5">
    <cfRule type="cellIs" dxfId="2207" priority="1211" operator="equal">
      <formula>"X"</formula>
    </cfRule>
  </conditionalFormatting>
  <conditionalFormatting sqref="AD8:AD11">
    <cfRule type="cellIs" dxfId="2206" priority="1204" operator="equal">
      <formula>"X"</formula>
    </cfRule>
  </conditionalFormatting>
  <conditionalFormatting sqref="AF7 AH7">
    <cfRule type="cellIs" dxfId="2205" priority="1154" operator="equal">
      <formula>"NOK"</formula>
    </cfRule>
    <cfRule type="cellIs" dxfId="2204" priority="1155" operator="equal">
      <formula>"OK"</formula>
    </cfRule>
  </conditionalFormatting>
  <conditionalFormatting sqref="AI7">
    <cfRule type="cellIs" dxfId="2203" priority="1150" operator="equal">
      <formula>"NO"</formula>
    </cfRule>
    <cfRule type="cellIs" dxfId="2202" priority="1151" operator="equal">
      <formula>"YES"</formula>
    </cfRule>
    <cfRule type="cellIs" dxfId="2201" priority="1152" operator="equal">
      <formula>"NOK"</formula>
    </cfRule>
    <cfRule type="cellIs" dxfId="2200" priority="1153" operator="equal">
      <formula>"OK"</formula>
    </cfRule>
  </conditionalFormatting>
  <conditionalFormatting sqref="AD7">
    <cfRule type="cellIs" dxfId="2199" priority="1147" operator="equal">
      <formula>"X"</formula>
    </cfRule>
  </conditionalFormatting>
  <conditionalFormatting sqref="E3:E10 E12">
    <cfRule type="cellIs" dxfId="2198" priority="1117" operator="equal">
      <formula>"YES"</formula>
    </cfRule>
  </conditionalFormatting>
  <conditionalFormatting sqref="AF6 AH6">
    <cfRule type="cellIs" dxfId="2197" priority="1094" operator="equal">
      <formula>"NOK"</formula>
    </cfRule>
    <cfRule type="cellIs" dxfId="2196" priority="1095" operator="equal">
      <formula>"OK"</formula>
    </cfRule>
  </conditionalFormatting>
  <conditionalFormatting sqref="AI6">
    <cfRule type="cellIs" dxfId="2195" priority="1090" operator="equal">
      <formula>"NO"</formula>
    </cfRule>
    <cfRule type="cellIs" dxfId="2194" priority="1091" operator="equal">
      <formula>"YES"</formula>
    </cfRule>
    <cfRule type="cellIs" dxfId="2193" priority="1092" operator="equal">
      <formula>"NOK"</formula>
    </cfRule>
    <cfRule type="cellIs" dxfId="2192" priority="1093" operator="equal">
      <formula>"OK"</formula>
    </cfRule>
  </conditionalFormatting>
  <conditionalFormatting sqref="AD6">
    <cfRule type="cellIs" dxfId="2191" priority="1085" operator="equal">
      <formula>"X"</formula>
    </cfRule>
  </conditionalFormatting>
  <conditionalFormatting sqref="AG5:AG10">
    <cfRule type="cellIs" dxfId="2190" priority="182" operator="equal">
      <formula>"NOK"</formula>
    </cfRule>
    <cfRule type="cellIs" dxfId="2189" priority="183" operator="equal">
      <formula>"OK"</formula>
    </cfRule>
  </conditionalFormatting>
  <conditionalFormatting sqref="I5 G5 M5:N5">
    <cfRule type="cellIs" dxfId="2188" priority="181" operator="equal">
      <formula>"X"</formula>
    </cfRule>
  </conditionalFormatting>
  <conditionalFormatting sqref="I10:J11 I4 M11:N11 G7:G8 G4 G10:G11 I7:I9 M7:M10 N7:N8 M4:N4 N10">
    <cfRule type="cellIs" dxfId="2187" priority="180" operator="equal">
      <formula>"X"</formula>
    </cfRule>
  </conditionalFormatting>
  <conditionalFormatting sqref="I3 G3 M3:N3">
    <cfRule type="cellIs" dxfId="2186" priority="177" operator="equal">
      <formula>"X"</formula>
    </cfRule>
  </conditionalFormatting>
  <conditionalFormatting sqref="I6:J6 G6 M6:N6">
    <cfRule type="cellIs" dxfId="2185" priority="175" operator="equal">
      <formula>"X"</formula>
    </cfRule>
  </conditionalFormatting>
  <conditionalFormatting sqref="AL4:AL10">
    <cfRule type="cellIs" dxfId="2184" priority="167" operator="equal">
      <formula>"NR"</formula>
    </cfRule>
    <cfRule type="cellIs" dxfId="2183" priority="168" operator="equal">
      <formula>"OK"</formula>
    </cfRule>
    <cfRule type="cellIs" dxfId="2182" priority="169" operator="equal">
      <formula>"NOK"</formula>
    </cfRule>
  </conditionalFormatting>
  <conditionalFormatting sqref="BH3">
    <cfRule type="expression" dxfId="2181" priority="862">
      <formula>#REF!="OK"</formula>
    </cfRule>
  </conditionalFormatting>
  <conditionalFormatting sqref="BH3">
    <cfRule type="expression" dxfId="2180" priority="861">
      <formula>#REF!="NOK"</formula>
    </cfRule>
  </conditionalFormatting>
  <conditionalFormatting sqref="BH4">
    <cfRule type="expression" dxfId="2179" priority="838">
      <formula>#REF!="OK"</formula>
    </cfRule>
  </conditionalFormatting>
  <conditionalFormatting sqref="BH4">
    <cfRule type="expression" dxfId="2178" priority="837">
      <formula>#REF!="NOK"</formula>
    </cfRule>
  </conditionalFormatting>
  <conditionalFormatting sqref="BH5">
    <cfRule type="expression" dxfId="2177" priority="814">
      <formula>#REF!="OK"</formula>
    </cfRule>
  </conditionalFormatting>
  <conditionalFormatting sqref="BH5">
    <cfRule type="expression" dxfId="2176" priority="813">
      <formula>#REF!="NOK"</formula>
    </cfRule>
  </conditionalFormatting>
  <conditionalFormatting sqref="BH6">
    <cfRule type="expression" dxfId="2175" priority="790">
      <formula>#REF!="OK"</formula>
    </cfRule>
  </conditionalFormatting>
  <conditionalFormatting sqref="BH6">
    <cfRule type="expression" dxfId="2174" priority="789">
      <formula>#REF!="NOK"</formula>
    </cfRule>
  </conditionalFormatting>
  <conditionalFormatting sqref="BH7">
    <cfRule type="expression" dxfId="2173" priority="766">
      <formula>#REF!="OK"</formula>
    </cfRule>
  </conditionalFormatting>
  <conditionalFormatting sqref="BH7">
    <cfRule type="expression" dxfId="2172" priority="765">
      <formula>#REF!="NOK"</formula>
    </cfRule>
  </conditionalFormatting>
  <conditionalFormatting sqref="BH8 BH10:BH11">
    <cfRule type="expression" dxfId="2171" priority="742">
      <formula>#REF!="OK"</formula>
    </cfRule>
  </conditionalFormatting>
  <conditionalFormatting sqref="BH8 BH10:BH11">
    <cfRule type="expression" dxfId="2170" priority="741">
      <formula>#REF!="NOK"</formula>
    </cfRule>
  </conditionalFormatting>
  <conditionalFormatting sqref="BH3">
    <cfRule type="expression" dxfId="2169" priority="646">
      <formula>#REF!="OK"</formula>
    </cfRule>
  </conditionalFormatting>
  <conditionalFormatting sqref="BH3">
    <cfRule type="expression" dxfId="2168" priority="645">
      <formula>#REF!="NOK"</formula>
    </cfRule>
  </conditionalFormatting>
  <conditionalFormatting sqref="BH4">
    <cfRule type="expression" dxfId="2167" priority="622">
      <formula>#REF!="OK"</formula>
    </cfRule>
  </conditionalFormatting>
  <conditionalFormatting sqref="BH4">
    <cfRule type="expression" dxfId="2166" priority="621">
      <formula>#REF!="NOK"</formula>
    </cfRule>
  </conditionalFormatting>
  <conditionalFormatting sqref="BH5">
    <cfRule type="expression" dxfId="2165" priority="598">
      <formula>#REF!="OK"</formula>
    </cfRule>
  </conditionalFormatting>
  <conditionalFormatting sqref="BH5">
    <cfRule type="expression" dxfId="2164" priority="597">
      <formula>#REF!="NOK"</formula>
    </cfRule>
  </conditionalFormatting>
  <conditionalFormatting sqref="BH6">
    <cfRule type="expression" dxfId="2163" priority="574">
      <formula>#REF!="OK"</formula>
    </cfRule>
  </conditionalFormatting>
  <conditionalFormatting sqref="BH6">
    <cfRule type="expression" dxfId="2162" priority="573">
      <formula>#REF!="NOK"</formula>
    </cfRule>
  </conditionalFormatting>
  <conditionalFormatting sqref="BH7">
    <cfRule type="expression" dxfId="2161" priority="550">
      <formula>#REF!="OK"</formula>
    </cfRule>
  </conditionalFormatting>
  <conditionalFormatting sqref="BH7">
    <cfRule type="expression" dxfId="2160" priority="549">
      <formula>#REF!="NOK"</formula>
    </cfRule>
  </conditionalFormatting>
  <conditionalFormatting sqref="BH8 BH10:BH11">
    <cfRule type="expression" dxfId="2159" priority="526">
      <formula>#REF!="OK"</formula>
    </cfRule>
  </conditionalFormatting>
  <conditionalFormatting sqref="BH8 BH10:BH11">
    <cfRule type="expression" dxfId="2158" priority="525">
      <formula>#REF!="NOK"</formula>
    </cfRule>
  </conditionalFormatting>
  <conditionalFormatting sqref="D3:D11">
    <cfRule type="cellIs" dxfId="2157" priority="163" operator="equal">
      <formula>"NO"</formula>
    </cfRule>
    <cfRule type="cellIs" dxfId="2156" priority="164" operator="equal">
      <formula>"YES"</formula>
    </cfRule>
    <cfRule type="cellIs" dxfId="2155" priority="165" operator="equal">
      <formula>"NOK"</formula>
    </cfRule>
    <cfRule type="cellIs" dxfId="2154" priority="166" operator="equal">
      <formula>"OK"</formula>
    </cfRule>
  </conditionalFormatting>
  <conditionalFormatting sqref="AL11">
    <cfRule type="cellIs" dxfId="2153" priority="154" operator="equal">
      <formula>"NR"</formula>
    </cfRule>
    <cfRule type="cellIs" dxfId="2152" priority="155" operator="equal">
      <formula>"OK"</formula>
    </cfRule>
    <cfRule type="cellIs" dxfId="2151" priority="156" operator="equal">
      <formula>"NOK"</formula>
    </cfRule>
  </conditionalFormatting>
  <conditionalFormatting sqref="AN3:AW3">
    <cfRule type="expression" dxfId="2150" priority="302">
      <formula>VLOOKUP(AN$3,#REF!,2,FALSE)="NOK"</formula>
    </cfRule>
    <cfRule type="expression" dxfId="2149" priority="303">
      <formula>VLOOKUP(AN$3,#REF!,2,FALSE)="OK"</formula>
    </cfRule>
  </conditionalFormatting>
  <conditionalFormatting sqref="AF12 AH12">
    <cfRule type="cellIs" dxfId="2148" priority="136" operator="equal">
      <formula>"NOK"</formula>
    </cfRule>
    <cfRule type="cellIs" dxfId="2147" priority="137" operator="equal">
      <formula>"OK"</formula>
    </cfRule>
  </conditionalFormatting>
  <conditionalFormatting sqref="AI12">
    <cfRule type="cellIs" dxfId="2146" priority="132" operator="equal">
      <formula>"NO"</formula>
    </cfRule>
    <cfRule type="cellIs" dxfId="2145" priority="133" operator="equal">
      <formula>"YES"</formula>
    </cfRule>
    <cfRule type="cellIs" dxfId="2144" priority="134" operator="equal">
      <formula>"NOK"</formula>
    </cfRule>
    <cfRule type="cellIs" dxfId="2143" priority="135" operator="equal">
      <formula>"OK"</formula>
    </cfRule>
  </conditionalFormatting>
  <conditionalFormatting sqref="AD12">
    <cfRule type="cellIs" dxfId="2142" priority="131" operator="equal">
      <formula>"X"</formula>
    </cfRule>
  </conditionalFormatting>
  <conditionalFormatting sqref="AG12">
    <cfRule type="cellIs" dxfId="2141" priority="118" operator="equal">
      <formula>"NOK"</formula>
    </cfRule>
    <cfRule type="cellIs" dxfId="2140" priority="119" operator="equal">
      <formula>"OK"</formula>
    </cfRule>
  </conditionalFormatting>
  <conditionalFormatting sqref="I12:J12 M12:N12 G12">
    <cfRule type="cellIs" dxfId="2139" priority="116" operator="equal">
      <formula>"X"</formula>
    </cfRule>
  </conditionalFormatting>
  <conditionalFormatting sqref="BH12">
    <cfRule type="expression" dxfId="2138" priority="125">
      <formula>#REF!="OK"</formula>
    </cfRule>
  </conditionalFormatting>
  <conditionalFormatting sqref="BH12">
    <cfRule type="expression" dxfId="2137" priority="124">
      <formula>#REF!="NOK"</formula>
    </cfRule>
  </conditionalFormatting>
  <conditionalFormatting sqref="BH12">
    <cfRule type="expression" dxfId="2136" priority="121">
      <formula>#REF!="OK"</formula>
    </cfRule>
  </conditionalFormatting>
  <conditionalFormatting sqref="BH12">
    <cfRule type="expression" dxfId="2135" priority="120">
      <formula>#REF!="NOK"</formula>
    </cfRule>
  </conditionalFormatting>
  <conditionalFormatting sqref="D12">
    <cfRule type="cellIs" dxfId="2134" priority="111" operator="equal">
      <formula>"NO"</formula>
    </cfRule>
    <cfRule type="cellIs" dxfId="2133" priority="112" operator="equal">
      <formula>"YES"</formula>
    </cfRule>
    <cfRule type="cellIs" dxfId="2132" priority="113" operator="equal">
      <formula>"NOK"</formula>
    </cfRule>
    <cfRule type="cellIs" dxfId="2131" priority="114" operator="equal">
      <formula>"OK"</formula>
    </cfRule>
  </conditionalFormatting>
  <conditionalFormatting sqref="AL12">
    <cfRule type="cellIs" dxfId="2130" priority="108" operator="equal">
      <formula>"NR"</formula>
    </cfRule>
    <cfRule type="cellIs" dxfId="2129" priority="109" operator="equal">
      <formula>"OK"</formula>
    </cfRule>
    <cfRule type="cellIs" dxfId="2128" priority="110" operator="equal">
      <formula>"NOK"</formula>
    </cfRule>
  </conditionalFormatting>
  <conditionalFormatting sqref="H5">
    <cfRule type="cellIs" dxfId="2127" priority="105" operator="equal">
      <formula>"X"</formula>
    </cfRule>
  </conditionalFormatting>
  <conditionalFormatting sqref="H4 H7:H11 G9">
    <cfRule type="cellIs" dxfId="2126" priority="104" operator="equal">
      <formula>"X"</formula>
    </cfRule>
  </conditionalFormatting>
  <conditionalFormatting sqref="H3">
    <cfRule type="cellIs" dxfId="2125" priority="103" operator="equal">
      <formula>"X"</formula>
    </cfRule>
  </conditionalFormatting>
  <conditionalFormatting sqref="H6">
    <cfRule type="cellIs" dxfId="2124" priority="102" operator="equal">
      <formula>"X"</formula>
    </cfRule>
  </conditionalFormatting>
  <conditionalFormatting sqref="H12">
    <cfRule type="cellIs" dxfId="2123" priority="101" operator="equal">
      <formula>"X"</formula>
    </cfRule>
  </conditionalFormatting>
  <conditionalFormatting sqref="J5:K5 J7:K7 K9:K11 J9">
    <cfRule type="cellIs" dxfId="2122" priority="100" operator="equal">
      <formula>"X"</formula>
    </cfRule>
  </conditionalFormatting>
  <conditionalFormatting sqref="J4:K4">
    <cfRule type="cellIs" dxfId="2121" priority="99" operator="equal">
      <formula>"X"</formula>
    </cfRule>
  </conditionalFormatting>
  <conditionalFormatting sqref="K11 J3:K3">
    <cfRule type="cellIs" dxfId="2120" priority="98" operator="equal">
      <formula>"X"</formula>
    </cfRule>
  </conditionalFormatting>
  <conditionalFormatting sqref="K6">
    <cfRule type="cellIs" dxfId="2119" priority="97" operator="equal">
      <formula>"X"</formula>
    </cfRule>
  </conditionalFormatting>
  <conditionalFormatting sqref="K12">
    <cfRule type="cellIs" dxfId="2118" priority="96" operator="equal">
      <formula>"X"</formula>
    </cfRule>
  </conditionalFormatting>
  <conditionalFormatting sqref="L5">
    <cfRule type="cellIs" dxfId="2117" priority="95" operator="equal">
      <formula>"X"</formula>
    </cfRule>
  </conditionalFormatting>
  <conditionalFormatting sqref="L4 L7:L11 J8:K8">
    <cfRule type="cellIs" dxfId="2116" priority="94" operator="equal">
      <formula>"X"</formula>
    </cfRule>
  </conditionalFormatting>
  <conditionalFormatting sqref="L3">
    <cfRule type="cellIs" dxfId="2115" priority="93" operator="equal">
      <formula>"X"</formula>
    </cfRule>
  </conditionalFormatting>
  <conditionalFormatting sqref="L6">
    <cfRule type="cellIs" dxfId="2114" priority="92" operator="equal">
      <formula>"X"</formula>
    </cfRule>
  </conditionalFormatting>
  <conditionalFormatting sqref="L12">
    <cfRule type="cellIs" dxfId="2113" priority="91" operator="equal">
      <formula>"X"</formula>
    </cfRule>
  </conditionalFormatting>
  <conditionalFormatting sqref="F5">
    <cfRule type="cellIs" dxfId="2112" priority="90" operator="equal">
      <formula>"X"</formula>
    </cfRule>
  </conditionalFormatting>
  <conditionalFormatting sqref="F4 F7:F11">
    <cfRule type="cellIs" dxfId="2111" priority="89" operator="equal">
      <formula>"X"</formula>
    </cfRule>
  </conditionalFormatting>
  <conditionalFormatting sqref="F3">
    <cfRule type="cellIs" dxfId="2110" priority="88" operator="equal">
      <formula>"X"</formula>
    </cfRule>
  </conditionalFormatting>
  <conditionalFormatting sqref="F6">
    <cfRule type="cellIs" dxfId="2109" priority="87" operator="equal">
      <formula>"X"</formula>
    </cfRule>
  </conditionalFormatting>
  <conditionalFormatting sqref="F12">
    <cfRule type="cellIs" dxfId="2108" priority="86" operator="equal">
      <formula>"X"</formula>
    </cfRule>
  </conditionalFormatting>
  <conditionalFormatting sqref="CC3">
    <cfRule type="expression" dxfId="2107" priority="78">
      <formula>#REF!="OK"</formula>
    </cfRule>
  </conditionalFormatting>
  <conditionalFormatting sqref="CC3">
    <cfRule type="expression" dxfId="2106" priority="77">
      <formula>#REF!="NOK"</formula>
    </cfRule>
  </conditionalFormatting>
  <conditionalFormatting sqref="CC4">
    <cfRule type="expression" dxfId="2105" priority="76">
      <formula>#REF!="OK"</formula>
    </cfRule>
  </conditionalFormatting>
  <conditionalFormatting sqref="CC4">
    <cfRule type="expression" dxfId="2104" priority="75">
      <formula>#REF!="NOK"</formula>
    </cfRule>
  </conditionalFormatting>
  <conditionalFormatting sqref="CC5">
    <cfRule type="expression" dxfId="2103" priority="74">
      <formula>#REF!="OK"</formula>
    </cfRule>
  </conditionalFormatting>
  <conditionalFormatting sqref="CC5">
    <cfRule type="expression" dxfId="2102" priority="73">
      <formula>#REF!="NOK"</formula>
    </cfRule>
  </conditionalFormatting>
  <conditionalFormatting sqref="CC6">
    <cfRule type="expression" dxfId="2101" priority="72">
      <formula>#REF!="OK"</formula>
    </cfRule>
  </conditionalFormatting>
  <conditionalFormatting sqref="CC6">
    <cfRule type="expression" dxfId="2100" priority="71">
      <formula>#REF!="NOK"</formula>
    </cfRule>
  </conditionalFormatting>
  <conditionalFormatting sqref="CC7">
    <cfRule type="expression" dxfId="2099" priority="70">
      <formula>#REF!="OK"</formula>
    </cfRule>
  </conditionalFormatting>
  <conditionalFormatting sqref="CC7">
    <cfRule type="expression" dxfId="2098" priority="69">
      <formula>#REF!="NOK"</formula>
    </cfRule>
  </conditionalFormatting>
  <conditionalFormatting sqref="CC8 CC10:CC11">
    <cfRule type="expression" dxfId="2097" priority="68">
      <formula>#REF!="OK"</formula>
    </cfRule>
  </conditionalFormatting>
  <conditionalFormatting sqref="CC8 CC10:CC11">
    <cfRule type="expression" dxfId="2096" priority="67">
      <formula>#REF!="NOK"</formula>
    </cfRule>
  </conditionalFormatting>
  <conditionalFormatting sqref="CC3">
    <cfRule type="expression" dxfId="2095" priority="66">
      <formula>#REF!="OK"</formula>
    </cfRule>
  </conditionalFormatting>
  <conditionalFormatting sqref="CC3">
    <cfRule type="expression" dxfId="2094" priority="65">
      <formula>#REF!="NOK"</formula>
    </cfRule>
  </conditionalFormatting>
  <conditionalFormatting sqref="CC4">
    <cfRule type="expression" dxfId="2093" priority="64">
      <formula>#REF!="OK"</formula>
    </cfRule>
  </conditionalFormatting>
  <conditionalFormatting sqref="CC4">
    <cfRule type="expression" dxfId="2092" priority="63">
      <formula>#REF!="NOK"</formula>
    </cfRule>
  </conditionalFormatting>
  <conditionalFormatting sqref="CC5">
    <cfRule type="expression" dxfId="2091" priority="62">
      <formula>#REF!="OK"</formula>
    </cfRule>
  </conditionalFormatting>
  <conditionalFormatting sqref="CC5">
    <cfRule type="expression" dxfId="2090" priority="61">
      <formula>#REF!="NOK"</formula>
    </cfRule>
  </conditionalFormatting>
  <conditionalFormatting sqref="CC6">
    <cfRule type="expression" dxfId="2089" priority="60">
      <formula>#REF!="OK"</formula>
    </cfRule>
  </conditionalFormatting>
  <conditionalFormatting sqref="CC6">
    <cfRule type="expression" dxfId="2088" priority="59">
      <formula>#REF!="NOK"</formula>
    </cfRule>
  </conditionalFormatting>
  <conditionalFormatting sqref="CC7">
    <cfRule type="expression" dxfId="2087" priority="58">
      <formula>#REF!="OK"</formula>
    </cfRule>
  </conditionalFormatting>
  <conditionalFormatting sqref="CC7">
    <cfRule type="expression" dxfId="2086" priority="57">
      <formula>#REF!="NOK"</formula>
    </cfRule>
  </conditionalFormatting>
  <conditionalFormatting sqref="CC8 CC10:CC11">
    <cfRule type="expression" dxfId="2085" priority="56">
      <formula>#REF!="OK"</formula>
    </cfRule>
  </conditionalFormatting>
  <conditionalFormatting sqref="CC8 CC10:CC11">
    <cfRule type="expression" dxfId="2084" priority="55">
      <formula>#REF!="NOK"</formula>
    </cfRule>
  </conditionalFormatting>
  <conditionalFormatting sqref="CC12">
    <cfRule type="expression" dxfId="2083" priority="42">
      <formula>#REF!="OK"</formula>
    </cfRule>
  </conditionalFormatting>
  <conditionalFormatting sqref="CC12">
    <cfRule type="expression" dxfId="2082" priority="41">
      <formula>#REF!="NOK"</formula>
    </cfRule>
  </conditionalFormatting>
  <conditionalFormatting sqref="CC12">
    <cfRule type="expression" dxfId="2081" priority="40">
      <formula>#REF!="OK"</formula>
    </cfRule>
  </conditionalFormatting>
  <conditionalFormatting sqref="CC12">
    <cfRule type="expression" dxfId="2080" priority="39">
      <formula>#REF!="NOK"</formula>
    </cfRule>
  </conditionalFormatting>
  <conditionalFormatting sqref="E11">
    <cfRule type="cellIs" dxfId="2079" priority="36" operator="equal">
      <formula>"YES"</formula>
    </cfRule>
  </conditionalFormatting>
  <conditionalFormatting sqref="AG11">
    <cfRule type="cellIs" dxfId="2078" priority="34" operator="equal">
      <formula>"NOK"</formula>
    </cfRule>
    <cfRule type="cellIs" dxfId="2077" priority="35" operator="equal">
      <formula>"OK"</formula>
    </cfRule>
  </conditionalFormatting>
  <conditionalFormatting sqref="AZ11:BG11">
    <cfRule type="expression" dxfId="2076" priority="138">
      <formula>VLOOKUP(AZ$11,#REF!,2,FALSE)="OK"</formula>
    </cfRule>
    <cfRule type="expression" dxfId="2075" priority="139">
      <formula>VLOOKUP(AZ$11,#REF!,2,FALSE)="NOK"</formula>
    </cfRule>
  </conditionalFormatting>
  <conditionalFormatting sqref="CB11">
    <cfRule type="expression" dxfId="2074" priority="43">
      <formula>VLOOKUP(CB$11,#REF!,2,FALSE)="OK"</formula>
    </cfRule>
    <cfRule type="expression" dxfId="2073" priority="44">
      <formula>VLOOKUP(CB$11,#REF!,2,FALSE)="NOK"</formula>
    </cfRule>
  </conditionalFormatting>
  <conditionalFormatting sqref="N9">
    <cfRule type="cellIs" dxfId="2072" priority="33" operator="equal">
      <formula>"X"</formula>
    </cfRule>
  </conditionalFormatting>
  <conditionalFormatting sqref="O5">
    <cfRule type="cellIs" dxfId="2071" priority="32" operator="equal">
      <formula>"X"</formula>
    </cfRule>
  </conditionalFormatting>
  <conditionalFormatting sqref="O3:O4 O7:O10 O11:W11 Y11:AB11">
    <cfRule type="cellIs" dxfId="2070" priority="31" operator="equal">
      <formula>"X"</formula>
    </cfRule>
  </conditionalFormatting>
  <conditionalFormatting sqref="O6">
    <cfRule type="cellIs" dxfId="2069" priority="29" operator="equal">
      <formula>"X"</formula>
    </cfRule>
  </conditionalFormatting>
  <conditionalFormatting sqref="AC5">
    <cfRule type="cellIs" dxfId="2068" priority="28" operator="equal">
      <formula>"X"</formula>
    </cfRule>
  </conditionalFormatting>
  <conditionalFormatting sqref="AC4 AC7:AC11">
    <cfRule type="cellIs" dxfId="2067" priority="27" operator="equal">
      <formula>"X"</formula>
    </cfRule>
  </conditionalFormatting>
  <conditionalFormatting sqref="AC3">
    <cfRule type="cellIs" dxfId="2066" priority="26" operator="equal">
      <formula>"X"</formula>
    </cfRule>
  </conditionalFormatting>
  <conditionalFormatting sqref="AC6">
    <cfRule type="cellIs" dxfId="2065" priority="25" operator="equal">
      <formula>"X"</formula>
    </cfRule>
  </conditionalFormatting>
  <conditionalFormatting sqref="O12:AB12">
    <cfRule type="cellIs" dxfId="2064" priority="24" operator="equal">
      <formula>"X"</formula>
    </cfRule>
  </conditionalFormatting>
  <conditionalFormatting sqref="AC12">
    <cfRule type="cellIs" dxfId="2063" priority="23" operator="equal">
      <formula>"X"</formula>
    </cfRule>
  </conditionalFormatting>
  <conditionalFormatting sqref="P5:Y5">
    <cfRule type="cellIs" dxfId="2062" priority="21" operator="equal">
      <formula>"X"</formula>
    </cfRule>
  </conditionalFormatting>
  <conditionalFormatting sqref="P7:Y8 P4:Y4 P10:Y10">
    <cfRule type="cellIs" dxfId="2061" priority="20" operator="equal">
      <formula>"X"</formula>
    </cfRule>
  </conditionalFormatting>
  <conditionalFormatting sqref="P3:Y3">
    <cfRule type="cellIs" dxfId="2060" priority="19" operator="equal">
      <formula>"X"</formula>
    </cfRule>
  </conditionalFormatting>
  <conditionalFormatting sqref="P6:Y6">
    <cfRule type="cellIs" dxfId="2059" priority="18" operator="equal">
      <formula>"X"</formula>
    </cfRule>
  </conditionalFormatting>
  <conditionalFormatting sqref="P9:Y9">
    <cfRule type="cellIs" dxfId="2058" priority="17" operator="equal">
      <formula>"X"</formula>
    </cfRule>
  </conditionalFormatting>
  <conditionalFormatting sqref="AB5">
    <cfRule type="cellIs" dxfId="2057" priority="16" operator="equal">
      <formula>"X"</formula>
    </cfRule>
  </conditionalFormatting>
  <conditionalFormatting sqref="AB7:AB8 AB4 AB10">
    <cfRule type="cellIs" dxfId="2056" priority="15" operator="equal">
      <formula>"X"</formula>
    </cfRule>
  </conditionalFormatting>
  <conditionalFormatting sqref="AB3">
    <cfRule type="cellIs" dxfId="2055" priority="14" operator="equal">
      <formula>"X"</formula>
    </cfRule>
  </conditionalFormatting>
  <conditionalFormatting sqref="AB6">
    <cfRule type="cellIs" dxfId="2054" priority="13" operator="equal">
      <formula>"X"</formula>
    </cfRule>
  </conditionalFormatting>
  <conditionalFormatting sqref="AB9">
    <cfRule type="cellIs" dxfId="2053" priority="12" operator="equal">
      <formula>"X"</formula>
    </cfRule>
  </conditionalFormatting>
  <conditionalFormatting sqref="X11">
    <cfRule type="cellIs" dxfId="2052" priority="11" operator="equal">
      <formula>"X"</formula>
    </cfRule>
  </conditionalFormatting>
  <conditionalFormatting sqref="Z5">
    <cfRule type="cellIs" dxfId="2051" priority="10" operator="equal">
      <formula>"X"</formula>
    </cfRule>
  </conditionalFormatting>
  <conditionalFormatting sqref="Z7:Z8 Z4 Z10">
    <cfRule type="cellIs" dxfId="2050" priority="9" operator="equal">
      <formula>"X"</formula>
    </cfRule>
  </conditionalFormatting>
  <conditionalFormatting sqref="Z3">
    <cfRule type="cellIs" dxfId="2049" priority="8" operator="equal">
      <formula>"X"</formula>
    </cfRule>
  </conditionalFormatting>
  <conditionalFormatting sqref="Z6">
    <cfRule type="cellIs" dxfId="2048" priority="7" operator="equal">
      <formula>"X"</formula>
    </cfRule>
  </conditionalFormatting>
  <conditionalFormatting sqref="Z9">
    <cfRule type="cellIs" dxfId="2047" priority="6" operator="equal">
      <formula>"X"</formula>
    </cfRule>
  </conditionalFormatting>
  <conditionalFormatting sqref="AA5">
    <cfRule type="cellIs" dxfId="2046" priority="5" operator="equal">
      <formula>"X"</formula>
    </cfRule>
  </conditionalFormatting>
  <conditionalFormatting sqref="AA7:AA8 AA4 AA10">
    <cfRule type="cellIs" dxfId="2045" priority="4" operator="equal">
      <formula>"X"</formula>
    </cfRule>
  </conditionalFormatting>
  <conditionalFormatting sqref="AA3">
    <cfRule type="cellIs" dxfId="2044" priority="3" operator="equal">
      <formula>"X"</formula>
    </cfRule>
  </conditionalFormatting>
  <conditionalFormatting sqref="AA6">
    <cfRule type="cellIs" dxfId="2043" priority="2" operator="equal">
      <formula>"X"</formula>
    </cfRule>
  </conditionalFormatting>
  <conditionalFormatting sqref="AA9">
    <cfRule type="cellIs" dxfId="2042" priority="1" operator="equal">
      <formula>"X"</formula>
    </cfRule>
  </conditionalFormatting>
  <dataValidations count="1">
    <dataValidation type="list" allowBlank="1" showInputMessage="1" showErrorMessage="1" sqref="D3:D12 AI3:AI12" xr:uid="{00000000-0002-0000-0300-000000000000}">
      <formula1>"YES,NO"</formula1>
    </dataValidation>
  </dataValidations>
  <hyperlinks>
    <hyperlink ref="C3" location="'#1'!A1" display="1 - Nominal driving HMI" xr:uid="{00000000-0004-0000-0300-000000000000}"/>
    <hyperlink ref="C12" location="'#10'!A1" display="VAL_CHG_PROG_9" xr:uid="{795F23A4-1337-4E0C-9648-3EFB0F3006A6}"/>
    <hyperlink ref="C4" location="'#2'!A1" display="VAL_CHG_PROG_2" xr:uid="{AD7BF6B8-EA57-4736-8308-C508AF0F2803}"/>
    <hyperlink ref="C5" location="'#3'!A1" display="VAL_CHG_PROG_3" xr:uid="{4648640E-A544-4A62-9574-C71D48BDC5FA}"/>
    <hyperlink ref="C6" location="'#4'!A1" display="VAL_CHG_PROG_4" xr:uid="{F322842A-37E7-465F-AE43-B9CA49EC6C89}"/>
    <hyperlink ref="C7" location="'#5'!A1" display="VAL_CHG_PROG_5" xr:uid="{D779E8F6-1C3F-4DB4-A357-72D5860B0EDD}"/>
    <hyperlink ref="C8" location="'#6'!A1" display="VAL_CHG_PROG_6" xr:uid="{9B123CBE-76F7-4AAF-87DE-D9D091B4B748}"/>
    <hyperlink ref="C9" location="'#7'!A1" display="VAL_CHG_PROG_7" xr:uid="{2D05645D-CD37-4421-A408-564C914A400B}"/>
    <hyperlink ref="C10" location="'#8'!A1" display="VAL_CHG_PROG_8" xr:uid="{D38B4735-93BC-4650-991A-29290CB0319D}"/>
    <hyperlink ref="C11" location="'#1'!A1" display="1 - Nominal driving HMI" xr:uid="{DAB4625C-D62F-4EB9-8D79-E07C70D261C1}"/>
  </hyperlinks>
  <pageMargins left="0.7" right="0.7" top="0.75" bottom="0.75" header="0.3" footer="0.3"/>
  <pageSetup orientation="portrait" r:id="rId1"/>
  <headerFooter>
    <oddFooter>&amp;R&amp;1#&amp;"Arial"&amp;10&amp;K000000Confidential C</oddFooter>
  </headerFooter>
  <extLst>
    <ext xmlns:x14="http://schemas.microsoft.com/office/spreadsheetml/2009/9/main" uri="{78C0D931-6437-407d-A8EE-F0AAD7539E65}">
      <x14:conditionalFormattings>
        <x14:conditionalFormatting xmlns:xm="http://schemas.microsoft.com/office/excel/2006/main">
          <x14:cfRule type="expression" priority="184" id="{00000000-000E-0000-0500-00002F000000}">
            <xm:f>VLOOKUP($AN$8,'#6'!$B$20:$F$32,2,FALSE)="NOK"</xm:f>
            <x14:dxf>
              <fill>
                <patternFill>
                  <fgColor indexed="64"/>
                  <bgColor rgb="FFFF0000"/>
                </patternFill>
              </fill>
            </x14:dxf>
          </x14:cfRule>
          <x14:cfRule type="expression" priority="185" id="{00000000-000E-0000-0500-000030000000}">
            <xm:f>VLOOKUP($AN$8,'#6'!$B$20:$F$32,2,FALSE)="OK"</xm:f>
            <x14:dxf>
              <fill>
                <patternFill>
                  <fgColor indexed="64"/>
                  <bgColor rgb="FF66FF66"/>
                </patternFill>
              </fill>
            </x14:dxf>
          </x14:cfRule>
          <xm:sqref>AN8:BG8</xm:sqref>
        </x14:conditionalFormatting>
        <x14:conditionalFormatting xmlns:xm="http://schemas.microsoft.com/office/excel/2006/main">
          <x14:cfRule type="expression" priority="146" id="{00000000-000E-0000-0500-000009000000}">
            <xm:f>VLOOKUP(AN$4,'#2'!$B$27:$F$39,2,FALSE)="OK"</xm:f>
            <x14:dxf>
              <fill>
                <patternFill>
                  <bgColor rgb="FF66FF66"/>
                </patternFill>
              </fill>
            </x14:dxf>
          </x14:cfRule>
          <x14:cfRule type="expression" priority="147" id="{00000000-000E-0000-0500-00000A000000}">
            <xm:f>VLOOKUP(AN$4,'#2'!$B$27:$F$39,2,FALSE)="NOK"</xm:f>
            <x14:dxf>
              <fill>
                <patternFill>
                  <bgColor rgb="FFFF0000"/>
                </patternFill>
              </fill>
            </x14:dxf>
          </x14:cfRule>
          <xm:sqref>AN4:BG4</xm:sqref>
        </x14:conditionalFormatting>
        <x14:conditionalFormatting xmlns:xm="http://schemas.microsoft.com/office/excel/2006/main">
          <x14:cfRule type="expression" priority="144" id="{00000000-000E-0000-0500-000007000000}">
            <xm:f>VLOOKUP(AN$5,'#3'!$B$214:$F$226,2,FALSE)="OK"</xm:f>
            <x14:dxf>
              <fill>
                <patternFill>
                  <bgColor rgb="FF66FF66"/>
                </patternFill>
              </fill>
            </x14:dxf>
          </x14:cfRule>
          <x14:cfRule type="expression" priority="145" id="{00000000-000E-0000-0500-000008000000}">
            <xm:f>VLOOKUP(AN$5,'#3'!$B$214:$F$226,2,FALSE)="NOK"</xm:f>
            <x14:dxf>
              <fill>
                <patternFill>
                  <bgColor rgb="FFFF0000"/>
                </patternFill>
              </fill>
            </x14:dxf>
          </x14:cfRule>
          <xm:sqref>BA5:BG5 AN5:AV5</xm:sqref>
        </x14:conditionalFormatting>
        <x14:conditionalFormatting xmlns:xm="http://schemas.microsoft.com/office/excel/2006/main">
          <x14:cfRule type="expression" priority="1379" id="{00000000-000E-0000-0500-0000DA040000}">
            <xm:f>VLOOKUP(AN$10,'#8'!$B$135:$F$147,2,FALSE)="OK"</xm:f>
            <x14:dxf>
              <fill>
                <patternFill>
                  <bgColor rgb="FF66FF66"/>
                </patternFill>
              </fill>
            </x14:dxf>
          </x14:cfRule>
          <x14:cfRule type="expression" priority="1380" id="{00000000-000E-0000-0500-0000DB040000}">
            <xm:f>VLOOKUP(AN$10,'#8'!$B$135:$F$147,2,FALSE)="NOK"</xm:f>
            <x14:dxf>
              <fill>
                <patternFill>
                  <bgColor rgb="FFFF0000"/>
                </patternFill>
              </fill>
            </x14:dxf>
          </x14:cfRule>
          <xm:sqref>AN10:BG10 AN11:AY11</xm:sqref>
        </x14:conditionalFormatting>
        <x14:conditionalFormatting xmlns:xm="http://schemas.microsoft.com/office/excel/2006/main">
          <x14:cfRule type="expression" priority="106" id="{1CDD370C-78DD-4217-8D8A-E1DC3D87DA2A}">
            <xm:f>VLOOKUP(AN$11,'#10'!$B$35:$F$47,2,FALSE)="OK"</xm:f>
            <x14:dxf>
              <fill>
                <patternFill>
                  <bgColor rgb="FF66FF66"/>
                </patternFill>
              </fill>
            </x14:dxf>
          </x14:cfRule>
          <x14:cfRule type="expression" priority="107" id="{690416BD-52C0-426B-A19B-37CA241EF8C5}">
            <xm:f>VLOOKUP(AN$11,'#10'!$B$35:$F$47,2,FALSE)="NOK"</xm:f>
            <x14:dxf>
              <fill>
                <patternFill>
                  <bgColor rgb="FFFF0000"/>
                </patternFill>
              </fill>
            </x14:dxf>
          </x14:cfRule>
          <xm:sqref>AN12:BG12</xm:sqref>
        </x14:conditionalFormatting>
        <x14:conditionalFormatting xmlns:xm="http://schemas.microsoft.com/office/excel/2006/main">
          <x14:cfRule type="expression" priority="1381" id="{00000000-000E-0000-0500-000005000000}">
            <xm:f>VLOOKUP(AN$9,'#7'!$B$340:$F$358,2,FALSE)="OK"</xm:f>
            <x14:dxf>
              <fill>
                <patternFill>
                  <bgColor rgb="FF66FF66"/>
                </patternFill>
              </fill>
            </x14:dxf>
          </x14:cfRule>
          <x14:cfRule type="expression" priority="1382" id="{00000000-000E-0000-0500-000006000000}">
            <xm:f>VLOOKUP(AN$9,'#7'!$B$340:$F$358,2,FALSE)="NOK"</xm:f>
            <x14:dxf>
              <fill>
                <patternFill>
                  <bgColor rgb="FFFF0000"/>
                </patternFill>
              </fill>
            </x14:dxf>
          </x14:cfRule>
          <xm:sqref>AN9:EL9</xm:sqref>
        </x14:conditionalFormatting>
        <x14:conditionalFormatting xmlns:xm="http://schemas.microsoft.com/office/excel/2006/main">
          <x14:cfRule type="expression" priority="54" id="{3099B9E2-28FB-4680-9DCE-76151D3DE117}">
            <xm:f>VLOOKUP(BP$6,'#4'!$B$35:$F$47,2,FALSE)="OK"</xm:f>
            <x14:dxf>
              <fill>
                <patternFill>
                  <fgColor indexed="64"/>
                  <bgColor rgb="FF66FF66"/>
                </patternFill>
              </fill>
            </x14:dxf>
          </x14:cfRule>
          <xm:sqref>CB6</xm:sqref>
        </x14:conditionalFormatting>
        <x14:conditionalFormatting xmlns:xm="http://schemas.microsoft.com/office/excel/2006/main">
          <x14:cfRule type="expression" priority="53" id="{2B7B0A33-9BF8-44C7-8AB9-E774104D9C2E}">
            <xm:f>VLOOKUP(BP$6,'#4'!$B$35:$F$47,2,FALSE)="NOK"</xm:f>
            <x14:dxf>
              <fill>
                <patternFill>
                  <fgColor indexed="64"/>
                  <bgColor rgb="FFFF0000"/>
                </patternFill>
              </fill>
            </x14:dxf>
          </x14:cfRule>
          <xm:sqref>CB6</xm:sqref>
        </x14:conditionalFormatting>
        <x14:conditionalFormatting xmlns:xm="http://schemas.microsoft.com/office/excel/2006/main">
          <x14:cfRule type="expression" priority="52" id="{47214F8C-ED51-422C-B8AD-8A753F458DF9}">
            <xm:f>VLOOKUP($AN$7,'#5'!$B$48:$F$60,2,FALSE)="OK"</xm:f>
            <x14:dxf>
              <fill>
                <patternFill>
                  <fgColor indexed="64"/>
                  <bgColor rgb="FF66FF66"/>
                </patternFill>
              </fill>
            </x14:dxf>
          </x14:cfRule>
          <xm:sqref>CB7</xm:sqref>
        </x14:conditionalFormatting>
        <x14:conditionalFormatting xmlns:xm="http://schemas.microsoft.com/office/excel/2006/main">
          <x14:cfRule type="expression" priority="51" id="{85ADBF07-253D-43E6-8881-05037305D1D1}">
            <xm:f>VLOOKUP($AN$7,'#5'!$B$48:$F$60,2,FALSE)="NOK"</xm:f>
            <x14:dxf>
              <fill>
                <patternFill>
                  <fgColor indexed="64"/>
                  <bgColor rgb="FFFF0000"/>
                </patternFill>
              </fill>
            </x14:dxf>
          </x14:cfRule>
          <xm:sqref>CB7</xm:sqref>
        </x14:conditionalFormatting>
        <x14:conditionalFormatting xmlns:xm="http://schemas.microsoft.com/office/excel/2006/main">
          <x14:cfRule type="expression" priority="49" id="{74B7CA11-976F-4F8D-B2D7-DBB643EAF026}">
            <xm:f>VLOOKUP($AN$8,'#6'!$B$20:$F$32,2,FALSE)="NOK"</xm:f>
            <x14:dxf>
              <fill>
                <patternFill>
                  <fgColor indexed="64"/>
                  <bgColor rgb="FFFF0000"/>
                </patternFill>
              </fill>
            </x14:dxf>
          </x14:cfRule>
          <x14:cfRule type="expression" priority="50" id="{42E79C23-1FAA-4C2D-AC40-4C40EB9F4AB7}">
            <xm:f>VLOOKUP($AN$8,'#6'!$B$20:$F$32,2,FALSE)="OK"</xm:f>
            <x14:dxf>
              <fill>
                <patternFill>
                  <fgColor indexed="64"/>
                  <bgColor rgb="FF66FF66"/>
                </patternFill>
              </fill>
            </x14:dxf>
          </x14:cfRule>
          <xm:sqref>CB8</xm:sqref>
        </x14:conditionalFormatting>
        <x14:conditionalFormatting xmlns:xm="http://schemas.microsoft.com/office/excel/2006/main">
          <x14:cfRule type="expression" priority="47" id="{F4836437-8FE2-4634-A2BB-DBEA71DB40BA}">
            <xm:f>VLOOKUP(CB$4,'#2'!$B$27:$F$39,2,FALSE)="OK"</xm:f>
            <x14:dxf>
              <fill>
                <patternFill>
                  <bgColor rgb="FF66FF66"/>
                </patternFill>
              </fill>
            </x14:dxf>
          </x14:cfRule>
          <x14:cfRule type="expression" priority="48" id="{1781FD4E-48AD-4275-9587-16D55BA499A0}">
            <xm:f>VLOOKUP(CB$4,'#2'!$B$27:$F$39,2,FALSE)="NOK"</xm:f>
            <x14:dxf>
              <fill>
                <patternFill>
                  <bgColor rgb="FFFF0000"/>
                </patternFill>
              </fill>
            </x14:dxf>
          </x14:cfRule>
          <xm:sqref>CB4</xm:sqref>
        </x14:conditionalFormatting>
        <x14:conditionalFormatting xmlns:xm="http://schemas.microsoft.com/office/excel/2006/main">
          <x14:cfRule type="expression" priority="45" id="{769D83BA-128F-4723-88B4-3FB3613576D1}">
            <xm:f>VLOOKUP(CB$5,'#3'!$B$214:$F$226,2,FALSE)="OK"</xm:f>
            <x14:dxf>
              <fill>
                <patternFill>
                  <bgColor rgb="FF66FF66"/>
                </patternFill>
              </fill>
            </x14:dxf>
          </x14:cfRule>
          <x14:cfRule type="expression" priority="46" id="{8FC64CDF-7C95-4148-9CCD-4C9C7078E4B4}">
            <xm:f>VLOOKUP(CB$5,'#3'!$B$214:$F$226,2,FALSE)="NOK"</xm:f>
            <x14:dxf>
              <fill>
                <patternFill>
                  <bgColor rgb="FFFF0000"/>
                </patternFill>
              </fill>
            </x14:dxf>
          </x14:cfRule>
          <xm:sqref>CB5</xm:sqref>
        </x14:conditionalFormatting>
        <x14:conditionalFormatting xmlns:xm="http://schemas.microsoft.com/office/excel/2006/main">
          <x14:cfRule type="expression" priority="79" id="{26CC35E8-CCBF-40CA-BD4D-AB78C4CF2677}">
            <xm:f>VLOOKUP(CB$10,'#8'!$B$135:$F$147,2,FALSE)="OK"</xm:f>
            <x14:dxf>
              <fill>
                <patternFill>
                  <bgColor rgb="FF66FF66"/>
                </patternFill>
              </fill>
            </x14:dxf>
          </x14:cfRule>
          <x14:cfRule type="expression" priority="80" id="{0F3619DC-0396-431E-9D45-42A101618FD3}">
            <xm:f>VLOOKUP(CB$10,'#8'!$B$135:$F$147,2,FALSE)="NOK"</xm:f>
            <x14:dxf>
              <fill>
                <patternFill>
                  <bgColor rgb="FFFF0000"/>
                </patternFill>
              </fill>
            </x14:dxf>
          </x14:cfRule>
          <xm:sqref>CB10</xm:sqref>
        </x14:conditionalFormatting>
        <x14:conditionalFormatting xmlns:xm="http://schemas.microsoft.com/office/excel/2006/main">
          <x14:cfRule type="expression" priority="37" id="{CCE36C27-80EB-4178-81F6-E86026EA2CBC}">
            <xm:f>VLOOKUP(CB$11,'#10'!$B$35:$F$47,2,FALSE)="OK"</xm:f>
            <x14:dxf>
              <fill>
                <patternFill>
                  <bgColor rgb="FF66FF66"/>
                </patternFill>
              </fill>
            </x14:dxf>
          </x14:cfRule>
          <x14:cfRule type="expression" priority="38" id="{D8796011-483D-44FA-8C42-C5735F3E290C}">
            <xm:f>VLOOKUP(CB$11,'#10'!$B$35:$F$47,2,FALSE)="NOK"</xm:f>
            <x14:dxf>
              <fill>
                <patternFill>
                  <bgColor rgb="FFFF0000"/>
                </patternFill>
              </fill>
            </x14:dxf>
          </x14:cfRule>
          <xm:sqref>CB12</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
    <tabColor rgb="FF92D050"/>
  </sheetPr>
  <dimension ref="A1:Q84"/>
  <sheetViews>
    <sheetView showGridLines="0" topLeftCell="N1" zoomScale="85" zoomScaleNormal="85" workbookViewId="0">
      <selection activeCell="D35" sqref="D35"/>
    </sheetView>
  </sheetViews>
  <sheetFormatPr baseColWidth="10" defaultColWidth="9.1796875" defaultRowHeight="14.5" x14ac:dyDescent="0.35"/>
  <cols>
    <col min="1" max="1" width="4.1796875" customWidth="1"/>
    <col min="3" max="3" width="18.81640625" bestFit="1" customWidth="1"/>
    <col min="4" max="4" width="78.81640625" customWidth="1"/>
    <col min="16" max="16" width="23" customWidth="1"/>
  </cols>
  <sheetData>
    <row r="1" spans="1:16" x14ac:dyDescent="0.35">
      <c r="A1" s="1"/>
      <c r="P1" s="2"/>
    </row>
    <row r="2" spans="1:16" ht="28.5" x14ac:dyDescent="0.65">
      <c r="A2" s="4" t="s">
        <v>504</v>
      </c>
      <c r="B2" s="11" t="s">
        <v>505</v>
      </c>
      <c r="P2" s="2"/>
    </row>
    <row r="3" spans="1:16" ht="18.5" x14ac:dyDescent="0.45">
      <c r="A3" s="1"/>
      <c r="B3" s="10" t="s">
        <v>506</v>
      </c>
      <c r="P3" s="2"/>
    </row>
    <row r="4" spans="1:16" x14ac:dyDescent="0.35">
      <c r="A4" s="1"/>
      <c r="P4" s="2"/>
    </row>
    <row r="5" spans="1:16" ht="28.5" x14ac:dyDescent="0.65">
      <c r="A5" s="3" t="s">
        <v>507</v>
      </c>
      <c r="B5" s="11" t="s">
        <v>508</v>
      </c>
      <c r="P5" s="2"/>
    </row>
    <row r="6" spans="1:16" ht="18.5" x14ac:dyDescent="0.45">
      <c r="A6" s="1"/>
      <c r="B6" s="10" t="s">
        <v>509</v>
      </c>
      <c r="P6" s="2"/>
    </row>
    <row r="7" spans="1:16" x14ac:dyDescent="0.35">
      <c r="A7" s="1"/>
      <c r="P7" s="2"/>
    </row>
    <row r="8" spans="1:16" ht="29" thickBot="1" x14ac:dyDescent="0.7">
      <c r="A8" s="3" t="s">
        <v>510</v>
      </c>
      <c r="B8" s="11" t="s">
        <v>511</v>
      </c>
      <c r="L8" s="13"/>
      <c r="M8" s="13"/>
      <c r="P8" s="2"/>
    </row>
    <row r="9" spans="1:16" ht="15" thickBot="1" x14ac:dyDescent="0.4">
      <c r="A9" s="1"/>
      <c r="B9" s="17" t="s">
        <v>512</v>
      </c>
      <c r="C9" s="18" t="s">
        <v>513</v>
      </c>
      <c r="D9" s="19" t="s">
        <v>514</v>
      </c>
      <c r="P9" s="2"/>
    </row>
    <row r="10" spans="1:16" ht="18.5" x14ac:dyDescent="0.45">
      <c r="B10" s="385" t="s">
        <v>441</v>
      </c>
      <c r="C10" s="285" t="s">
        <v>515</v>
      </c>
      <c r="D10" s="16"/>
      <c r="P10" s="2"/>
    </row>
    <row r="11" spans="1:16" ht="18.5" x14ac:dyDescent="0.45">
      <c r="B11" s="386"/>
      <c r="C11" s="286" t="s">
        <v>516</v>
      </c>
      <c r="D11" s="14"/>
      <c r="P11" s="2"/>
    </row>
    <row r="12" spans="1:16" ht="19" thickBot="1" x14ac:dyDescent="0.5">
      <c r="B12" s="387"/>
      <c r="C12" s="287" t="s">
        <v>517</v>
      </c>
      <c r="D12" s="15"/>
      <c r="P12" s="2"/>
    </row>
    <row r="13" spans="1:16" ht="18.5" x14ac:dyDescent="0.45">
      <c r="B13" s="388" t="s">
        <v>518</v>
      </c>
      <c r="C13" s="288" t="s">
        <v>519</v>
      </c>
      <c r="D13" s="20"/>
      <c r="P13" s="2"/>
    </row>
    <row r="14" spans="1:16" ht="19" thickBot="1" x14ac:dyDescent="0.5">
      <c r="B14" s="389"/>
      <c r="C14" s="287" t="s">
        <v>520</v>
      </c>
      <c r="D14" s="15"/>
      <c r="P14" s="2"/>
    </row>
    <row r="15" spans="1:16" ht="19" thickBot="1" x14ac:dyDescent="0.5">
      <c r="B15" s="289" t="s">
        <v>521</v>
      </c>
      <c r="C15" s="290" t="s">
        <v>515</v>
      </c>
      <c r="D15" s="21"/>
      <c r="P15" s="2"/>
    </row>
    <row r="16" spans="1:16" ht="19" thickBot="1" x14ac:dyDescent="0.5">
      <c r="B16" s="289" t="s">
        <v>522</v>
      </c>
      <c r="C16" s="290" t="s">
        <v>515</v>
      </c>
      <c r="D16" s="21"/>
      <c r="P16" s="2"/>
    </row>
    <row r="17" spans="1:16" ht="19" thickBot="1" x14ac:dyDescent="0.5">
      <c r="B17" s="289" t="s">
        <v>523</v>
      </c>
      <c r="C17" s="290"/>
      <c r="D17" s="21"/>
      <c r="P17" s="2"/>
    </row>
    <row r="18" spans="1:16" x14ac:dyDescent="0.35">
      <c r="B18" s="9"/>
      <c r="P18" s="2"/>
    </row>
    <row r="19" spans="1:16" ht="28.5" x14ac:dyDescent="0.65">
      <c r="A19" s="3" t="s">
        <v>524</v>
      </c>
      <c r="B19" s="11" t="s">
        <v>525</v>
      </c>
      <c r="P19" s="2"/>
    </row>
    <row r="20" spans="1:16" ht="18.5" x14ac:dyDescent="0.45">
      <c r="A20" s="1"/>
      <c r="B20" s="10" t="s">
        <v>526</v>
      </c>
      <c r="P20" s="2"/>
    </row>
    <row r="21" spans="1:16" x14ac:dyDescent="0.35">
      <c r="A21" s="1"/>
      <c r="P21" s="2"/>
    </row>
    <row r="22" spans="1:16" ht="18.5" x14ac:dyDescent="0.45">
      <c r="A22" s="1"/>
      <c r="D22" s="10"/>
      <c r="P22" s="2"/>
    </row>
    <row r="23" spans="1:16" x14ac:dyDescent="0.35">
      <c r="A23" s="1"/>
      <c r="P23" s="2"/>
    </row>
    <row r="24" spans="1:16" x14ac:dyDescent="0.35">
      <c r="A24" s="1"/>
      <c r="P24" s="2"/>
    </row>
    <row r="25" spans="1:16" x14ac:dyDescent="0.35">
      <c r="A25" s="1"/>
      <c r="P25" s="2"/>
    </row>
    <row r="26" spans="1:16" x14ac:dyDescent="0.35">
      <c r="A26" s="1"/>
      <c r="P26" s="2"/>
    </row>
    <row r="27" spans="1:16" x14ac:dyDescent="0.35">
      <c r="A27" s="1"/>
      <c r="P27" s="2"/>
    </row>
    <row r="28" spans="1:16" x14ac:dyDescent="0.35">
      <c r="A28" s="1"/>
      <c r="P28" s="2"/>
    </row>
    <row r="29" spans="1:16" x14ac:dyDescent="0.35">
      <c r="A29" s="1"/>
      <c r="P29" s="2"/>
    </row>
    <row r="30" spans="1:16" x14ac:dyDescent="0.35">
      <c r="A30" s="1"/>
      <c r="P30" s="2"/>
    </row>
    <row r="31" spans="1:16" x14ac:dyDescent="0.35">
      <c r="A31" s="1"/>
      <c r="P31" s="2"/>
    </row>
    <row r="32" spans="1:16" x14ac:dyDescent="0.35">
      <c r="A32" s="1"/>
      <c r="P32" s="2"/>
    </row>
    <row r="33" spans="1:17" x14ac:dyDescent="0.35">
      <c r="A33" s="1"/>
      <c r="P33" s="2"/>
    </row>
    <row r="34" spans="1:17" x14ac:dyDescent="0.35">
      <c r="A34" s="1"/>
      <c r="P34" s="2"/>
    </row>
    <row r="35" spans="1:17" x14ac:dyDescent="0.35">
      <c r="A35" s="1"/>
      <c r="P35" s="2"/>
    </row>
    <row r="36" spans="1:17" x14ac:dyDescent="0.35">
      <c r="A36" s="1"/>
      <c r="P36" s="2"/>
    </row>
    <row r="37" spans="1:17" x14ac:dyDescent="0.35">
      <c r="A37" s="1"/>
      <c r="P37" s="2"/>
    </row>
    <row r="38" spans="1:17" x14ac:dyDescent="0.35">
      <c r="A38" s="1"/>
      <c r="P38" s="2"/>
    </row>
    <row r="39" spans="1:17" x14ac:dyDescent="0.35">
      <c r="A39" s="1"/>
      <c r="P39" s="2"/>
    </row>
    <row r="40" spans="1:17" x14ac:dyDescent="0.35">
      <c r="A40" s="1"/>
      <c r="P40" s="2"/>
    </row>
    <row r="41" spans="1:17" x14ac:dyDescent="0.35">
      <c r="A41" s="1"/>
      <c r="P41" s="2"/>
    </row>
    <row r="42" spans="1:17" ht="18.5" x14ac:dyDescent="0.45">
      <c r="A42" s="1"/>
      <c r="B42" s="10" t="s">
        <v>527</v>
      </c>
      <c r="P42" s="2"/>
    </row>
    <row r="43" spans="1:17" x14ac:dyDescent="0.35">
      <c r="A43" s="1"/>
      <c r="P43" s="2"/>
    </row>
    <row r="44" spans="1:17" x14ac:dyDescent="0.35">
      <c r="A44" s="1"/>
      <c r="P44" s="2"/>
    </row>
    <row r="45" spans="1:17" x14ac:dyDescent="0.35">
      <c r="A45" s="1"/>
      <c r="P45" s="2"/>
    </row>
    <row r="46" spans="1:17" x14ac:dyDescent="0.35">
      <c r="A46" s="1"/>
      <c r="P46" s="2"/>
    </row>
    <row r="47" spans="1:17" x14ac:dyDescent="0.35">
      <c r="A47" s="1"/>
      <c r="P47" s="2"/>
    </row>
    <row r="48" spans="1:17" x14ac:dyDescent="0.35">
      <c r="Q48" s="1"/>
    </row>
    <row r="49" spans="17:17" x14ac:dyDescent="0.35">
      <c r="Q49" s="1"/>
    </row>
    <row r="50" spans="17:17" x14ac:dyDescent="0.35">
      <c r="Q50" s="1"/>
    </row>
    <row r="51" spans="17:17" x14ac:dyDescent="0.35">
      <c r="Q51" s="1"/>
    </row>
    <row r="52" spans="17:17" x14ac:dyDescent="0.35">
      <c r="Q52" s="1"/>
    </row>
    <row r="53" spans="17:17" x14ac:dyDescent="0.35">
      <c r="Q53" s="1"/>
    </row>
    <row r="54" spans="17:17" x14ac:dyDescent="0.35">
      <c r="Q54" s="1"/>
    </row>
    <row r="55" spans="17:17" x14ac:dyDescent="0.35">
      <c r="Q55" s="1"/>
    </row>
    <row r="56" spans="17:17" x14ac:dyDescent="0.35">
      <c r="Q56" s="1"/>
    </row>
    <row r="57" spans="17:17" x14ac:dyDescent="0.35">
      <c r="Q57" s="1"/>
    </row>
    <row r="58" spans="17:17" x14ac:dyDescent="0.35">
      <c r="Q58" s="1"/>
    </row>
    <row r="59" spans="17:17" x14ac:dyDescent="0.35">
      <c r="Q59" s="1"/>
    </row>
    <row r="60" spans="17:17" x14ac:dyDescent="0.35">
      <c r="Q60" s="1"/>
    </row>
    <row r="61" spans="17:17" x14ac:dyDescent="0.35">
      <c r="Q61" s="1"/>
    </row>
    <row r="62" spans="17:17" x14ac:dyDescent="0.35">
      <c r="Q62" s="1"/>
    </row>
    <row r="63" spans="17:17" x14ac:dyDescent="0.35">
      <c r="Q63" s="1"/>
    </row>
    <row r="64" spans="17:17" x14ac:dyDescent="0.35">
      <c r="Q64" s="1"/>
    </row>
    <row r="65" spans="1:17" x14ac:dyDescent="0.35">
      <c r="Q65" s="1"/>
    </row>
    <row r="66" spans="1:17" x14ac:dyDescent="0.35">
      <c r="Q66" s="1"/>
    </row>
    <row r="67" spans="1:17" x14ac:dyDescent="0.35">
      <c r="Q67" s="1"/>
    </row>
    <row r="68" spans="1:17" x14ac:dyDescent="0.35">
      <c r="Q68" s="1"/>
    </row>
    <row r="69" spans="1:17" x14ac:dyDescent="0.35">
      <c r="Q69" s="1"/>
    </row>
    <row r="70" spans="1:17" x14ac:dyDescent="0.35">
      <c r="Q70" s="1"/>
    </row>
    <row r="71" spans="1:17" x14ac:dyDescent="0.35">
      <c r="Q71" s="1"/>
    </row>
    <row r="72" spans="1:17" x14ac:dyDescent="0.35">
      <c r="Q72" s="1"/>
    </row>
    <row r="73" spans="1:17" x14ac:dyDescent="0.35">
      <c r="Q73" s="1"/>
    </row>
    <row r="74" spans="1:17" ht="28.5" x14ac:dyDescent="0.65">
      <c r="A74" s="11" t="s">
        <v>528</v>
      </c>
      <c r="B74" s="11" t="s">
        <v>529</v>
      </c>
      <c r="Q74" s="1"/>
    </row>
    <row r="75" spans="1:17" x14ac:dyDescent="0.35">
      <c r="Q75" s="1"/>
    </row>
    <row r="76" spans="1:17" ht="18.5" x14ac:dyDescent="0.45">
      <c r="B76" s="10" t="s">
        <v>530</v>
      </c>
      <c r="Q76" s="1"/>
    </row>
    <row r="77" spans="1:17" x14ac:dyDescent="0.35">
      <c r="Q77" s="1"/>
    </row>
    <row r="78" spans="1:17" ht="18.5" x14ac:dyDescent="0.45">
      <c r="B78" s="10" t="s">
        <v>531</v>
      </c>
      <c r="Q78" s="1"/>
    </row>
    <row r="79" spans="1:17" x14ac:dyDescent="0.35">
      <c r="Q79" s="1"/>
    </row>
    <row r="80" spans="1:17" ht="18.5" x14ac:dyDescent="0.45">
      <c r="A80" s="10"/>
      <c r="B80" s="10" t="s">
        <v>532</v>
      </c>
      <c r="Q80" s="1"/>
    </row>
    <row r="81" spans="1:17" x14ac:dyDescent="0.35">
      <c r="Q81" s="1"/>
    </row>
    <row r="82" spans="1:17" ht="18.5" x14ac:dyDescent="0.45">
      <c r="B82" s="10" t="s">
        <v>533</v>
      </c>
      <c r="Q82" s="1"/>
    </row>
    <row r="83" spans="1:17" x14ac:dyDescent="0.35">
      <c r="P83" s="2"/>
      <c r="Q83" s="1"/>
    </row>
    <row r="84" spans="1:17" x14ac:dyDescent="0.35">
      <c r="A84" s="7"/>
      <c r="B84" s="7"/>
      <c r="C84" s="7"/>
      <c r="D84" s="7"/>
      <c r="E84" s="7"/>
      <c r="F84" s="7"/>
      <c r="G84" s="7"/>
      <c r="H84" s="7"/>
      <c r="I84" s="7"/>
      <c r="J84" s="7"/>
      <c r="K84" s="7"/>
      <c r="L84" s="7"/>
      <c r="M84" s="7"/>
      <c r="N84" s="7"/>
      <c r="O84" s="7"/>
      <c r="P84" s="8"/>
      <c r="Q84" s="1"/>
    </row>
  </sheetData>
  <mergeCells count="2">
    <mergeCell ref="B10:B12"/>
    <mergeCell ref="B13:B14"/>
  </mergeCells>
  <pageMargins left="0.7" right="0.7" top="0.75" bottom="0.75" header="0.3" footer="0.3"/>
  <pageSetup paperSize="9" orientation="portrait" verticalDpi="598" r:id="rId1"/>
  <headerFooter>
    <oddFooter>&amp;R&amp;1#&amp;"Arial"&amp;10&amp;K000000Confidential C</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Index">
                <anchor moveWithCells="1" sizeWithCells="1">
                  <from>
                    <xdr:col>13</xdr:col>
                    <xdr:colOff>571500</xdr:colOff>
                    <xdr:row>0</xdr:row>
                    <xdr:rowOff>184150</xdr:rowOff>
                  </from>
                  <to>
                    <xdr:col>15</xdr:col>
                    <xdr:colOff>381000</xdr:colOff>
                    <xdr:row>1</xdr:row>
                    <xdr:rowOff>298450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997A-D3A0-4E48-8EAE-ABFAF2C63D8A}">
  <sheetPr codeName="Feuil18"/>
  <dimension ref="A1:T107"/>
  <sheetViews>
    <sheetView topLeftCell="A25" zoomScale="93" zoomScaleNormal="93" zoomScaleSheetLayoutView="80" workbookViewId="0">
      <selection activeCell="F12" sqref="F12"/>
    </sheetView>
  </sheetViews>
  <sheetFormatPr baseColWidth="10" defaultColWidth="9.1796875" defaultRowHeight="14.5" x14ac:dyDescent="0.35"/>
  <cols>
    <col min="1" max="1" width="6.81640625" style="121" customWidth="1"/>
    <col min="2" max="2" width="18.26953125" style="122" customWidth="1"/>
    <col min="3" max="3" width="63.7265625" style="84" customWidth="1"/>
    <col min="4" max="4" width="70.26953125" style="84" customWidth="1"/>
    <col min="5" max="5" width="68.26953125" style="123" customWidth="1"/>
    <col min="6" max="6" width="50.1796875" style="84" customWidth="1"/>
    <col min="7" max="7" width="3.54296875" style="84" customWidth="1"/>
    <col min="8" max="16384" width="9.1796875" style="84"/>
  </cols>
  <sheetData>
    <row r="1" spans="1:20" ht="15" thickBot="1" x14ac:dyDescent="0.4">
      <c r="A1" s="82"/>
      <c r="B1" s="394" t="s">
        <v>534</v>
      </c>
      <c r="C1" s="395"/>
      <c r="D1" s="395"/>
      <c r="E1" s="395"/>
      <c r="F1" s="396"/>
      <c r="G1" s="83"/>
      <c r="H1" s="394" t="s">
        <v>535</v>
      </c>
      <c r="I1" s="395"/>
      <c r="J1" s="395"/>
      <c r="K1" s="395"/>
      <c r="L1" s="395"/>
      <c r="M1" s="395"/>
      <c r="N1" s="395"/>
      <c r="O1" s="395"/>
      <c r="P1" s="395"/>
      <c r="Q1" s="395"/>
      <c r="R1" s="395"/>
      <c r="S1" s="396"/>
      <c r="T1" s="83"/>
    </row>
    <row r="2" spans="1:20" ht="24" customHeight="1" thickBot="1" x14ac:dyDescent="0.4">
      <c r="A2" s="82"/>
      <c r="B2" s="85" t="s">
        <v>536</v>
      </c>
      <c r="C2" s="402"/>
      <c r="D2" s="402"/>
      <c r="E2" s="402"/>
      <c r="F2" s="403"/>
      <c r="G2" s="83"/>
      <c r="H2" s="404" t="s">
        <v>537</v>
      </c>
      <c r="I2" s="405"/>
      <c r="J2" s="405"/>
      <c r="K2" s="405"/>
      <c r="L2" s="405"/>
      <c r="M2" s="405"/>
      <c r="N2" s="405"/>
      <c r="O2" s="405"/>
      <c r="P2" s="405"/>
      <c r="Q2" s="405"/>
      <c r="R2" s="405"/>
      <c r="S2" s="406"/>
      <c r="T2" s="83"/>
    </row>
    <row r="3" spans="1:20" ht="15" thickBot="1" x14ac:dyDescent="0.4">
      <c r="A3" s="82"/>
      <c r="B3" s="83"/>
      <c r="C3" s="83"/>
      <c r="D3" s="83"/>
      <c r="E3" s="86"/>
      <c r="F3" s="83"/>
      <c r="G3" s="83"/>
      <c r="H3" s="407"/>
      <c r="I3" s="408"/>
      <c r="J3" s="408"/>
      <c r="K3" s="408"/>
      <c r="L3" s="408"/>
      <c r="M3" s="408"/>
      <c r="N3" s="408"/>
      <c r="O3" s="408"/>
      <c r="P3" s="408"/>
      <c r="Q3" s="408"/>
      <c r="R3" s="408"/>
      <c r="S3" s="409"/>
      <c r="T3" s="83"/>
    </row>
    <row r="4" spans="1:20" x14ac:dyDescent="0.35">
      <c r="A4" s="87"/>
      <c r="B4" s="404" t="s">
        <v>538</v>
      </c>
      <c r="C4" s="405"/>
      <c r="D4" s="405"/>
      <c r="E4" s="405"/>
      <c r="F4" s="406"/>
      <c r="G4" s="88"/>
      <c r="H4" s="410"/>
      <c r="I4" s="411"/>
      <c r="J4" s="411"/>
      <c r="K4" s="411"/>
      <c r="L4" s="411"/>
      <c r="M4" s="411"/>
      <c r="N4" s="411"/>
      <c r="O4" s="411"/>
      <c r="P4" s="411"/>
      <c r="Q4" s="411"/>
      <c r="R4" s="411"/>
      <c r="S4" s="412"/>
      <c r="T4" s="83"/>
    </row>
    <row r="5" spans="1:20" ht="18" customHeight="1" x14ac:dyDescent="0.35">
      <c r="A5" s="87"/>
      <c r="B5" s="89" t="s">
        <v>539</v>
      </c>
      <c r="C5" s="90" t="s">
        <v>540</v>
      </c>
      <c r="D5" s="90" t="s">
        <v>541</v>
      </c>
      <c r="E5" s="90" t="s">
        <v>542</v>
      </c>
      <c r="F5" s="91" t="s">
        <v>57</v>
      </c>
      <c r="G5" s="83"/>
      <c r="H5" s="410"/>
      <c r="I5" s="411"/>
      <c r="J5" s="411"/>
      <c r="K5" s="411"/>
      <c r="L5" s="411"/>
      <c r="M5" s="411"/>
      <c r="N5" s="411"/>
      <c r="O5" s="411"/>
      <c r="P5" s="411"/>
      <c r="Q5" s="411"/>
      <c r="R5" s="411"/>
      <c r="S5" s="412"/>
      <c r="T5" s="83"/>
    </row>
    <row r="6" spans="1:20" s="94" customFormat="1" ht="15.5" x14ac:dyDescent="0.35">
      <c r="A6" s="87"/>
      <c r="B6" s="92" t="s">
        <v>543</v>
      </c>
      <c r="C6" s="413" t="s">
        <v>544</v>
      </c>
      <c r="D6" s="414"/>
      <c r="E6" s="414"/>
      <c r="F6" s="415"/>
      <c r="G6" s="93"/>
      <c r="H6" s="410"/>
      <c r="I6" s="411"/>
      <c r="J6" s="411"/>
      <c r="K6" s="411"/>
      <c r="L6" s="411"/>
      <c r="M6" s="411"/>
      <c r="N6" s="411"/>
      <c r="O6" s="411"/>
      <c r="P6" s="411"/>
      <c r="Q6" s="411"/>
      <c r="R6" s="411"/>
      <c r="S6" s="412"/>
      <c r="T6" s="93"/>
    </row>
    <row r="7" spans="1:20" x14ac:dyDescent="0.35">
      <c r="A7" s="87"/>
      <c r="B7" s="95" t="s">
        <v>545</v>
      </c>
      <c r="C7" s="416" t="s">
        <v>546</v>
      </c>
      <c r="D7" s="417"/>
      <c r="E7" s="417"/>
      <c r="F7" s="418"/>
      <c r="G7" s="83"/>
      <c r="H7" s="410"/>
      <c r="I7" s="411"/>
      <c r="J7" s="411"/>
      <c r="K7" s="411"/>
      <c r="L7" s="411"/>
      <c r="M7" s="411"/>
      <c r="N7" s="411"/>
      <c r="O7" s="411"/>
      <c r="P7" s="411"/>
      <c r="Q7" s="411"/>
      <c r="R7" s="411"/>
      <c r="S7" s="412"/>
      <c r="T7" s="83"/>
    </row>
    <row r="8" spans="1:20" ht="29" x14ac:dyDescent="0.35">
      <c r="A8" s="87"/>
      <c r="B8" s="96" t="s">
        <v>122</v>
      </c>
      <c r="C8" s="97" t="s">
        <v>547</v>
      </c>
      <c r="D8" s="98"/>
      <c r="E8" s="124" t="s">
        <v>548</v>
      </c>
      <c r="F8" s="100"/>
      <c r="G8" s="83"/>
      <c r="H8" s="410"/>
      <c r="I8" s="411"/>
      <c r="J8" s="411"/>
      <c r="K8" s="411"/>
      <c r="L8" s="411"/>
      <c r="M8" s="411"/>
      <c r="N8" s="411"/>
      <c r="O8" s="411"/>
      <c r="P8" s="411"/>
      <c r="Q8" s="411"/>
      <c r="R8" s="411"/>
      <c r="S8" s="412"/>
      <c r="T8" s="83"/>
    </row>
    <row r="9" spans="1:20" x14ac:dyDescent="0.35">
      <c r="A9" s="87"/>
      <c r="B9" s="101" t="s">
        <v>82</v>
      </c>
      <c r="C9" s="129" t="s">
        <v>549</v>
      </c>
      <c r="D9" s="102" t="s">
        <v>550</v>
      </c>
      <c r="E9" s="103"/>
      <c r="F9" s="104"/>
      <c r="G9" s="83"/>
      <c r="H9" s="410"/>
      <c r="I9" s="411"/>
      <c r="J9" s="411"/>
      <c r="K9" s="411"/>
      <c r="L9" s="411"/>
      <c r="M9" s="411"/>
      <c r="N9" s="411"/>
      <c r="O9" s="411"/>
      <c r="P9" s="411"/>
      <c r="Q9" s="411"/>
      <c r="R9" s="411"/>
      <c r="S9" s="412"/>
      <c r="T9" s="83"/>
    </row>
    <row r="10" spans="1:20" x14ac:dyDescent="0.35">
      <c r="A10" s="87"/>
      <c r="B10" s="101" t="s">
        <v>82</v>
      </c>
      <c r="C10" s="129" t="s">
        <v>549</v>
      </c>
      <c r="D10" s="102" t="s">
        <v>551</v>
      </c>
      <c r="E10" s="103"/>
      <c r="F10" s="104"/>
      <c r="G10" s="83"/>
      <c r="H10" s="410"/>
      <c r="I10" s="411"/>
      <c r="J10" s="411"/>
      <c r="K10" s="411"/>
      <c r="L10" s="411"/>
      <c r="M10" s="411"/>
      <c r="N10" s="411"/>
      <c r="O10" s="411"/>
      <c r="P10" s="411"/>
      <c r="Q10" s="411"/>
      <c r="R10" s="411"/>
      <c r="S10" s="412"/>
      <c r="T10" s="83"/>
    </row>
    <row r="11" spans="1:20" x14ac:dyDescent="0.35">
      <c r="A11" s="87"/>
      <c r="B11" s="96" t="s">
        <v>552</v>
      </c>
      <c r="C11" s="97" t="s">
        <v>553</v>
      </c>
      <c r="D11" s="98"/>
      <c r="E11" s="98"/>
      <c r="F11" s="100"/>
      <c r="G11" s="83"/>
      <c r="H11" s="410"/>
      <c r="I11" s="411"/>
      <c r="J11" s="411"/>
      <c r="K11" s="411"/>
      <c r="L11" s="411"/>
      <c r="M11" s="411"/>
      <c r="N11" s="411"/>
      <c r="O11" s="411"/>
      <c r="P11" s="411"/>
      <c r="Q11" s="411"/>
      <c r="R11" s="411"/>
      <c r="S11" s="412"/>
      <c r="T11" s="83"/>
    </row>
    <row r="12" spans="1:20" x14ac:dyDescent="0.35">
      <c r="A12" s="87"/>
      <c r="B12" s="101" t="s">
        <v>82</v>
      </c>
      <c r="C12" s="129" t="s">
        <v>549</v>
      </c>
      <c r="D12" s="102" t="s">
        <v>554</v>
      </c>
      <c r="E12" s="103" t="s">
        <v>555</v>
      </c>
      <c r="F12" s="104"/>
      <c r="G12" s="83"/>
      <c r="H12" s="410"/>
      <c r="I12" s="411"/>
      <c r="J12" s="411"/>
      <c r="K12" s="411"/>
      <c r="L12" s="411"/>
      <c r="M12" s="411"/>
      <c r="N12" s="411"/>
      <c r="O12" s="411"/>
      <c r="P12" s="411"/>
      <c r="Q12" s="411"/>
      <c r="R12" s="411"/>
      <c r="S12" s="412"/>
      <c r="T12" s="83"/>
    </row>
    <row r="13" spans="1:20" ht="29" x14ac:dyDescent="0.35">
      <c r="A13" s="87"/>
      <c r="B13" s="101" t="s">
        <v>82</v>
      </c>
      <c r="C13" s="129" t="s">
        <v>549</v>
      </c>
      <c r="D13" s="102" t="s">
        <v>556</v>
      </c>
      <c r="E13" s="103"/>
      <c r="F13" s="104"/>
      <c r="G13" s="83"/>
      <c r="H13" s="410"/>
      <c r="I13" s="411"/>
      <c r="J13" s="411"/>
      <c r="K13" s="411"/>
      <c r="L13" s="411"/>
      <c r="M13" s="411"/>
      <c r="N13" s="411"/>
      <c r="O13" s="411"/>
      <c r="P13" s="411"/>
      <c r="Q13" s="411"/>
      <c r="R13" s="411"/>
      <c r="S13" s="412"/>
      <c r="T13" s="83"/>
    </row>
    <row r="14" spans="1:20" x14ac:dyDescent="0.35">
      <c r="A14" s="87"/>
      <c r="B14" s="95" t="s">
        <v>545</v>
      </c>
      <c r="C14" s="416" t="s">
        <v>557</v>
      </c>
      <c r="D14" s="417"/>
      <c r="E14" s="417"/>
      <c r="F14" s="418"/>
      <c r="G14" s="83"/>
      <c r="H14" s="410"/>
      <c r="I14" s="411"/>
      <c r="J14" s="411"/>
      <c r="K14" s="411"/>
      <c r="L14" s="411"/>
      <c r="M14" s="411"/>
      <c r="N14" s="411"/>
      <c r="O14" s="411"/>
      <c r="P14" s="411"/>
      <c r="Q14" s="411"/>
      <c r="R14" s="411"/>
      <c r="S14" s="412"/>
      <c r="T14" s="83"/>
    </row>
    <row r="15" spans="1:20" ht="29" x14ac:dyDescent="0.35">
      <c r="A15" s="87"/>
      <c r="B15" s="96" t="s">
        <v>424</v>
      </c>
      <c r="C15" s="97" t="s">
        <v>547</v>
      </c>
      <c r="D15" s="98"/>
      <c r="E15" s="124" t="s">
        <v>548</v>
      </c>
      <c r="F15" s="100"/>
      <c r="G15" s="83"/>
      <c r="H15" s="410"/>
      <c r="I15" s="411"/>
      <c r="J15" s="411"/>
      <c r="K15" s="411"/>
      <c r="L15" s="411"/>
      <c r="M15" s="411"/>
      <c r="N15" s="411"/>
      <c r="O15" s="411"/>
      <c r="P15" s="411"/>
      <c r="Q15" s="411"/>
      <c r="R15" s="411"/>
      <c r="S15" s="412"/>
      <c r="T15" s="83"/>
    </row>
    <row r="16" spans="1:20" x14ac:dyDescent="0.35">
      <c r="A16" s="87"/>
      <c r="B16" s="101" t="s">
        <v>82</v>
      </c>
      <c r="C16" s="129" t="s">
        <v>549</v>
      </c>
      <c r="D16" s="102" t="s">
        <v>558</v>
      </c>
      <c r="E16" s="103"/>
      <c r="F16" s="104"/>
      <c r="G16" s="83"/>
      <c r="H16" s="410"/>
      <c r="I16" s="411"/>
      <c r="J16" s="411"/>
      <c r="K16" s="411"/>
      <c r="L16" s="411"/>
      <c r="M16" s="411"/>
      <c r="N16" s="411"/>
      <c r="O16" s="411"/>
      <c r="P16" s="411"/>
      <c r="Q16" s="411"/>
      <c r="R16" s="411"/>
      <c r="S16" s="412"/>
      <c r="T16" s="83"/>
    </row>
    <row r="17" spans="1:20" x14ac:dyDescent="0.35">
      <c r="A17" s="87"/>
      <c r="B17" s="96" t="s">
        <v>559</v>
      </c>
      <c r="C17" s="97" t="s">
        <v>553</v>
      </c>
      <c r="D17" s="98"/>
      <c r="E17" s="98"/>
      <c r="F17" s="100"/>
      <c r="G17" s="83"/>
      <c r="H17" s="410"/>
      <c r="I17" s="411"/>
      <c r="J17" s="411"/>
      <c r="K17" s="411"/>
      <c r="L17" s="411"/>
      <c r="M17" s="411"/>
      <c r="N17" s="411"/>
      <c r="O17" s="411"/>
      <c r="P17" s="411"/>
      <c r="Q17" s="411"/>
      <c r="R17" s="411"/>
      <c r="S17" s="412"/>
      <c r="T17" s="83"/>
    </row>
    <row r="18" spans="1:20" x14ac:dyDescent="0.35">
      <c r="A18" s="87"/>
      <c r="B18" s="101" t="s">
        <v>82</v>
      </c>
      <c r="C18" s="129" t="s">
        <v>549</v>
      </c>
      <c r="D18" s="102" t="s">
        <v>554</v>
      </c>
      <c r="E18" s="103" t="s">
        <v>555</v>
      </c>
      <c r="F18" s="104"/>
      <c r="G18" s="83"/>
      <c r="H18" s="410"/>
      <c r="I18" s="411"/>
      <c r="J18" s="411"/>
      <c r="K18" s="411"/>
      <c r="L18" s="411"/>
      <c r="M18" s="411"/>
      <c r="N18" s="411"/>
      <c r="O18" s="411"/>
      <c r="P18" s="411"/>
      <c r="Q18" s="411"/>
      <c r="R18" s="411"/>
      <c r="S18" s="412"/>
      <c r="T18" s="83"/>
    </row>
    <row r="19" spans="1:20" ht="29" x14ac:dyDescent="0.35">
      <c r="A19" s="87"/>
      <c r="B19" s="101" t="s">
        <v>82</v>
      </c>
      <c r="C19" s="129" t="s">
        <v>549</v>
      </c>
      <c r="D19" s="102" t="s">
        <v>556</v>
      </c>
      <c r="E19" s="103"/>
      <c r="F19" s="104"/>
      <c r="G19" s="83"/>
      <c r="H19" s="410"/>
      <c r="I19" s="411"/>
      <c r="J19" s="411"/>
      <c r="K19" s="411"/>
      <c r="L19" s="411"/>
      <c r="M19" s="411"/>
      <c r="N19" s="411"/>
      <c r="O19" s="411"/>
      <c r="P19" s="411"/>
      <c r="Q19" s="411"/>
      <c r="R19" s="411"/>
      <c r="S19" s="412"/>
      <c r="T19" s="83"/>
    </row>
    <row r="20" spans="1:20" ht="15" customHeight="1" x14ac:dyDescent="0.35">
      <c r="A20" s="87"/>
      <c r="B20" s="95" t="s">
        <v>545</v>
      </c>
      <c r="C20" s="416" t="s">
        <v>546</v>
      </c>
      <c r="D20" s="417"/>
      <c r="E20" s="417"/>
      <c r="F20" s="418"/>
      <c r="G20" s="83"/>
      <c r="H20" s="410"/>
      <c r="I20" s="411"/>
      <c r="J20" s="411"/>
      <c r="K20" s="411"/>
      <c r="L20" s="411"/>
      <c r="M20" s="411"/>
      <c r="N20" s="411"/>
      <c r="O20" s="411"/>
      <c r="P20" s="411"/>
      <c r="Q20" s="411"/>
      <c r="R20" s="411"/>
      <c r="S20" s="412"/>
      <c r="T20" s="83"/>
    </row>
    <row r="21" spans="1:20" ht="15" customHeight="1" x14ac:dyDescent="0.35">
      <c r="A21" s="87"/>
      <c r="B21" s="96" t="s">
        <v>560</v>
      </c>
      <c r="C21" s="97" t="s">
        <v>561</v>
      </c>
      <c r="D21" s="98"/>
      <c r="E21" s="124"/>
      <c r="F21" s="100"/>
      <c r="G21" s="83"/>
      <c r="H21" s="410"/>
      <c r="I21" s="411"/>
      <c r="J21" s="411"/>
      <c r="K21" s="411"/>
      <c r="L21" s="411"/>
      <c r="M21" s="411"/>
      <c r="N21" s="411"/>
      <c r="O21" s="411"/>
      <c r="P21" s="411"/>
      <c r="Q21" s="411"/>
      <c r="R21" s="411"/>
      <c r="S21" s="412"/>
      <c r="T21" s="83"/>
    </row>
    <row r="22" spans="1:20" ht="29" x14ac:dyDescent="0.35">
      <c r="A22" s="87"/>
      <c r="B22" s="96" t="s">
        <v>562</v>
      </c>
      <c r="C22" s="97" t="s">
        <v>563</v>
      </c>
      <c r="D22" s="98"/>
      <c r="E22" s="124" t="s">
        <v>548</v>
      </c>
      <c r="F22" s="100"/>
      <c r="G22" s="83"/>
      <c r="H22" s="410"/>
      <c r="I22" s="411"/>
      <c r="J22" s="411"/>
      <c r="K22" s="411"/>
      <c r="L22" s="411"/>
      <c r="M22" s="411"/>
      <c r="N22" s="411"/>
      <c r="O22" s="411"/>
      <c r="P22" s="411"/>
      <c r="Q22" s="411"/>
      <c r="R22" s="411"/>
      <c r="S22" s="412"/>
      <c r="T22" s="83"/>
    </row>
    <row r="23" spans="1:20" x14ac:dyDescent="0.35">
      <c r="A23" s="87"/>
      <c r="B23" s="101" t="s">
        <v>82</v>
      </c>
      <c r="C23" s="129" t="s">
        <v>549</v>
      </c>
      <c r="D23" s="102" t="s">
        <v>558</v>
      </c>
      <c r="E23" s="103"/>
      <c r="F23" s="104"/>
      <c r="G23" s="83"/>
      <c r="H23" s="410"/>
      <c r="I23" s="411"/>
      <c r="J23" s="411"/>
      <c r="K23" s="411"/>
      <c r="L23" s="411"/>
      <c r="M23" s="411"/>
      <c r="N23" s="411"/>
      <c r="O23" s="411"/>
      <c r="P23" s="411"/>
      <c r="Q23" s="411"/>
      <c r="R23" s="411"/>
      <c r="S23" s="412"/>
      <c r="T23" s="83"/>
    </row>
    <row r="24" spans="1:20" x14ac:dyDescent="0.35">
      <c r="A24" s="87"/>
      <c r="B24" s="96" t="s">
        <v>564</v>
      </c>
      <c r="C24" s="97" t="s">
        <v>553</v>
      </c>
      <c r="D24" s="98"/>
      <c r="E24" s="98"/>
      <c r="F24" s="100"/>
      <c r="G24" s="83"/>
      <c r="H24" s="410"/>
      <c r="I24" s="411"/>
      <c r="J24" s="411"/>
      <c r="K24" s="411"/>
      <c r="L24" s="411"/>
      <c r="M24" s="411"/>
      <c r="N24" s="411"/>
      <c r="O24" s="411"/>
      <c r="P24" s="411"/>
      <c r="Q24" s="411"/>
      <c r="R24" s="411"/>
      <c r="S24" s="412"/>
      <c r="T24" s="83"/>
    </row>
    <row r="25" spans="1:20" x14ac:dyDescent="0.35">
      <c r="A25" s="87"/>
      <c r="B25" s="101" t="s">
        <v>82</v>
      </c>
      <c r="C25" s="129" t="s">
        <v>549</v>
      </c>
      <c r="D25" s="102" t="s">
        <v>554</v>
      </c>
      <c r="E25" s="103" t="s">
        <v>555</v>
      </c>
      <c r="F25" s="104"/>
      <c r="G25" s="83"/>
      <c r="H25" s="410"/>
      <c r="I25" s="411"/>
      <c r="J25" s="411"/>
      <c r="K25" s="411"/>
      <c r="L25" s="411"/>
      <c r="M25" s="411"/>
      <c r="N25" s="411"/>
      <c r="O25" s="411"/>
      <c r="P25" s="411"/>
      <c r="Q25" s="411"/>
      <c r="R25" s="411"/>
      <c r="S25" s="412"/>
      <c r="T25" s="83"/>
    </row>
    <row r="26" spans="1:20" ht="29" x14ac:dyDescent="0.35">
      <c r="A26" s="87"/>
      <c r="B26" s="101" t="s">
        <v>82</v>
      </c>
      <c r="C26" s="129" t="s">
        <v>549</v>
      </c>
      <c r="D26" s="102" t="s">
        <v>556</v>
      </c>
      <c r="E26" s="103"/>
      <c r="F26" s="104"/>
      <c r="G26" s="83"/>
      <c r="H26" s="410"/>
      <c r="I26" s="411"/>
      <c r="J26" s="411"/>
      <c r="K26" s="411"/>
      <c r="L26" s="411"/>
      <c r="M26" s="411"/>
      <c r="N26" s="411"/>
      <c r="O26" s="411"/>
      <c r="P26" s="411"/>
      <c r="Q26" s="411"/>
      <c r="R26" s="411"/>
      <c r="S26" s="412"/>
      <c r="T26" s="83"/>
    </row>
    <row r="27" spans="1:20" s="94" customFormat="1" ht="15.5" x14ac:dyDescent="0.35">
      <c r="A27" s="87"/>
      <c r="B27" s="92" t="s">
        <v>565</v>
      </c>
      <c r="C27" s="413" t="s">
        <v>566</v>
      </c>
      <c r="D27" s="414"/>
      <c r="E27" s="414"/>
      <c r="F27" s="415"/>
      <c r="G27" s="93"/>
      <c r="H27" s="410"/>
      <c r="I27" s="411"/>
      <c r="J27" s="411"/>
      <c r="K27" s="411"/>
      <c r="L27" s="411"/>
      <c r="M27" s="411"/>
      <c r="N27" s="411"/>
      <c r="O27" s="411"/>
      <c r="P27" s="411"/>
      <c r="Q27" s="411"/>
      <c r="R27" s="411"/>
      <c r="S27" s="412"/>
      <c r="T27" s="93"/>
    </row>
    <row r="28" spans="1:20" x14ac:dyDescent="0.35">
      <c r="A28" s="87"/>
      <c r="B28" s="95" t="s">
        <v>545</v>
      </c>
      <c r="C28" s="416" t="s">
        <v>567</v>
      </c>
      <c r="D28" s="417"/>
      <c r="E28" s="417"/>
      <c r="F28" s="418"/>
      <c r="G28" s="83"/>
      <c r="H28" s="410"/>
      <c r="I28" s="411"/>
      <c r="J28" s="411"/>
      <c r="K28" s="411"/>
      <c r="L28" s="411"/>
      <c r="M28" s="411"/>
      <c r="N28" s="411"/>
      <c r="O28" s="411"/>
      <c r="P28" s="411"/>
      <c r="Q28" s="411"/>
      <c r="R28" s="411"/>
      <c r="S28" s="412"/>
      <c r="T28" s="83"/>
    </row>
    <row r="29" spans="1:20" ht="30.75" customHeight="1" x14ac:dyDescent="0.35">
      <c r="A29" s="87"/>
      <c r="B29" s="96" t="s">
        <v>568</v>
      </c>
      <c r="C29" s="97" t="s">
        <v>569</v>
      </c>
      <c r="D29" s="98"/>
      <c r="E29" s="124" t="s">
        <v>548</v>
      </c>
      <c r="F29" s="100"/>
      <c r="G29" s="83"/>
      <c r="H29" s="410"/>
      <c r="I29" s="411"/>
      <c r="J29" s="411"/>
      <c r="K29" s="411"/>
      <c r="L29" s="411"/>
      <c r="M29" s="411"/>
      <c r="N29" s="411"/>
      <c r="O29" s="411"/>
      <c r="P29" s="411"/>
      <c r="Q29" s="411"/>
      <c r="R29" s="411"/>
      <c r="S29" s="412"/>
      <c r="T29" s="83"/>
    </row>
    <row r="30" spans="1:20" x14ac:dyDescent="0.35">
      <c r="A30" s="87"/>
      <c r="B30" s="101" t="s">
        <v>82</v>
      </c>
      <c r="C30" s="129" t="s">
        <v>549</v>
      </c>
      <c r="D30" s="102" t="s">
        <v>554</v>
      </c>
      <c r="E30" s="103" t="s">
        <v>555</v>
      </c>
      <c r="F30" s="104"/>
      <c r="G30" s="83"/>
      <c r="H30" s="410"/>
      <c r="I30" s="411"/>
      <c r="J30" s="411"/>
      <c r="K30" s="411"/>
      <c r="L30" s="411"/>
      <c r="M30" s="411"/>
      <c r="N30" s="411"/>
      <c r="O30" s="411"/>
      <c r="P30" s="411"/>
      <c r="Q30" s="411"/>
      <c r="R30" s="411"/>
      <c r="S30" s="412"/>
      <c r="T30" s="83"/>
    </row>
    <row r="31" spans="1:20" ht="29" x14ac:dyDescent="0.35">
      <c r="A31" s="87"/>
      <c r="B31" s="101" t="s">
        <v>82</v>
      </c>
      <c r="C31" s="129" t="s">
        <v>549</v>
      </c>
      <c r="D31" s="102" t="s">
        <v>556</v>
      </c>
      <c r="E31" s="103"/>
      <c r="F31" s="104"/>
      <c r="G31" s="83"/>
      <c r="H31" s="410"/>
      <c r="I31" s="411"/>
      <c r="J31" s="411"/>
      <c r="K31" s="411"/>
      <c r="L31" s="411"/>
      <c r="M31" s="411"/>
      <c r="N31" s="411"/>
      <c r="O31" s="411"/>
      <c r="P31" s="411"/>
      <c r="Q31" s="411"/>
      <c r="R31" s="411"/>
      <c r="S31" s="412"/>
      <c r="T31" s="83"/>
    </row>
    <row r="32" spans="1:20" x14ac:dyDescent="0.35">
      <c r="A32" s="87"/>
      <c r="B32" s="95" t="s">
        <v>545</v>
      </c>
      <c r="C32" s="416" t="s">
        <v>570</v>
      </c>
      <c r="D32" s="417"/>
      <c r="E32" s="417"/>
      <c r="F32" s="418"/>
      <c r="G32" s="83"/>
      <c r="H32" s="410"/>
      <c r="I32" s="411"/>
      <c r="J32" s="411"/>
      <c r="K32" s="411"/>
      <c r="L32" s="411"/>
      <c r="M32" s="411"/>
      <c r="N32" s="411"/>
      <c r="O32" s="411"/>
      <c r="P32" s="411"/>
      <c r="Q32" s="411"/>
      <c r="R32" s="411"/>
      <c r="S32" s="412"/>
      <c r="T32" s="83"/>
    </row>
    <row r="33" spans="1:20" ht="29" x14ac:dyDescent="0.35">
      <c r="A33" s="87"/>
      <c r="B33" s="96" t="s">
        <v>571</v>
      </c>
      <c r="C33" s="97" t="s">
        <v>572</v>
      </c>
      <c r="D33" s="98"/>
      <c r="E33" s="124" t="s">
        <v>548</v>
      </c>
      <c r="F33" s="100"/>
      <c r="G33" s="83"/>
      <c r="H33" s="410"/>
      <c r="I33" s="411"/>
      <c r="J33" s="411"/>
      <c r="K33" s="411"/>
      <c r="L33" s="411"/>
      <c r="M33" s="411"/>
      <c r="N33" s="411"/>
      <c r="O33" s="411"/>
      <c r="P33" s="411"/>
      <c r="Q33" s="411"/>
      <c r="R33" s="411"/>
      <c r="S33" s="412"/>
      <c r="T33" s="83"/>
    </row>
    <row r="34" spans="1:20" x14ac:dyDescent="0.35">
      <c r="A34" s="87"/>
      <c r="B34" s="101" t="s">
        <v>82</v>
      </c>
      <c r="C34" s="129" t="s">
        <v>549</v>
      </c>
      <c r="D34" s="102" t="s">
        <v>554</v>
      </c>
      <c r="E34" s="103" t="s">
        <v>555</v>
      </c>
      <c r="F34" s="104"/>
      <c r="G34" s="83"/>
      <c r="H34" s="410"/>
      <c r="I34" s="411"/>
      <c r="J34" s="411"/>
      <c r="K34" s="411"/>
      <c r="L34" s="411"/>
      <c r="M34" s="411"/>
      <c r="N34" s="411"/>
      <c r="O34" s="411"/>
      <c r="P34" s="411"/>
      <c r="Q34" s="411"/>
      <c r="R34" s="411"/>
      <c r="S34" s="412"/>
      <c r="T34" s="83"/>
    </row>
    <row r="35" spans="1:20" ht="29" x14ac:dyDescent="0.35">
      <c r="A35" s="87"/>
      <c r="B35" s="101" t="s">
        <v>82</v>
      </c>
      <c r="C35" s="129" t="s">
        <v>549</v>
      </c>
      <c r="D35" s="102" t="s">
        <v>556</v>
      </c>
      <c r="E35" s="103"/>
      <c r="F35" s="104"/>
      <c r="G35" s="83"/>
      <c r="H35" s="410"/>
      <c r="I35" s="411"/>
      <c r="J35" s="411"/>
      <c r="K35" s="411"/>
      <c r="L35" s="411"/>
      <c r="M35" s="411"/>
      <c r="N35" s="411"/>
      <c r="O35" s="411"/>
      <c r="P35" s="411"/>
      <c r="Q35" s="411"/>
      <c r="R35" s="411"/>
      <c r="S35" s="412"/>
      <c r="T35" s="83"/>
    </row>
    <row r="36" spans="1:20" ht="15.5" x14ac:dyDescent="0.35">
      <c r="A36" s="87"/>
      <c r="B36" s="92" t="s">
        <v>573</v>
      </c>
      <c r="C36" s="413" t="s">
        <v>574</v>
      </c>
      <c r="D36" s="414"/>
      <c r="E36" s="414"/>
      <c r="F36" s="415"/>
      <c r="G36" s="83"/>
      <c r="H36" s="410"/>
      <c r="I36" s="411"/>
      <c r="J36" s="411"/>
      <c r="K36" s="411"/>
      <c r="L36" s="411"/>
      <c r="M36" s="411"/>
      <c r="N36" s="411"/>
      <c r="O36" s="411"/>
      <c r="P36" s="411"/>
      <c r="Q36" s="411"/>
      <c r="R36" s="411"/>
      <c r="S36" s="412"/>
      <c r="T36" s="83"/>
    </row>
    <row r="37" spans="1:20" ht="15" customHeight="1" x14ac:dyDescent="0.35">
      <c r="A37" s="87"/>
      <c r="B37" s="95" t="s">
        <v>545</v>
      </c>
      <c r="C37" s="416" t="s">
        <v>546</v>
      </c>
      <c r="D37" s="417"/>
      <c r="E37" s="417"/>
      <c r="F37" s="418"/>
      <c r="G37" s="83"/>
      <c r="H37" s="410"/>
      <c r="I37" s="411"/>
      <c r="J37" s="411"/>
      <c r="K37" s="411"/>
      <c r="L37" s="411"/>
      <c r="M37" s="411"/>
      <c r="N37" s="411"/>
      <c r="O37" s="411"/>
      <c r="P37" s="411"/>
      <c r="Q37" s="411"/>
      <c r="R37" s="411"/>
      <c r="S37" s="412"/>
      <c r="T37" s="83"/>
    </row>
    <row r="38" spans="1:20" ht="15" customHeight="1" x14ac:dyDescent="0.35">
      <c r="A38" s="87"/>
      <c r="B38" s="96" t="s">
        <v>575</v>
      </c>
      <c r="C38" s="97" t="s">
        <v>561</v>
      </c>
      <c r="D38" s="98"/>
      <c r="E38" s="124"/>
      <c r="F38" s="100"/>
      <c r="G38" s="83"/>
      <c r="H38" s="410"/>
      <c r="I38" s="411"/>
      <c r="J38" s="411"/>
      <c r="K38" s="411"/>
      <c r="L38" s="411"/>
      <c r="M38" s="411"/>
      <c r="N38" s="411"/>
      <c r="O38" s="411"/>
      <c r="P38" s="411"/>
      <c r="Q38" s="411"/>
      <c r="R38" s="411"/>
      <c r="S38" s="412"/>
      <c r="T38" s="83"/>
    </row>
    <row r="39" spans="1:20" ht="29" x14ac:dyDescent="0.35">
      <c r="A39" s="87"/>
      <c r="B39" s="96" t="s">
        <v>576</v>
      </c>
      <c r="C39" s="97" t="s">
        <v>563</v>
      </c>
      <c r="D39" s="98"/>
      <c r="E39" s="124" t="s">
        <v>548</v>
      </c>
      <c r="F39" s="100"/>
      <c r="G39" s="83"/>
      <c r="H39" s="410"/>
      <c r="I39" s="411"/>
      <c r="J39" s="411"/>
      <c r="K39" s="411"/>
      <c r="L39" s="411"/>
      <c r="M39" s="411"/>
      <c r="N39" s="411"/>
      <c r="O39" s="411"/>
      <c r="P39" s="411"/>
      <c r="Q39" s="411"/>
      <c r="R39" s="411"/>
      <c r="S39" s="412"/>
      <c r="T39" s="83"/>
    </row>
    <row r="40" spans="1:20" x14ac:dyDescent="0.35">
      <c r="A40" s="87"/>
      <c r="B40" s="101" t="s">
        <v>82</v>
      </c>
      <c r="C40" s="129" t="s">
        <v>549</v>
      </c>
      <c r="D40" s="102" t="s">
        <v>558</v>
      </c>
      <c r="E40" s="103"/>
      <c r="F40" s="104"/>
      <c r="G40" s="83"/>
      <c r="H40" s="410"/>
      <c r="I40" s="411"/>
      <c r="J40" s="411"/>
      <c r="K40" s="411"/>
      <c r="L40" s="411"/>
      <c r="M40" s="411"/>
      <c r="N40" s="411"/>
      <c r="O40" s="411"/>
      <c r="P40" s="411"/>
      <c r="Q40" s="411"/>
      <c r="R40" s="411"/>
      <c r="S40" s="412"/>
      <c r="T40" s="83"/>
    </row>
    <row r="41" spans="1:20" x14ac:dyDescent="0.35">
      <c r="A41" s="87"/>
      <c r="B41" s="96" t="s">
        <v>577</v>
      </c>
      <c r="C41" s="97" t="s">
        <v>578</v>
      </c>
      <c r="D41" s="98"/>
      <c r="E41" s="98"/>
      <c r="F41" s="100"/>
      <c r="G41" s="83"/>
      <c r="H41" s="410"/>
      <c r="I41" s="411"/>
      <c r="J41" s="411"/>
      <c r="K41" s="411"/>
      <c r="L41" s="411"/>
      <c r="M41" s="411"/>
      <c r="N41" s="411"/>
      <c r="O41" s="411"/>
      <c r="P41" s="411"/>
      <c r="Q41" s="411"/>
      <c r="R41" s="411"/>
      <c r="S41" s="412"/>
      <c r="T41" s="83"/>
    </row>
    <row r="42" spans="1:20" x14ac:dyDescent="0.35">
      <c r="A42" s="87"/>
      <c r="B42" s="101" t="s">
        <v>82</v>
      </c>
      <c r="C42" s="129" t="s">
        <v>549</v>
      </c>
      <c r="D42" s="102" t="s">
        <v>554</v>
      </c>
      <c r="E42" s="103" t="s">
        <v>555</v>
      </c>
      <c r="F42" s="104"/>
      <c r="G42" s="83"/>
      <c r="H42" s="410"/>
      <c r="I42" s="411"/>
      <c r="J42" s="411"/>
      <c r="K42" s="411"/>
      <c r="L42" s="411"/>
      <c r="M42" s="411"/>
      <c r="N42" s="411"/>
      <c r="O42" s="411"/>
      <c r="P42" s="411"/>
      <c r="Q42" s="411"/>
      <c r="R42" s="411"/>
      <c r="S42" s="412"/>
      <c r="T42" s="83"/>
    </row>
    <row r="43" spans="1:20" ht="29.5" thickBot="1" x14ac:dyDescent="0.4">
      <c r="A43" s="87"/>
      <c r="B43" s="106" t="s">
        <v>82</v>
      </c>
      <c r="C43" s="107" t="s">
        <v>549</v>
      </c>
      <c r="D43" s="108" t="s">
        <v>556</v>
      </c>
      <c r="E43" s="109"/>
      <c r="F43" s="110"/>
      <c r="G43" s="83"/>
      <c r="H43" s="410"/>
      <c r="I43" s="411"/>
      <c r="J43" s="411"/>
      <c r="K43" s="411"/>
      <c r="L43" s="411"/>
      <c r="M43" s="411"/>
      <c r="N43" s="411"/>
      <c r="O43" s="411"/>
      <c r="P43" s="411"/>
      <c r="Q43" s="411"/>
      <c r="R43" s="411"/>
      <c r="S43" s="412"/>
      <c r="T43" s="83"/>
    </row>
    <row r="44" spans="1:20" ht="15" thickBot="1" x14ac:dyDescent="0.4">
      <c r="A44" s="105"/>
      <c r="B44" s="83"/>
      <c r="C44" s="88"/>
      <c r="D44" s="88"/>
      <c r="E44" s="111"/>
      <c r="F44" s="88"/>
      <c r="G44" s="88"/>
      <c r="H44" s="88"/>
      <c r="I44" s="88"/>
      <c r="J44" s="88"/>
      <c r="K44" s="88"/>
      <c r="L44" s="88"/>
      <c r="M44" s="88"/>
      <c r="N44" s="88"/>
      <c r="O44" s="88"/>
      <c r="P44" s="88"/>
      <c r="Q44" s="88"/>
      <c r="R44" s="88"/>
      <c r="S44" s="88"/>
      <c r="T44" s="88"/>
    </row>
    <row r="45" spans="1:20" ht="15" thickBot="1" x14ac:dyDescent="0.4">
      <c r="A45" s="105"/>
      <c r="B45" s="404" t="s">
        <v>579</v>
      </c>
      <c r="C45" s="405"/>
      <c r="D45" s="405"/>
      <c r="E45" s="405"/>
      <c r="F45" s="406"/>
      <c r="G45" s="88"/>
      <c r="H45" s="88"/>
      <c r="I45" s="88"/>
      <c r="J45" s="88"/>
      <c r="K45" s="88"/>
      <c r="L45" s="88"/>
      <c r="M45" s="88"/>
      <c r="N45" s="88"/>
      <c r="O45" s="88"/>
      <c r="P45" s="88"/>
      <c r="Q45" s="88"/>
      <c r="R45" s="88"/>
      <c r="S45" s="88"/>
      <c r="T45" s="88"/>
    </row>
    <row r="46" spans="1:20" x14ac:dyDescent="0.35">
      <c r="A46" s="105"/>
      <c r="B46" s="239" t="s">
        <v>82</v>
      </c>
      <c r="C46" s="419" t="str">
        <f>IF(AND(D66=0,D67=0,D68=0),"NA",IF(AND(D66&gt;0,D67=0),"NR",IF(D67&gt;0,"NOK","OK")))</f>
        <v>NR</v>
      </c>
      <c r="D46" s="419"/>
      <c r="E46" s="419"/>
      <c r="F46" s="420"/>
      <c r="G46" s="88"/>
      <c r="H46" s="88"/>
      <c r="I46" s="88"/>
      <c r="J46" s="88"/>
      <c r="K46" s="88"/>
      <c r="L46" s="88"/>
      <c r="M46" s="88"/>
      <c r="N46" s="88"/>
      <c r="O46" s="88"/>
      <c r="P46" s="88"/>
      <c r="Q46" s="88"/>
      <c r="R46" s="88"/>
      <c r="S46" s="88"/>
      <c r="T46" s="88"/>
    </row>
    <row r="47" spans="1:20" x14ac:dyDescent="0.35">
      <c r="A47" s="105"/>
      <c r="B47" s="113"/>
      <c r="C47" s="392" t="str">
        <f>IF(AND(D69=0,D70=0,D71=0),"NA",IF(AND(D69&gt;0,D70=0),"NR",IF(D70&gt;0,"NOK","OK")))</f>
        <v>NA</v>
      </c>
      <c r="D47" s="392"/>
      <c r="E47" s="392"/>
      <c r="F47" s="393"/>
      <c r="G47" s="88"/>
      <c r="H47" s="88"/>
      <c r="I47" s="88"/>
      <c r="J47" s="88"/>
      <c r="K47" s="88"/>
      <c r="L47" s="88"/>
      <c r="M47" s="88"/>
      <c r="N47" s="88"/>
      <c r="O47" s="88"/>
      <c r="P47" s="88"/>
      <c r="Q47" s="88"/>
      <c r="R47" s="88"/>
      <c r="S47" s="88"/>
      <c r="T47" s="88"/>
    </row>
    <row r="48" spans="1:20" x14ac:dyDescent="0.35">
      <c r="A48" s="105"/>
      <c r="B48" s="113"/>
      <c r="C48" s="392" t="str">
        <f>IF(AND(D72=0,D73=0,D74=0),"NA",IF(AND(D72&gt;0,D73=0),"NR",IF(D73&gt;0,"NOK","OK")))</f>
        <v>NA</v>
      </c>
      <c r="D48" s="392"/>
      <c r="E48" s="392"/>
      <c r="F48" s="393"/>
      <c r="G48" s="88"/>
      <c r="H48" s="88"/>
      <c r="I48" s="88"/>
      <c r="J48" s="88"/>
      <c r="K48" s="88"/>
      <c r="L48" s="88"/>
      <c r="M48" s="88"/>
      <c r="N48" s="88"/>
      <c r="O48" s="88"/>
      <c r="P48" s="88"/>
      <c r="Q48" s="88"/>
      <c r="R48" s="88"/>
      <c r="S48" s="88"/>
      <c r="T48" s="88"/>
    </row>
    <row r="49" spans="1:20" x14ac:dyDescent="0.35">
      <c r="A49" s="105"/>
      <c r="B49" s="113"/>
      <c r="C49" s="392" t="str">
        <f>IF(AND(D75=0,D76=0,D77=0),"NA",IF(AND(D75&gt;0,D76=0),"NR",IF(D76&gt;0,"NOK","OK")))</f>
        <v>NA</v>
      </c>
      <c r="D49" s="392"/>
      <c r="E49" s="392"/>
      <c r="F49" s="393"/>
      <c r="G49" s="88"/>
      <c r="H49" s="88"/>
      <c r="I49" s="88"/>
      <c r="J49" s="88"/>
      <c r="K49" s="88"/>
      <c r="L49" s="88"/>
      <c r="M49" s="88"/>
      <c r="N49" s="88"/>
      <c r="O49" s="88"/>
      <c r="P49" s="88"/>
      <c r="Q49" s="88"/>
      <c r="R49" s="88"/>
      <c r="S49" s="88"/>
      <c r="T49" s="88"/>
    </row>
    <row r="50" spans="1:20" x14ac:dyDescent="0.35">
      <c r="A50" s="105"/>
      <c r="B50" s="113"/>
      <c r="C50" s="392" t="str">
        <f>IF(AND(D78=0,D79=0,D80=0),"NA",IF(AND(D78&gt;0,D79=0),"NR",IF(D79&gt;0,"NOK","OK")))</f>
        <v>NA</v>
      </c>
      <c r="D50" s="392"/>
      <c r="E50" s="392"/>
      <c r="F50" s="393"/>
      <c r="G50" s="88"/>
      <c r="H50" s="88"/>
      <c r="I50" s="88"/>
      <c r="J50" s="88"/>
      <c r="K50" s="88"/>
      <c r="L50" s="88"/>
      <c r="M50" s="88"/>
      <c r="N50" s="88"/>
      <c r="O50" s="88"/>
      <c r="P50" s="88"/>
      <c r="Q50" s="88"/>
      <c r="R50" s="88"/>
      <c r="S50" s="88"/>
      <c r="T50" s="88"/>
    </row>
    <row r="51" spans="1:20" x14ac:dyDescent="0.35">
      <c r="A51" s="105"/>
      <c r="B51" s="113"/>
      <c r="C51" s="392" t="str">
        <f>IF(AND(D81=0,D82=0,D83=0),"NA",IF(AND(D81&gt;0,D82=0),"NR",IF(D82&gt;0,"NOK","OK")))</f>
        <v>NA</v>
      </c>
      <c r="D51" s="392"/>
      <c r="E51" s="392"/>
      <c r="F51" s="393"/>
      <c r="G51" s="88"/>
      <c r="H51" s="88"/>
      <c r="I51" s="88"/>
      <c r="J51" s="88"/>
      <c r="K51" s="88"/>
      <c r="L51" s="88"/>
      <c r="M51" s="88"/>
      <c r="N51" s="88"/>
      <c r="O51" s="88"/>
      <c r="P51" s="88"/>
      <c r="Q51" s="88"/>
      <c r="R51" s="88"/>
      <c r="S51" s="88"/>
      <c r="T51" s="88"/>
    </row>
    <row r="52" spans="1:20" x14ac:dyDescent="0.35">
      <c r="A52" s="105"/>
      <c r="B52" s="113"/>
      <c r="C52" s="392" t="str">
        <f>IF(AND(D84=0,D85=0,D86=0),"NA",IF(AND(D84&gt;0,D85=0),"NR",IF(D85&gt;0,"NOK","OK")))</f>
        <v>NA</v>
      </c>
      <c r="D52" s="392"/>
      <c r="E52" s="392"/>
      <c r="F52" s="393"/>
      <c r="G52" s="88"/>
      <c r="H52" s="88"/>
      <c r="I52" s="88"/>
      <c r="J52" s="88"/>
      <c r="K52" s="88"/>
      <c r="L52" s="88"/>
      <c r="M52" s="88"/>
      <c r="N52" s="88"/>
      <c r="O52" s="88"/>
      <c r="P52" s="88"/>
      <c r="Q52" s="88"/>
      <c r="R52" s="88"/>
      <c r="S52" s="88"/>
      <c r="T52" s="88"/>
    </row>
    <row r="53" spans="1:20" x14ac:dyDescent="0.35">
      <c r="A53" s="105"/>
      <c r="B53" s="113"/>
      <c r="C53" s="392" t="str">
        <f>IF(AND(D87=0,D88=0,D89=0),"NA",IF(AND(D87&gt;0,D88=0),"NR",IF(D88&gt;0,"NOK","OK")))</f>
        <v>NA</v>
      </c>
      <c r="D53" s="392"/>
      <c r="E53" s="392"/>
      <c r="F53" s="393"/>
      <c r="G53" s="88"/>
      <c r="H53" s="88"/>
      <c r="I53" s="88"/>
      <c r="J53" s="88"/>
      <c r="K53" s="88"/>
      <c r="L53" s="88"/>
      <c r="M53" s="88"/>
      <c r="N53" s="88"/>
      <c r="O53" s="88"/>
      <c r="P53" s="88"/>
      <c r="Q53" s="88"/>
      <c r="R53" s="88"/>
      <c r="S53" s="88"/>
      <c r="T53" s="88"/>
    </row>
    <row r="54" spans="1:20" x14ac:dyDescent="0.35">
      <c r="A54" s="105"/>
      <c r="B54" s="113"/>
      <c r="C54" s="392" t="str">
        <f>IF(AND(D90=0,D91=0,D92=0),"NA",IF(AND(D90&gt;0,D91=0),"NR",IF(D91&gt;0,"NOK","OK")))</f>
        <v>NA</v>
      </c>
      <c r="D54" s="392"/>
      <c r="E54" s="392"/>
      <c r="F54" s="393"/>
      <c r="G54" s="88"/>
      <c r="H54" s="88"/>
      <c r="I54" s="88"/>
      <c r="J54" s="88"/>
      <c r="K54" s="88"/>
      <c r="L54" s="88"/>
      <c r="M54" s="88"/>
      <c r="N54" s="88"/>
      <c r="O54" s="88"/>
      <c r="P54" s="88"/>
      <c r="Q54" s="88"/>
      <c r="R54" s="88"/>
      <c r="S54" s="88"/>
      <c r="T54" s="88"/>
    </row>
    <row r="55" spans="1:20" x14ac:dyDescent="0.35">
      <c r="A55" s="105"/>
      <c r="B55" s="113"/>
      <c r="C55" s="392" t="str">
        <f>IF(AND(D93=0,D94=0,D95=0),"NA",IF(AND(D93&gt;0,D94=0),"NR",IF(D94&gt;0,"NOK","OK")))</f>
        <v>NA</v>
      </c>
      <c r="D55" s="392"/>
      <c r="E55" s="392"/>
      <c r="F55" s="393"/>
      <c r="G55" s="88"/>
      <c r="H55" s="88"/>
      <c r="I55" s="88"/>
      <c r="J55" s="88"/>
      <c r="K55" s="88"/>
      <c r="L55" s="88"/>
      <c r="M55" s="88"/>
      <c r="N55" s="88"/>
      <c r="O55" s="88"/>
      <c r="P55" s="88"/>
      <c r="Q55" s="88"/>
      <c r="R55" s="88"/>
      <c r="S55" s="88"/>
      <c r="T55" s="88"/>
    </row>
    <row r="56" spans="1:20" x14ac:dyDescent="0.35">
      <c r="A56" s="105"/>
      <c r="B56" s="113"/>
      <c r="C56" s="392" t="str">
        <f>IF(AND(D96=0,D97=0,D98=0),"NA",IF(AND(D96&gt;0,D97=0),"NR",IF(D97&gt;0,"NOK","OK")))</f>
        <v>NA</v>
      </c>
      <c r="D56" s="392"/>
      <c r="E56" s="392"/>
      <c r="F56" s="393"/>
      <c r="G56" s="88"/>
      <c r="H56" s="88"/>
      <c r="I56" s="88"/>
      <c r="J56" s="88"/>
      <c r="K56" s="88"/>
      <c r="L56" s="88"/>
      <c r="M56" s="88"/>
      <c r="N56" s="88"/>
      <c r="O56" s="88"/>
      <c r="P56" s="88"/>
      <c r="Q56" s="88"/>
      <c r="R56" s="88"/>
      <c r="S56" s="88"/>
      <c r="T56" s="88"/>
    </row>
    <row r="57" spans="1:20" x14ac:dyDescent="0.35">
      <c r="A57" s="105"/>
      <c r="B57" s="113"/>
      <c r="C57" s="392" t="str">
        <f>IF(AND(D99=0,D100=0,D101=0),"NA",IF(AND(D99&gt;0,D100=0),"NR",IF(D100&gt;0,"NOK","OK")))</f>
        <v>NA</v>
      </c>
      <c r="D57" s="392"/>
      <c r="E57" s="392"/>
      <c r="F57" s="393"/>
      <c r="G57" s="88"/>
      <c r="H57" s="88"/>
      <c r="I57" s="88"/>
      <c r="J57" s="88"/>
      <c r="K57" s="88"/>
      <c r="L57" s="88"/>
      <c r="M57" s="88"/>
      <c r="N57" s="88"/>
      <c r="O57" s="88"/>
      <c r="P57" s="88"/>
      <c r="Q57" s="88"/>
      <c r="R57" s="88"/>
      <c r="S57" s="88"/>
      <c r="T57" s="88"/>
    </row>
    <row r="58" spans="1:20" ht="15" thickBot="1" x14ac:dyDescent="0.4">
      <c r="A58" s="105"/>
      <c r="B58" s="114"/>
      <c r="C58" s="400" t="str">
        <f>IF(AND(D102=0,D103=0,D104=0),"NA",IF(AND(D102&gt;0,D103=0),"NR",IF(D103&gt;0,"NOK","OK")))</f>
        <v>NA</v>
      </c>
      <c r="D58" s="400"/>
      <c r="E58" s="400"/>
      <c r="F58" s="401"/>
      <c r="G58" s="88"/>
      <c r="H58" s="88"/>
      <c r="I58" s="88"/>
      <c r="J58" s="88"/>
      <c r="K58" s="88"/>
      <c r="L58" s="88"/>
      <c r="M58" s="88"/>
      <c r="N58" s="88"/>
      <c r="O58" s="88"/>
      <c r="P58" s="88"/>
      <c r="Q58" s="88"/>
      <c r="R58" s="88"/>
      <c r="S58" s="88"/>
      <c r="T58" s="88"/>
    </row>
    <row r="59" spans="1:20" ht="15" thickBot="1" x14ac:dyDescent="0.4">
      <c r="A59" s="105"/>
      <c r="B59" s="115"/>
      <c r="C59" s="116"/>
      <c r="D59" s="116"/>
      <c r="E59" s="117"/>
      <c r="F59" s="116"/>
      <c r="G59" s="88"/>
      <c r="H59" s="88"/>
      <c r="I59" s="88"/>
      <c r="J59" s="88"/>
      <c r="K59" s="88"/>
      <c r="L59" s="88"/>
      <c r="M59" s="88"/>
      <c r="N59" s="88"/>
      <c r="O59" s="88"/>
      <c r="P59" s="88"/>
      <c r="Q59" s="88"/>
      <c r="R59" s="88"/>
      <c r="S59" s="88"/>
      <c r="T59" s="88"/>
    </row>
    <row r="60" spans="1:20" ht="15" thickBot="1" x14ac:dyDescent="0.4">
      <c r="A60" s="105"/>
      <c r="B60" s="394" t="s">
        <v>580</v>
      </c>
      <c r="C60" s="395"/>
      <c r="D60" s="395"/>
      <c r="E60" s="395"/>
      <c r="F60" s="396"/>
      <c r="G60" s="88"/>
      <c r="H60" s="88"/>
      <c r="I60" s="88"/>
      <c r="J60" s="88"/>
      <c r="K60" s="88"/>
      <c r="L60" s="88"/>
      <c r="M60" s="88"/>
      <c r="N60" s="88"/>
      <c r="O60" s="88"/>
      <c r="P60" s="88"/>
      <c r="Q60" s="88"/>
      <c r="R60" s="88"/>
      <c r="S60" s="88"/>
      <c r="T60" s="88"/>
    </row>
    <row r="61" spans="1:20" ht="31.5" thickBot="1" x14ac:dyDescent="0.4">
      <c r="A61" s="105"/>
      <c r="B61" s="118" t="s">
        <v>581</v>
      </c>
      <c r="C61" s="119" t="str">
        <f>IF(AND(COUNTIF(C46:C57,"NOK")=0,COUNTIF(C46:C57,"OK")=0,COUNTIF(C46:C57,"NR")=0),"NA",IF(AND(COUNTIF(C46:C57,"NR")&gt;0,COUNTIF(C46:C57,"NOK")=0),"NR",IF(COUNTIF(C46:C57,"NOK")&gt;0,"NOK","OK")))</f>
        <v>NR</v>
      </c>
      <c r="D61" s="397" t="s">
        <v>57</v>
      </c>
      <c r="E61" s="398"/>
      <c r="F61" s="399"/>
      <c r="G61" s="88"/>
      <c r="H61" s="88"/>
      <c r="I61" s="88"/>
      <c r="J61" s="88"/>
      <c r="K61" s="88"/>
      <c r="L61" s="88"/>
      <c r="M61" s="88"/>
      <c r="N61" s="88"/>
      <c r="O61" s="88"/>
      <c r="P61" s="88"/>
      <c r="Q61" s="88"/>
      <c r="R61" s="88"/>
      <c r="S61" s="88"/>
      <c r="T61" s="88"/>
    </row>
    <row r="62" spans="1:20" x14ac:dyDescent="0.35">
      <c r="A62" s="105"/>
      <c r="B62" s="83"/>
      <c r="C62" s="88"/>
      <c r="D62" s="88"/>
      <c r="E62" s="111"/>
      <c r="F62" s="88"/>
      <c r="G62" s="88"/>
      <c r="H62" s="88"/>
      <c r="I62" s="88"/>
      <c r="J62" s="88"/>
      <c r="K62" s="88"/>
      <c r="L62" s="88"/>
      <c r="M62" s="88"/>
      <c r="N62" s="88"/>
      <c r="O62" s="88"/>
      <c r="P62" s="88"/>
      <c r="Q62" s="88"/>
      <c r="R62" s="88"/>
      <c r="S62" s="88"/>
      <c r="T62" s="88"/>
    </row>
    <row r="63" spans="1:20" x14ac:dyDescent="0.35">
      <c r="A63" s="105"/>
      <c r="B63" s="83"/>
      <c r="C63" s="88"/>
      <c r="D63" s="88"/>
      <c r="E63" s="111"/>
      <c r="F63" s="88"/>
      <c r="G63" s="88"/>
      <c r="H63" s="88"/>
      <c r="I63" s="88"/>
      <c r="J63" s="88"/>
      <c r="K63" s="88"/>
      <c r="L63" s="88"/>
      <c r="M63" s="88"/>
      <c r="N63" s="88"/>
      <c r="O63" s="88"/>
      <c r="P63" s="88"/>
      <c r="Q63" s="88"/>
      <c r="R63" s="88"/>
      <c r="S63" s="88"/>
      <c r="T63" s="88"/>
    </row>
    <row r="64" spans="1:20" x14ac:dyDescent="0.35">
      <c r="A64" s="105"/>
      <c r="B64" s="83"/>
      <c r="C64" s="88"/>
      <c r="D64" s="88"/>
      <c r="E64" s="111"/>
      <c r="F64" s="88"/>
      <c r="G64" s="88"/>
      <c r="H64" s="88"/>
      <c r="I64" s="88"/>
      <c r="J64" s="88"/>
      <c r="K64" s="88"/>
      <c r="L64" s="88"/>
      <c r="M64" s="88"/>
      <c r="N64" s="88"/>
      <c r="O64" s="88"/>
      <c r="P64" s="88"/>
      <c r="Q64" s="88"/>
      <c r="R64" s="88"/>
      <c r="S64" s="88"/>
      <c r="T64" s="88"/>
    </row>
    <row r="65" spans="1:20" x14ac:dyDescent="0.35">
      <c r="A65" s="105"/>
      <c r="B65" s="391" t="s">
        <v>582</v>
      </c>
      <c r="C65" s="391"/>
      <c r="D65" s="391"/>
      <c r="E65" s="88"/>
      <c r="F65" s="88"/>
      <c r="G65" s="88"/>
      <c r="H65" s="88"/>
      <c r="I65" s="88"/>
      <c r="J65" s="88"/>
      <c r="K65" s="88"/>
      <c r="L65" s="88"/>
      <c r="M65" s="88"/>
      <c r="N65" s="88"/>
      <c r="O65" s="88"/>
      <c r="P65" s="88"/>
      <c r="Q65" s="88"/>
      <c r="R65" s="88"/>
      <c r="S65" s="88"/>
      <c r="T65" s="88"/>
    </row>
    <row r="66" spans="1:20" x14ac:dyDescent="0.35">
      <c r="A66" s="105"/>
      <c r="B66" s="390" t="str">
        <f>B46</f>
        <v>REQ_ROB_1</v>
      </c>
      <c r="C66" s="120" t="s">
        <v>549</v>
      </c>
      <c r="D66" s="120">
        <f>IF($B$66=0,0,COUNTIFS($B$8:$B$43,"*"&amp;$B$66&amp;"*",$C$8:$C$43,C66))</f>
        <v>17</v>
      </c>
      <c r="E66" s="88"/>
      <c r="F66" s="88"/>
      <c r="G66" s="88"/>
      <c r="H66" s="88"/>
      <c r="I66" s="88"/>
      <c r="J66" s="88"/>
      <c r="K66" s="88"/>
      <c r="L66" s="88"/>
      <c r="M66" s="88"/>
      <c r="N66" s="88"/>
      <c r="O66" s="88"/>
      <c r="P66" s="88"/>
      <c r="Q66" s="88"/>
      <c r="R66" s="88"/>
      <c r="S66" s="88"/>
      <c r="T66" s="88"/>
    </row>
    <row r="67" spans="1:20" x14ac:dyDescent="0.35">
      <c r="A67" s="105"/>
      <c r="B67" s="390"/>
      <c r="C67" s="120" t="s">
        <v>583</v>
      </c>
      <c r="D67" s="120">
        <f>IF($B$66=0,0,COUNTIFS($B$8:$B$43,"*"&amp;$B$66&amp;"*",$C$8:$C$43,C67))</f>
        <v>0</v>
      </c>
      <c r="E67" s="88"/>
      <c r="F67" s="88"/>
      <c r="G67" s="88"/>
      <c r="H67" s="88"/>
      <c r="I67" s="88"/>
      <c r="J67" s="88"/>
      <c r="K67" s="88"/>
      <c r="L67" s="88"/>
      <c r="M67" s="88"/>
      <c r="N67" s="88"/>
      <c r="O67" s="88"/>
      <c r="P67" s="88"/>
      <c r="Q67" s="88"/>
      <c r="R67" s="88"/>
      <c r="S67" s="88"/>
      <c r="T67" s="88"/>
    </row>
    <row r="68" spans="1:20" x14ac:dyDescent="0.35">
      <c r="A68" s="105"/>
      <c r="B68" s="390"/>
      <c r="C68" s="120" t="s">
        <v>584</v>
      </c>
      <c r="D68" s="120">
        <f>IF($B$66=0,0,COUNTIFS($B$8:$B$43,"*"&amp;$B$66&amp;"*",$C$8:$C$43,C68))</f>
        <v>0</v>
      </c>
      <c r="E68" s="88"/>
      <c r="F68" s="88"/>
      <c r="G68" s="88"/>
      <c r="H68" s="88"/>
      <c r="I68" s="88"/>
      <c r="J68" s="88"/>
      <c r="K68" s="88"/>
      <c r="L68" s="88"/>
      <c r="M68" s="88"/>
      <c r="N68" s="88"/>
      <c r="O68" s="88"/>
      <c r="P68" s="88"/>
      <c r="Q68" s="88"/>
      <c r="R68" s="88"/>
      <c r="S68" s="88"/>
      <c r="T68" s="88"/>
    </row>
    <row r="69" spans="1:20" x14ac:dyDescent="0.35">
      <c r="A69" s="105"/>
      <c r="B69" s="390">
        <f>B47</f>
        <v>0</v>
      </c>
      <c r="C69" s="120" t="s">
        <v>549</v>
      </c>
      <c r="D69" s="120">
        <f>IF($B$69=0,0,COUNTIFS($B$8:$B$43,"*"&amp;$B$69&amp;"*",$C$8:$C$43,C69))</f>
        <v>0</v>
      </c>
      <c r="E69" s="88"/>
      <c r="F69" s="88"/>
      <c r="G69" s="88"/>
      <c r="H69" s="88"/>
      <c r="I69" s="88"/>
      <c r="J69" s="88"/>
      <c r="K69" s="88"/>
      <c r="L69" s="88"/>
      <c r="M69" s="88"/>
      <c r="N69" s="88"/>
      <c r="O69" s="88"/>
      <c r="P69" s="88"/>
      <c r="Q69" s="88"/>
      <c r="R69" s="88"/>
      <c r="S69" s="88"/>
      <c r="T69" s="88"/>
    </row>
    <row r="70" spans="1:20" x14ac:dyDescent="0.35">
      <c r="A70" s="105"/>
      <c r="B70" s="390"/>
      <c r="C70" s="120" t="s">
        <v>583</v>
      </c>
      <c r="D70" s="120">
        <f>IF($B$69=0,0,COUNTIFS($B$8:$B$43,"*"&amp;$B$69&amp;"*",$C$8:$C$43,C70))</f>
        <v>0</v>
      </c>
      <c r="E70" s="88"/>
      <c r="F70" s="88"/>
      <c r="G70" s="88"/>
      <c r="H70" s="88"/>
      <c r="I70" s="88"/>
      <c r="J70" s="88"/>
      <c r="K70" s="88"/>
      <c r="L70" s="88"/>
      <c r="M70" s="88"/>
      <c r="N70" s="88"/>
      <c r="O70" s="88"/>
      <c r="P70" s="88"/>
      <c r="Q70" s="88"/>
      <c r="R70" s="88"/>
      <c r="S70" s="88"/>
      <c r="T70" s="88"/>
    </row>
    <row r="71" spans="1:20" x14ac:dyDescent="0.35">
      <c r="A71" s="105"/>
      <c r="B71" s="390"/>
      <c r="C71" s="120" t="s">
        <v>584</v>
      </c>
      <c r="D71" s="120">
        <f>IF($B$69=0,0,COUNTIFS($B$8:$B$43,"*"&amp;$B$69&amp;"*",$C$8:$C$43,C71))</f>
        <v>0</v>
      </c>
      <c r="E71" s="88"/>
      <c r="F71" s="88"/>
      <c r="G71" s="88"/>
      <c r="H71" s="88"/>
      <c r="I71" s="88"/>
      <c r="J71" s="88"/>
      <c r="K71" s="88"/>
      <c r="L71" s="88"/>
      <c r="M71" s="88"/>
      <c r="N71" s="88"/>
      <c r="O71" s="88"/>
      <c r="P71" s="88"/>
      <c r="Q71" s="88"/>
      <c r="R71" s="88"/>
      <c r="S71" s="88"/>
      <c r="T71" s="88"/>
    </row>
    <row r="72" spans="1:20" x14ac:dyDescent="0.35">
      <c r="A72" s="105"/>
      <c r="B72" s="390">
        <f>B48</f>
        <v>0</v>
      </c>
      <c r="C72" s="120" t="s">
        <v>549</v>
      </c>
      <c r="D72" s="120">
        <f>IF($B$72=0,0,COUNTIFS($B$8:$B$43,"*"&amp;$B$72&amp;"*",$C$8:$C$43,C72))</f>
        <v>0</v>
      </c>
      <c r="E72" s="88"/>
      <c r="F72" s="88"/>
      <c r="G72" s="88"/>
      <c r="H72" s="88"/>
      <c r="I72" s="88"/>
      <c r="J72" s="88"/>
      <c r="K72" s="88"/>
      <c r="L72" s="88"/>
      <c r="M72" s="88"/>
      <c r="N72" s="88"/>
      <c r="O72" s="88"/>
      <c r="P72" s="88"/>
      <c r="Q72" s="88"/>
      <c r="R72" s="88"/>
      <c r="S72" s="88"/>
      <c r="T72" s="88"/>
    </row>
    <row r="73" spans="1:20" x14ac:dyDescent="0.35">
      <c r="A73" s="105"/>
      <c r="B73" s="390"/>
      <c r="C73" s="120" t="s">
        <v>583</v>
      </c>
      <c r="D73" s="120">
        <f>IF($B$72=0,0,COUNTIFS($B$8:$B$43,"*"&amp;$B$72&amp;"*",$C$8:$C$43,C73))</f>
        <v>0</v>
      </c>
      <c r="E73" s="88"/>
      <c r="F73" s="88"/>
      <c r="G73" s="88"/>
      <c r="H73" s="88"/>
      <c r="I73" s="88"/>
      <c r="J73" s="88"/>
      <c r="K73" s="88"/>
      <c r="L73" s="88"/>
      <c r="M73" s="88"/>
      <c r="N73" s="88"/>
      <c r="O73" s="88"/>
      <c r="P73" s="88"/>
      <c r="Q73" s="88"/>
      <c r="R73" s="88"/>
      <c r="S73" s="88"/>
      <c r="T73" s="88"/>
    </row>
    <row r="74" spans="1:20" x14ac:dyDescent="0.35">
      <c r="A74" s="105"/>
      <c r="B74" s="390"/>
      <c r="C74" s="120" t="s">
        <v>584</v>
      </c>
      <c r="D74" s="120">
        <f>IF($B$72=0,0,COUNTIFS($B$8:$B$43,"*"&amp;$B$72&amp;"*",$C$8:$C$43,C74))</f>
        <v>0</v>
      </c>
      <c r="E74" s="88"/>
      <c r="F74" s="88"/>
      <c r="G74" s="88"/>
      <c r="H74" s="88"/>
      <c r="I74" s="88"/>
      <c r="J74" s="88"/>
      <c r="K74" s="88"/>
      <c r="L74" s="88"/>
      <c r="M74" s="88"/>
      <c r="N74" s="88"/>
      <c r="O74" s="88"/>
      <c r="P74" s="88"/>
      <c r="Q74" s="88"/>
      <c r="R74" s="88"/>
      <c r="S74" s="88"/>
      <c r="T74" s="88"/>
    </row>
    <row r="75" spans="1:20" x14ac:dyDescent="0.35">
      <c r="A75" s="105"/>
      <c r="B75" s="390">
        <f>B49</f>
        <v>0</v>
      </c>
      <c r="C75" s="120" t="s">
        <v>549</v>
      </c>
      <c r="D75" s="120">
        <f>IF($B$75=0,0,COUNTIFS($B$8:$B$43,"*"&amp;$B$75&amp;"*",$C$8:$C$43,C75))</f>
        <v>0</v>
      </c>
      <c r="E75" s="88"/>
      <c r="F75" s="88"/>
      <c r="G75" s="88"/>
      <c r="H75" s="88"/>
      <c r="I75" s="88"/>
      <c r="J75" s="88"/>
      <c r="K75" s="88"/>
      <c r="L75" s="88"/>
      <c r="M75" s="88"/>
      <c r="N75" s="88"/>
      <c r="O75" s="88"/>
      <c r="P75" s="88"/>
      <c r="Q75" s="88"/>
      <c r="R75" s="88"/>
      <c r="S75" s="88"/>
      <c r="T75" s="88"/>
    </row>
    <row r="76" spans="1:20" x14ac:dyDescent="0.35">
      <c r="A76" s="105"/>
      <c r="B76" s="390"/>
      <c r="C76" s="120" t="s">
        <v>583</v>
      </c>
      <c r="D76" s="120">
        <f>IF($B$75=0,0,COUNTIFS($B$8:$B$43,"*"&amp;$B$75&amp;"*",$C$8:$C$43,C76))</f>
        <v>0</v>
      </c>
      <c r="E76" s="88"/>
      <c r="F76" s="88"/>
      <c r="G76" s="88"/>
      <c r="H76" s="88"/>
      <c r="I76" s="88"/>
      <c r="J76" s="88"/>
      <c r="K76" s="88"/>
      <c r="L76" s="88"/>
      <c r="M76" s="88"/>
      <c r="N76" s="88"/>
      <c r="O76" s="88"/>
      <c r="P76" s="88"/>
      <c r="Q76" s="88"/>
      <c r="R76" s="88"/>
      <c r="S76" s="88"/>
      <c r="T76" s="88"/>
    </row>
    <row r="77" spans="1:20" x14ac:dyDescent="0.35">
      <c r="A77" s="105"/>
      <c r="B77" s="390"/>
      <c r="C77" s="120" t="s">
        <v>584</v>
      </c>
      <c r="D77" s="120">
        <f>IF($B$75=0,0,COUNTIFS($B$8:$B$43,"*"&amp;$B$75&amp;"*",$C$8:$C$43,C77))</f>
        <v>0</v>
      </c>
      <c r="E77" s="88"/>
      <c r="F77" s="88"/>
      <c r="G77" s="88"/>
      <c r="H77" s="88"/>
      <c r="I77" s="88"/>
      <c r="J77" s="88"/>
      <c r="K77" s="88"/>
      <c r="L77" s="88"/>
      <c r="M77" s="88"/>
      <c r="N77" s="88"/>
      <c r="O77" s="88"/>
      <c r="P77" s="88"/>
      <c r="Q77" s="88"/>
      <c r="R77" s="88"/>
      <c r="S77" s="88"/>
      <c r="T77" s="88"/>
    </row>
    <row r="78" spans="1:20" x14ac:dyDescent="0.35">
      <c r="A78" s="105"/>
      <c r="B78" s="390">
        <f>B50</f>
        <v>0</v>
      </c>
      <c r="C78" s="120" t="s">
        <v>549</v>
      </c>
      <c r="D78" s="120">
        <f>IF($B$78=0,0,COUNTIFS($B$8:$B$43,"*"&amp;$B$78&amp;"*",$C$8:$C$43,C78))</f>
        <v>0</v>
      </c>
      <c r="E78" s="88"/>
      <c r="F78" s="88"/>
      <c r="G78" s="88"/>
      <c r="H78" s="88"/>
      <c r="I78" s="88"/>
      <c r="J78" s="88"/>
      <c r="K78" s="88"/>
      <c r="L78" s="88"/>
      <c r="M78" s="88"/>
      <c r="N78" s="88"/>
      <c r="O78" s="88"/>
      <c r="P78" s="88"/>
      <c r="Q78" s="88"/>
      <c r="R78" s="88"/>
      <c r="S78" s="88"/>
      <c r="T78" s="88"/>
    </row>
    <row r="79" spans="1:20" x14ac:dyDescent="0.35">
      <c r="A79" s="105"/>
      <c r="B79" s="390"/>
      <c r="C79" s="120" t="s">
        <v>583</v>
      </c>
      <c r="D79" s="120">
        <f>IF($B$78=0,0,COUNTIFS($B$8:$B$43,"*"&amp;$B$78&amp;"*",$C$8:$C$43,C79))</f>
        <v>0</v>
      </c>
      <c r="E79" s="88"/>
      <c r="F79" s="88"/>
      <c r="G79" s="88"/>
      <c r="H79" s="88"/>
      <c r="I79" s="88"/>
      <c r="J79" s="88"/>
      <c r="K79" s="88"/>
      <c r="L79" s="88"/>
      <c r="M79" s="88"/>
      <c r="N79" s="88"/>
      <c r="O79" s="88"/>
      <c r="P79" s="88"/>
      <c r="Q79" s="88"/>
      <c r="R79" s="88"/>
      <c r="S79" s="88"/>
      <c r="T79" s="88"/>
    </row>
    <row r="80" spans="1:20" x14ac:dyDescent="0.35">
      <c r="A80" s="105"/>
      <c r="B80" s="390"/>
      <c r="C80" s="120" t="s">
        <v>584</v>
      </c>
      <c r="D80" s="120">
        <f>IF($B$78=0,0,COUNTIFS($B$8:$B$43,"*"&amp;$B$78&amp;"*",$C$8:$C$43,C80))</f>
        <v>0</v>
      </c>
      <c r="E80" s="88"/>
      <c r="F80" s="88"/>
      <c r="G80" s="88"/>
      <c r="H80" s="88"/>
      <c r="I80" s="88"/>
      <c r="J80" s="88"/>
      <c r="K80" s="88"/>
      <c r="L80" s="88"/>
      <c r="M80" s="88"/>
      <c r="N80" s="88"/>
      <c r="O80" s="88"/>
      <c r="P80" s="88"/>
      <c r="Q80" s="88"/>
      <c r="R80" s="88"/>
      <c r="S80" s="88"/>
      <c r="T80" s="88"/>
    </row>
    <row r="81" spans="1:20" x14ac:dyDescent="0.35">
      <c r="A81" s="105"/>
      <c r="B81" s="390">
        <f>B51</f>
        <v>0</v>
      </c>
      <c r="C81" s="120" t="s">
        <v>549</v>
      </c>
      <c r="D81" s="120">
        <f>IF($B$81=0,0,COUNTIFS($B$8:$B$43,"*"&amp;$B$81&amp;"*",$C$8:$C$43,C81))</f>
        <v>0</v>
      </c>
      <c r="E81" s="111"/>
      <c r="F81" s="88"/>
      <c r="G81" s="88"/>
      <c r="H81" s="88"/>
      <c r="I81" s="88"/>
      <c r="J81" s="88"/>
      <c r="K81" s="88"/>
      <c r="L81" s="88"/>
      <c r="M81" s="88"/>
      <c r="N81" s="88"/>
      <c r="O81" s="88"/>
      <c r="P81" s="88"/>
      <c r="Q81" s="88"/>
      <c r="R81" s="88"/>
      <c r="S81" s="88"/>
      <c r="T81" s="88"/>
    </row>
    <row r="82" spans="1:20" x14ac:dyDescent="0.35">
      <c r="A82" s="105"/>
      <c r="B82" s="390"/>
      <c r="C82" s="120" t="s">
        <v>583</v>
      </c>
      <c r="D82" s="120">
        <f>IF($B$81=0,0,COUNTIFS($B$8:$B$43,"*"&amp;$B$81&amp;"*",$C$8:$C$43,C82))</f>
        <v>0</v>
      </c>
      <c r="E82" s="111"/>
      <c r="F82" s="88"/>
      <c r="G82" s="88"/>
      <c r="H82" s="88"/>
      <c r="I82" s="88"/>
      <c r="J82" s="88"/>
      <c r="K82" s="88"/>
      <c r="L82" s="88"/>
      <c r="M82" s="88"/>
      <c r="N82" s="88"/>
      <c r="O82" s="88"/>
      <c r="P82" s="88"/>
      <c r="Q82" s="88"/>
      <c r="R82" s="88"/>
      <c r="S82" s="88"/>
      <c r="T82" s="88"/>
    </row>
    <row r="83" spans="1:20" x14ac:dyDescent="0.35">
      <c r="A83" s="105"/>
      <c r="B83" s="390"/>
      <c r="C83" s="120" t="s">
        <v>584</v>
      </c>
      <c r="D83" s="120">
        <f>IF($B$81=0,0,COUNTIFS($B$8:$B$43,"*"&amp;$B$81&amp;"*",$C$8:$C$43,C83))</f>
        <v>0</v>
      </c>
      <c r="E83" s="111"/>
      <c r="F83" s="88"/>
      <c r="G83" s="88"/>
      <c r="H83" s="88"/>
      <c r="I83" s="88"/>
      <c r="J83" s="88"/>
      <c r="K83" s="88"/>
      <c r="L83" s="88"/>
      <c r="M83" s="88"/>
      <c r="N83" s="88"/>
      <c r="O83" s="88"/>
      <c r="P83" s="88"/>
      <c r="Q83" s="88"/>
      <c r="R83" s="88"/>
      <c r="S83" s="88"/>
      <c r="T83" s="88"/>
    </row>
    <row r="84" spans="1:20" x14ac:dyDescent="0.35">
      <c r="A84" s="105"/>
      <c r="B84" s="390">
        <f>B52</f>
        <v>0</v>
      </c>
      <c r="C84" s="120" t="s">
        <v>549</v>
      </c>
      <c r="D84" s="120">
        <f>IF($B$84=0,0,COUNTIFS($B$8:$B$43,"*"&amp;$B$84&amp;"*",$C$8:$C$43,C84))</f>
        <v>0</v>
      </c>
      <c r="E84" s="111"/>
      <c r="F84" s="88"/>
      <c r="G84" s="88"/>
      <c r="H84" s="88"/>
      <c r="I84" s="88"/>
      <c r="J84" s="88"/>
      <c r="K84" s="88"/>
      <c r="L84" s="88"/>
      <c r="M84" s="88"/>
      <c r="N84" s="88"/>
      <c r="O84" s="88"/>
      <c r="P84" s="88"/>
      <c r="Q84" s="88"/>
      <c r="R84" s="88"/>
      <c r="S84" s="88"/>
      <c r="T84" s="88"/>
    </row>
    <row r="85" spans="1:20" x14ac:dyDescent="0.35">
      <c r="A85" s="105"/>
      <c r="B85" s="390"/>
      <c r="C85" s="120" t="s">
        <v>583</v>
      </c>
      <c r="D85" s="120">
        <f>IF($B$84=0,0,COUNTIFS($B$8:$B$43,"*"&amp;$B$84&amp;"*",$C$8:$C$43,C85))</f>
        <v>0</v>
      </c>
      <c r="E85" s="111"/>
      <c r="F85" s="88"/>
      <c r="G85" s="88"/>
      <c r="H85" s="88"/>
      <c r="I85" s="88"/>
      <c r="J85" s="88"/>
      <c r="K85" s="88"/>
      <c r="L85" s="88"/>
      <c r="M85" s="88"/>
      <c r="N85" s="88"/>
      <c r="O85" s="88"/>
      <c r="P85" s="88"/>
      <c r="Q85" s="88"/>
      <c r="R85" s="88"/>
      <c r="S85" s="88"/>
      <c r="T85" s="88"/>
    </row>
    <row r="86" spans="1:20" x14ac:dyDescent="0.35">
      <c r="A86" s="105"/>
      <c r="B86" s="390"/>
      <c r="C86" s="120" t="s">
        <v>584</v>
      </c>
      <c r="D86" s="120">
        <f>IF($B$84=0,0,COUNTIFS($B$8:$B$43,"*"&amp;$B$84&amp;"*",$C$8:$C$43,C86))</f>
        <v>0</v>
      </c>
      <c r="E86" s="111"/>
      <c r="F86" s="88"/>
      <c r="G86" s="88"/>
      <c r="H86" s="88"/>
      <c r="I86" s="88"/>
      <c r="J86" s="88"/>
      <c r="K86" s="88"/>
      <c r="L86" s="88"/>
      <c r="M86" s="88"/>
      <c r="N86" s="88"/>
      <c r="O86" s="88"/>
      <c r="P86" s="88"/>
      <c r="Q86" s="88"/>
      <c r="R86" s="88"/>
      <c r="S86" s="88"/>
      <c r="T86" s="88"/>
    </row>
    <row r="87" spans="1:20" x14ac:dyDescent="0.35">
      <c r="A87" s="105"/>
      <c r="B87" s="390">
        <f>B53</f>
        <v>0</v>
      </c>
      <c r="C87" s="120" t="s">
        <v>549</v>
      </c>
      <c r="D87" s="120">
        <f>IF($B$87=0,0,COUNTIFS($B$8:$B$43,"*"&amp;$B$87&amp;"*",$C$8:$C$43,C87))</f>
        <v>0</v>
      </c>
      <c r="E87" s="111"/>
      <c r="F87" s="88"/>
      <c r="G87" s="88"/>
      <c r="H87" s="88"/>
      <c r="I87" s="88"/>
      <c r="J87" s="88"/>
      <c r="K87" s="88"/>
      <c r="L87" s="88"/>
      <c r="M87" s="88"/>
      <c r="N87" s="88"/>
      <c r="O87" s="88"/>
      <c r="P87" s="88"/>
      <c r="Q87" s="88"/>
      <c r="R87" s="88"/>
      <c r="S87" s="88"/>
      <c r="T87" s="88"/>
    </row>
    <row r="88" spans="1:20" x14ac:dyDescent="0.35">
      <c r="A88" s="105"/>
      <c r="B88" s="390"/>
      <c r="C88" s="120" t="s">
        <v>583</v>
      </c>
      <c r="D88" s="120">
        <f>IF($B$87=0,0,COUNTIFS($B$8:$B$43,"*"&amp;$B$87&amp;"*",$C$8:$C$43,C88))</f>
        <v>0</v>
      </c>
      <c r="E88" s="111"/>
      <c r="F88" s="88"/>
      <c r="G88" s="88"/>
      <c r="H88" s="88"/>
      <c r="I88" s="88"/>
      <c r="J88" s="88"/>
      <c r="K88" s="88"/>
      <c r="L88" s="88"/>
      <c r="M88" s="88"/>
      <c r="N88" s="88"/>
      <c r="O88" s="88"/>
      <c r="P88" s="88"/>
      <c r="Q88" s="88"/>
      <c r="R88" s="88"/>
      <c r="S88" s="88"/>
      <c r="T88" s="88"/>
    </row>
    <row r="89" spans="1:20" x14ac:dyDescent="0.35">
      <c r="A89" s="105"/>
      <c r="B89" s="390"/>
      <c r="C89" s="120" t="s">
        <v>584</v>
      </c>
      <c r="D89" s="120">
        <f>IF($B$87=0,0,COUNTIFS($B$8:$B$43,"*"&amp;$B$87&amp;"*",$C$8:$C$43,C89))</f>
        <v>0</v>
      </c>
      <c r="E89" s="111"/>
      <c r="F89" s="88"/>
      <c r="G89" s="88"/>
      <c r="H89" s="88"/>
      <c r="I89" s="88"/>
      <c r="J89" s="88"/>
      <c r="K89" s="88"/>
      <c r="L89" s="88"/>
      <c r="M89" s="88"/>
      <c r="N89" s="88"/>
      <c r="O89" s="88"/>
      <c r="P89" s="88"/>
      <c r="Q89" s="88"/>
      <c r="R89" s="88"/>
      <c r="S89" s="88"/>
      <c r="T89" s="88"/>
    </row>
    <row r="90" spans="1:20" x14ac:dyDescent="0.35">
      <c r="A90" s="105"/>
      <c r="B90" s="390">
        <f>B54</f>
        <v>0</v>
      </c>
      <c r="C90" s="120" t="s">
        <v>549</v>
      </c>
      <c r="D90" s="120">
        <f>IF($B$90=0,0,COUNTIFS($B$8:$B$43,"*"&amp;$B$90&amp;"*",$C$8:$C$43,C90))</f>
        <v>0</v>
      </c>
      <c r="E90" s="111"/>
      <c r="F90" s="88"/>
      <c r="G90" s="88"/>
      <c r="H90" s="88"/>
      <c r="I90" s="88"/>
      <c r="J90" s="88"/>
      <c r="K90" s="88"/>
      <c r="L90" s="88"/>
      <c r="M90" s="88"/>
      <c r="N90" s="88"/>
      <c r="O90" s="88"/>
      <c r="P90" s="88"/>
      <c r="Q90" s="88"/>
      <c r="R90" s="88"/>
      <c r="S90" s="88"/>
      <c r="T90" s="88"/>
    </row>
    <row r="91" spans="1:20" x14ac:dyDescent="0.35">
      <c r="A91" s="105"/>
      <c r="B91" s="390"/>
      <c r="C91" s="120" t="s">
        <v>583</v>
      </c>
      <c r="D91" s="120">
        <f>IF($B$90=0,0,COUNTIFS($B$8:$B$43,"*"&amp;$B$90&amp;"*",$C$8:$C$43,C91))</f>
        <v>0</v>
      </c>
      <c r="E91" s="111"/>
      <c r="F91" s="88"/>
      <c r="G91" s="88"/>
      <c r="H91" s="88"/>
      <c r="I91" s="88"/>
      <c r="J91" s="88"/>
      <c r="K91" s="88"/>
      <c r="L91" s="88"/>
      <c r="M91" s="88"/>
      <c r="N91" s="88"/>
      <c r="O91" s="88"/>
      <c r="P91" s="88"/>
      <c r="Q91" s="88"/>
      <c r="R91" s="88"/>
      <c r="S91" s="88"/>
      <c r="T91" s="88"/>
    </row>
    <row r="92" spans="1:20" x14ac:dyDescent="0.35">
      <c r="A92" s="105"/>
      <c r="B92" s="390"/>
      <c r="C92" s="120" t="s">
        <v>584</v>
      </c>
      <c r="D92" s="120">
        <f>IF($B$90=0,0,COUNTIFS($B$8:$B$43,"*"&amp;$B$90&amp;"*",$C$8:$C$43,C92))</f>
        <v>0</v>
      </c>
      <c r="E92" s="111"/>
      <c r="F92" s="88"/>
      <c r="G92" s="88"/>
      <c r="H92" s="88"/>
      <c r="I92" s="88"/>
      <c r="J92" s="88"/>
      <c r="K92" s="88"/>
      <c r="L92" s="88"/>
      <c r="M92" s="88"/>
      <c r="N92" s="88"/>
      <c r="O92" s="88"/>
      <c r="P92" s="88"/>
      <c r="Q92" s="88"/>
      <c r="R92" s="88"/>
      <c r="S92" s="88"/>
      <c r="T92" s="88"/>
    </row>
    <row r="93" spans="1:20" x14ac:dyDescent="0.35">
      <c r="A93" s="105"/>
      <c r="B93" s="390">
        <f>B55</f>
        <v>0</v>
      </c>
      <c r="C93" s="120" t="s">
        <v>549</v>
      </c>
      <c r="D93" s="120">
        <f>IF($B$93=0,0,COUNTIFS($B$8:$B$43,"*"&amp;$B$93&amp;"*",$C$8:$C$43,C93))</f>
        <v>0</v>
      </c>
      <c r="E93" s="111"/>
      <c r="F93" s="88"/>
      <c r="G93" s="88"/>
      <c r="H93" s="88"/>
      <c r="I93" s="88"/>
      <c r="J93" s="88"/>
      <c r="K93" s="88"/>
      <c r="L93" s="88"/>
      <c r="M93" s="88"/>
      <c r="N93" s="88"/>
      <c r="O93" s="88"/>
      <c r="P93" s="88"/>
      <c r="Q93" s="88"/>
      <c r="R93" s="88"/>
      <c r="S93" s="88"/>
      <c r="T93" s="88"/>
    </row>
    <row r="94" spans="1:20" x14ac:dyDescent="0.35">
      <c r="A94" s="105"/>
      <c r="B94" s="390"/>
      <c r="C94" s="120" t="s">
        <v>583</v>
      </c>
      <c r="D94" s="120">
        <f>IF($B$93=0,0,COUNTIFS($B$8:$B$43,"*"&amp;$B$93&amp;"*",$C$8:$C$43,C94))</f>
        <v>0</v>
      </c>
      <c r="E94" s="111"/>
      <c r="F94" s="88"/>
      <c r="G94" s="88"/>
      <c r="H94" s="88"/>
      <c r="I94" s="88"/>
      <c r="J94" s="88"/>
      <c r="K94" s="88"/>
      <c r="L94" s="88"/>
      <c r="M94" s="88"/>
      <c r="N94" s="88"/>
      <c r="O94" s="88"/>
      <c r="P94" s="88"/>
      <c r="Q94" s="88"/>
      <c r="R94" s="88"/>
      <c r="S94" s="88"/>
      <c r="T94" s="88"/>
    </row>
    <row r="95" spans="1:20" x14ac:dyDescent="0.35">
      <c r="A95" s="105"/>
      <c r="B95" s="390"/>
      <c r="C95" s="120" t="s">
        <v>584</v>
      </c>
      <c r="D95" s="120">
        <f>IF($B$93=0,0,COUNTIFS($B$8:$B$43,"*"&amp;$B$93&amp;"*",$C$8:$C$43,C95))</f>
        <v>0</v>
      </c>
      <c r="E95" s="111"/>
      <c r="F95" s="88"/>
      <c r="G95" s="88"/>
      <c r="H95" s="88"/>
      <c r="I95" s="88"/>
      <c r="J95" s="88"/>
      <c r="K95" s="88"/>
      <c r="L95" s="88"/>
      <c r="M95" s="88"/>
      <c r="N95" s="88"/>
      <c r="O95" s="88"/>
      <c r="P95" s="88"/>
      <c r="Q95" s="88"/>
      <c r="R95" s="88"/>
      <c r="S95" s="88"/>
      <c r="T95" s="88"/>
    </row>
    <row r="96" spans="1:20" x14ac:dyDescent="0.35">
      <c r="A96" s="105"/>
      <c r="B96" s="390">
        <f>B56</f>
        <v>0</v>
      </c>
      <c r="C96" s="120" t="s">
        <v>549</v>
      </c>
      <c r="D96" s="120">
        <f>IF($B$96=0,0,COUNTIFS($B$8:$B$43,"*"&amp;$B$96&amp;"*",$C$8:$C$43,C96))</f>
        <v>0</v>
      </c>
      <c r="E96" s="111"/>
      <c r="F96" s="88"/>
      <c r="G96" s="88"/>
      <c r="H96" s="88"/>
      <c r="I96" s="88"/>
      <c r="J96" s="88"/>
      <c r="K96" s="88"/>
      <c r="L96" s="88"/>
      <c r="M96" s="88"/>
      <c r="N96" s="88"/>
      <c r="O96" s="88"/>
      <c r="P96" s="88"/>
      <c r="Q96" s="88"/>
      <c r="R96" s="88"/>
      <c r="S96" s="88"/>
      <c r="T96" s="88"/>
    </row>
    <row r="97" spans="1:20" x14ac:dyDescent="0.35">
      <c r="A97" s="105"/>
      <c r="B97" s="390"/>
      <c r="C97" s="120" t="s">
        <v>583</v>
      </c>
      <c r="D97" s="120">
        <f>IF($B$96=0,0,COUNTIFS($B$8:$B$43,"*"&amp;$B$96&amp;"*",$C$8:$C$43,C97))</f>
        <v>0</v>
      </c>
      <c r="E97" s="111"/>
      <c r="F97" s="88"/>
      <c r="G97" s="88"/>
      <c r="H97" s="88"/>
      <c r="I97" s="88"/>
      <c r="J97" s="88"/>
      <c r="K97" s="88"/>
      <c r="L97" s="88"/>
      <c r="M97" s="88"/>
      <c r="N97" s="88"/>
      <c r="O97" s="88"/>
      <c r="P97" s="88"/>
      <c r="Q97" s="88"/>
      <c r="R97" s="88"/>
      <c r="S97" s="88"/>
      <c r="T97" s="88"/>
    </row>
    <row r="98" spans="1:20" x14ac:dyDescent="0.35">
      <c r="A98" s="105"/>
      <c r="B98" s="390"/>
      <c r="C98" s="120" t="s">
        <v>584</v>
      </c>
      <c r="D98" s="120">
        <f>IF($B$96=0,0,COUNTIFS($B$8:$B$43,"*"&amp;$B$96&amp;"*",$C$8:$C$43,C98))</f>
        <v>0</v>
      </c>
      <c r="E98" s="111"/>
      <c r="F98" s="88"/>
      <c r="G98" s="88"/>
      <c r="H98" s="88"/>
      <c r="I98" s="88"/>
      <c r="J98" s="88"/>
      <c r="K98" s="88"/>
      <c r="L98" s="88"/>
      <c r="M98" s="88"/>
      <c r="N98" s="88"/>
      <c r="O98" s="88"/>
      <c r="P98" s="88"/>
      <c r="Q98" s="88"/>
      <c r="R98" s="88"/>
      <c r="S98" s="88"/>
      <c r="T98" s="88"/>
    </row>
    <row r="99" spans="1:20" x14ac:dyDescent="0.35">
      <c r="A99" s="105"/>
      <c r="B99" s="390">
        <f>B57</f>
        <v>0</v>
      </c>
      <c r="C99" s="120" t="s">
        <v>549</v>
      </c>
      <c r="D99" s="120">
        <f>IF($B$99=0,0,COUNTIFS($B$8:$B$43,"*"&amp;$B$99&amp;"*",$C$8:$C$43,C99))</f>
        <v>0</v>
      </c>
      <c r="E99" s="111"/>
      <c r="F99" s="88"/>
      <c r="G99" s="88"/>
      <c r="H99" s="88"/>
      <c r="I99" s="88"/>
      <c r="J99" s="88"/>
      <c r="K99" s="88"/>
      <c r="L99" s="88"/>
      <c r="M99" s="88"/>
      <c r="N99" s="88"/>
      <c r="O99" s="88"/>
      <c r="P99" s="88"/>
      <c r="Q99" s="88"/>
      <c r="R99" s="88"/>
      <c r="S99" s="88"/>
      <c r="T99" s="88"/>
    </row>
    <row r="100" spans="1:20" x14ac:dyDescent="0.35">
      <c r="A100" s="105"/>
      <c r="B100" s="390"/>
      <c r="C100" s="120" t="s">
        <v>583</v>
      </c>
      <c r="D100" s="120">
        <f>IF($B$99=0,0,COUNTIFS($B$8:$B$43,"*"&amp;$B$99&amp;"*",$C$8:$C$43,C100))</f>
        <v>0</v>
      </c>
      <c r="E100" s="111"/>
      <c r="F100" s="88"/>
      <c r="G100" s="88"/>
      <c r="H100" s="88"/>
      <c r="I100" s="88"/>
      <c r="J100" s="88"/>
      <c r="K100" s="88"/>
      <c r="L100" s="88"/>
      <c r="M100" s="88"/>
      <c r="N100" s="88"/>
      <c r="O100" s="88"/>
      <c r="P100" s="88"/>
      <c r="Q100" s="88"/>
      <c r="R100" s="88"/>
      <c r="S100" s="88"/>
      <c r="T100" s="88"/>
    </row>
    <row r="101" spans="1:20" x14ac:dyDescent="0.35">
      <c r="A101" s="105"/>
      <c r="B101" s="390"/>
      <c r="C101" s="120" t="s">
        <v>584</v>
      </c>
      <c r="D101" s="120">
        <f>IF($B$99=0,0,COUNTIFS($B$8:$B$43,"*"&amp;$B$99&amp;"*",$C$8:$C$43,C101))</f>
        <v>0</v>
      </c>
      <c r="E101" s="111"/>
      <c r="F101" s="88"/>
      <c r="G101" s="88"/>
      <c r="H101" s="88"/>
      <c r="I101" s="88"/>
      <c r="J101" s="88"/>
      <c r="K101" s="88"/>
      <c r="L101" s="88"/>
      <c r="M101" s="88"/>
      <c r="N101" s="88"/>
      <c r="O101" s="88"/>
      <c r="P101" s="88"/>
      <c r="Q101" s="88"/>
      <c r="R101" s="88"/>
      <c r="S101" s="88"/>
      <c r="T101" s="88"/>
    </row>
    <row r="102" spans="1:20" x14ac:dyDescent="0.35">
      <c r="A102" s="105"/>
      <c r="B102" s="390">
        <f>B58</f>
        <v>0</v>
      </c>
      <c r="C102" s="120" t="s">
        <v>549</v>
      </c>
      <c r="D102" s="120">
        <f>IF($B$102=0,0,COUNTIFS($B$8:$B$43,"*"&amp;$B$102&amp;"*",$C$8:$C$43,C102))</f>
        <v>0</v>
      </c>
      <c r="E102" s="111"/>
      <c r="F102" s="88"/>
      <c r="G102" s="88"/>
      <c r="H102" s="88"/>
      <c r="I102" s="88"/>
      <c r="J102" s="88"/>
      <c r="K102" s="88"/>
      <c r="L102" s="88"/>
      <c r="M102" s="88"/>
      <c r="N102" s="88"/>
      <c r="O102" s="88"/>
      <c r="P102" s="88"/>
      <c r="Q102" s="88"/>
      <c r="R102" s="88"/>
      <c r="S102" s="88"/>
      <c r="T102" s="88"/>
    </row>
    <row r="103" spans="1:20" x14ac:dyDescent="0.35">
      <c r="A103" s="105"/>
      <c r="B103" s="390"/>
      <c r="C103" s="120" t="s">
        <v>583</v>
      </c>
      <c r="D103" s="120">
        <f>IF($B$102=0,0,COUNTIFS($B$8:$B$43,"*"&amp;$B$102&amp;"*",$C$8:$C$43,C103))</f>
        <v>0</v>
      </c>
      <c r="E103" s="111"/>
      <c r="F103" s="88"/>
      <c r="G103" s="88"/>
      <c r="H103" s="88"/>
      <c r="I103" s="88"/>
      <c r="J103" s="88"/>
      <c r="K103" s="88"/>
      <c r="L103" s="88"/>
      <c r="M103" s="88"/>
      <c r="N103" s="88"/>
      <c r="O103" s="88"/>
      <c r="P103" s="88"/>
      <c r="Q103" s="88"/>
      <c r="R103" s="88"/>
      <c r="S103" s="88"/>
      <c r="T103" s="88"/>
    </row>
    <row r="104" spans="1:20" x14ac:dyDescent="0.35">
      <c r="A104" s="105"/>
      <c r="B104" s="390"/>
      <c r="C104" s="120" t="s">
        <v>584</v>
      </c>
      <c r="D104" s="120">
        <f>IF($B$102=0,0,COUNTIFS($B$8:$B$43,"*"&amp;$B$102&amp;"*",$C$8:$C$43,C104))</f>
        <v>0</v>
      </c>
      <c r="E104" s="111"/>
      <c r="F104" s="88"/>
      <c r="G104" s="88"/>
      <c r="H104" s="88"/>
      <c r="I104" s="88"/>
      <c r="J104" s="88"/>
      <c r="K104" s="88"/>
      <c r="L104" s="88"/>
      <c r="M104" s="88"/>
      <c r="N104" s="88"/>
      <c r="O104" s="88"/>
      <c r="P104" s="88"/>
      <c r="Q104" s="88"/>
      <c r="R104" s="88"/>
      <c r="S104" s="88"/>
      <c r="T104" s="88"/>
    </row>
    <row r="105" spans="1:20" x14ac:dyDescent="0.35">
      <c r="A105" s="105"/>
      <c r="B105" s="83"/>
      <c r="C105" s="88"/>
      <c r="D105" s="88"/>
      <c r="E105" s="111"/>
      <c r="F105" s="88"/>
      <c r="G105" s="88"/>
      <c r="H105" s="88"/>
      <c r="I105" s="88"/>
      <c r="J105" s="88"/>
      <c r="K105" s="88"/>
      <c r="L105" s="88"/>
      <c r="M105" s="88"/>
      <c r="N105" s="88"/>
      <c r="O105" s="88"/>
      <c r="P105" s="88"/>
      <c r="Q105" s="88"/>
      <c r="R105" s="88"/>
      <c r="S105" s="88"/>
      <c r="T105" s="88"/>
    </row>
    <row r="106" spans="1:20" x14ac:dyDescent="0.35">
      <c r="A106" s="105"/>
      <c r="B106" s="83"/>
      <c r="C106" s="88"/>
      <c r="D106" s="88"/>
      <c r="E106" s="111"/>
      <c r="F106" s="88"/>
      <c r="G106" s="88"/>
      <c r="H106" s="88"/>
      <c r="I106" s="88"/>
      <c r="J106" s="88"/>
      <c r="K106" s="88"/>
      <c r="L106" s="88"/>
      <c r="M106" s="88"/>
      <c r="N106" s="88"/>
      <c r="O106" s="88"/>
      <c r="P106" s="88"/>
      <c r="Q106" s="88"/>
      <c r="R106" s="88"/>
      <c r="S106" s="88"/>
      <c r="T106" s="88"/>
    </row>
    <row r="107" spans="1:20" x14ac:dyDescent="0.35">
      <c r="A107" s="105"/>
      <c r="B107" s="83"/>
      <c r="C107" s="88"/>
      <c r="D107" s="88"/>
      <c r="E107" s="111"/>
      <c r="F107" s="88"/>
      <c r="G107" s="88"/>
      <c r="H107" s="88"/>
      <c r="I107" s="88"/>
      <c r="J107" s="88"/>
      <c r="K107" s="88"/>
      <c r="L107" s="88"/>
      <c r="M107" s="88"/>
      <c r="N107" s="88"/>
      <c r="O107" s="88"/>
      <c r="P107" s="88"/>
      <c r="Q107" s="88"/>
      <c r="R107" s="88"/>
      <c r="S107" s="88"/>
      <c r="T107" s="88"/>
    </row>
  </sheetData>
  <mergeCells count="45">
    <mergeCell ref="C48:F48"/>
    <mergeCell ref="B1:F1"/>
    <mergeCell ref="B45:F45"/>
    <mergeCell ref="C46:F46"/>
    <mergeCell ref="C47:F47"/>
    <mergeCell ref="H1:S1"/>
    <mergeCell ref="C2:F2"/>
    <mergeCell ref="H2:S2"/>
    <mergeCell ref="H3:S43"/>
    <mergeCell ref="B4:F4"/>
    <mergeCell ref="C6:F6"/>
    <mergeCell ref="C7:F7"/>
    <mergeCell ref="C36:F36"/>
    <mergeCell ref="C27:F27"/>
    <mergeCell ref="C28:F28"/>
    <mergeCell ref="C32:F32"/>
    <mergeCell ref="C14:F14"/>
    <mergeCell ref="C20:F20"/>
    <mergeCell ref="C37:F37"/>
    <mergeCell ref="B65:D65"/>
    <mergeCell ref="C49:F49"/>
    <mergeCell ref="C50:F50"/>
    <mergeCell ref="C51:F51"/>
    <mergeCell ref="C52:F52"/>
    <mergeCell ref="C53:F53"/>
    <mergeCell ref="C54:F54"/>
    <mergeCell ref="C55:F55"/>
    <mergeCell ref="C56:F56"/>
    <mergeCell ref="C57:F57"/>
    <mergeCell ref="B60:F60"/>
    <mergeCell ref="D61:F61"/>
    <mergeCell ref="C58:F58"/>
    <mergeCell ref="B102:B104"/>
    <mergeCell ref="B99:B101"/>
    <mergeCell ref="B66:B68"/>
    <mergeCell ref="B69:B71"/>
    <mergeCell ref="B72:B74"/>
    <mergeCell ref="B75:B77"/>
    <mergeCell ref="B78:B80"/>
    <mergeCell ref="B81:B83"/>
    <mergeCell ref="B84:B86"/>
    <mergeCell ref="B87:B89"/>
    <mergeCell ref="B90:B92"/>
    <mergeCell ref="B93:B95"/>
    <mergeCell ref="B96:B98"/>
  </mergeCells>
  <conditionalFormatting sqref="B8 B11">
    <cfRule type="cellIs" dxfId="2015" priority="136" operator="equal">
      <formula>"NR"</formula>
    </cfRule>
    <cfRule type="cellIs" dxfId="2014" priority="137" operator="equal">
      <formula>"NOK"</formula>
    </cfRule>
    <cfRule type="cellIs" dxfId="2013" priority="138" operator="equal">
      <formula>"OK"</formula>
    </cfRule>
  </conditionalFormatting>
  <conditionalFormatting sqref="B2 B62:B64">
    <cfRule type="cellIs" dxfId="2012" priority="157" operator="equal">
      <formula>"NR"</formula>
    </cfRule>
    <cfRule type="cellIs" dxfId="2011" priority="158" operator="equal">
      <formula>"NOK"</formula>
    </cfRule>
    <cfRule type="cellIs" dxfId="2010" priority="159" operator="equal">
      <formula>"OK"</formula>
    </cfRule>
  </conditionalFormatting>
  <conditionalFormatting sqref="B4">
    <cfRule type="cellIs" dxfId="2009" priority="160" operator="equal">
      <formula>"NR"</formula>
    </cfRule>
    <cfRule type="cellIs" dxfId="2008" priority="161" operator="equal">
      <formula>"NOK"</formula>
    </cfRule>
    <cfRule type="cellIs" dxfId="2007" priority="162" operator="equal">
      <formula>"OK"</formula>
    </cfRule>
  </conditionalFormatting>
  <conditionalFormatting sqref="B3 B44 B5 B60 B105:B1048576">
    <cfRule type="cellIs" dxfId="2006" priority="172" operator="equal">
      <formula>"NR"</formula>
    </cfRule>
    <cfRule type="cellIs" dxfId="2005" priority="173" operator="equal">
      <formula>"NOK"</formula>
    </cfRule>
    <cfRule type="cellIs" dxfId="2004" priority="174" operator="equal">
      <formula>"OK"</formula>
    </cfRule>
  </conditionalFormatting>
  <conditionalFormatting sqref="B1">
    <cfRule type="cellIs" dxfId="2003" priority="169" operator="equal">
      <formula>"NR"</formula>
    </cfRule>
    <cfRule type="cellIs" dxfId="2002" priority="170" operator="equal">
      <formula>"NOK"</formula>
    </cfRule>
    <cfRule type="cellIs" dxfId="2001" priority="171" operator="equal">
      <formula>"OK"</formula>
    </cfRule>
  </conditionalFormatting>
  <conditionalFormatting sqref="B45">
    <cfRule type="cellIs" dxfId="2000" priority="166" operator="equal">
      <formula>"NR"</formula>
    </cfRule>
    <cfRule type="cellIs" dxfId="1999" priority="167" operator="equal">
      <formula>"NOK"</formula>
    </cfRule>
    <cfRule type="cellIs" dxfId="1998" priority="168" operator="equal">
      <formula>"OK"</formula>
    </cfRule>
  </conditionalFormatting>
  <conditionalFormatting sqref="C46:C56 C59">
    <cfRule type="cellIs" dxfId="1997" priority="163" operator="equal">
      <formula>"NR"</formula>
    </cfRule>
    <cfRule type="cellIs" dxfId="1996" priority="164" operator="equal">
      <formula>"NOK"</formula>
    </cfRule>
    <cfRule type="cellIs" dxfId="1995" priority="165" operator="equal">
      <formula>"OK"</formula>
    </cfRule>
  </conditionalFormatting>
  <conditionalFormatting sqref="B6:B7">
    <cfRule type="cellIs" dxfId="1994" priority="154" operator="equal">
      <formula>"NR"</formula>
    </cfRule>
    <cfRule type="cellIs" dxfId="1993" priority="155" operator="equal">
      <formula>"NOK"</formula>
    </cfRule>
    <cfRule type="cellIs" dxfId="1992" priority="156" operator="equal">
      <formula>"OK"</formula>
    </cfRule>
  </conditionalFormatting>
  <conditionalFormatting sqref="C61">
    <cfRule type="cellIs" dxfId="1991" priority="142" operator="equal">
      <formula>"NR"</formula>
    </cfRule>
    <cfRule type="cellIs" dxfId="1990" priority="143" operator="equal">
      <formula>"NOK"</formula>
    </cfRule>
    <cfRule type="cellIs" dxfId="1989" priority="144" operator="equal">
      <formula>"OK"</formula>
    </cfRule>
  </conditionalFormatting>
  <conditionalFormatting sqref="C12:C13">
    <cfRule type="cellIs" dxfId="1988" priority="151" operator="equal">
      <formula>"NR"</formula>
    </cfRule>
    <cfRule type="cellIs" dxfId="1987" priority="152" operator="equal">
      <formula>"NOK"</formula>
    </cfRule>
    <cfRule type="cellIs" dxfId="1986" priority="153" operator="equal">
      <formula>"OK"</formula>
    </cfRule>
  </conditionalFormatting>
  <conditionalFormatting sqref="B61">
    <cfRule type="cellIs" dxfId="1985" priority="145" operator="equal">
      <formula>"NR"</formula>
    </cfRule>
    <cfRule type="cellIs" dxfId="1984" priority="146" operator="equal">
      <formula>"NOK"</formula>
    </cfRule>
    <cfRule type="cellIs" dxfId="1983" priority="147" operator="equal">
      <formula>"OK"</formula>
    </cfRule>
  </conditionalFormatting>
  <conditionalFormatting sqref="B65:B66 B69 B72 B78 B84 B90 B96 B75 B81 B87 B93 B99">
    <cfRule type="cellIs" dxfId="1982" priority="139" operator="equal">
      <formula>"NR"</formula>
    </cfRule>
    <cfRule type="cellIs" dxfId="1981" priority="140" operator="equal">
      <formula>"NOK"</formula>
    </cfRule>
    <cfRule type="cellIs" dxfId="1980" priority="141" operator="equal">
      <formula>"OK"</formula>
    </cfRule>
  </conditionalFormatting>
  <conditionalFormatting sqref="B36">
    <cfRule type="cellIs" dxfId="1979" priority="121" operator="equal">
      <formula>"NR"</formula>
    </cfRule>
    <cfRule type="cellIs" dxfId="1978" priority="122" operator="equal">
      <formula>"NOK"</formula>
    </cfRule>
    <cfRule type="cellIs" dxfId="1977" priority="123" operator="equal">
      <formula>"OK"</formula>
    </cfRule>
  </conditionalFormatting>
  <conditionalFormatting sqref="C9">
    <cfRule type="cellIs" dxfId="1976" priority="112" operator="equal">
      <formula>"NR"</formula>
    </cfRule>
    <cfRule type="cellIs" dxfId="1975" priority="113" operator="equal">
      <formula>"NOK"</formula>
    </cfRule>
    <cfRule type="cellIs" dxfId="1974" priority="114" operator="equal">
      <formula>"OK"</formula>
    </cfRule>
  </conditionalFormatting>
  <conditionalFormatting sqref="C58">
    <cfRule type="cellIs" dxfId="1973" priority="79" operator="equal">
      <formula>"NR"</formula>
    </cfRule>
    <cfRule type="cellIs" dxfId="1972" priority="80" operator="equal">
      <formula>"NOK"</formula>
    </cfRule>
    <cfRule type="cellIs" dxfId="1971" priority="81" operator="equal">
      <formula>"OK"</formula>
    </cfRule>
  </conditionalFormatting>
  <conditionalFormatting sqref="C10">
    <cfRule type="cellIs" dxfId="1970" priority="70" operator="equal">
      <formula>"NR"</formula>
    </cfRule>
    <cfRule type="cellIs" dxfId="1969" priority="71" operator="equal">
      <formula>"NOK"</formula>
    </cfRule>
    <cfRule type="cellIs" dxfId="1968" priority="72" operator="equal">
      <formula>"OK"</formula>
    </cfRule>
  </conditionalFormatting>
  <conditionalFormatting sqref="C57">
    <cfRule type="cellIs" dxfId="1967" priority="76" operator="equal">
      <formula>"NR"</formula>
    </cfRule>
    <cfRule type="cellIs" dxfId="1966" priority="77" operator="equal">
      <formula>"NOK"</formula>
    </cfRule>
    <cfRule type="cellIs" dxfId="1965" priority="78" operator="equal">
      <formula>"OK"</formula>
    </cfRule>
  </conditionalFormatting>
  <conditionalFormatting sqref="B15 B17">
    <cfRule type="cellIs" dxfId="1964" priority="61" operator="equal">
      <formula>"NR"</formula>
    </cfRule>
    <cfRule type="cellIs" dxfId="1963" priority="62" operator="equal">
      <formula>"NOK"</formula>
    </cfRule>
    <cfRule type="cellIs" dxfId="1962" priority="63" operator="equal">
      <formula>"OK"</formula>
    </cfRule>
  </conditionalFormatting>
  <conditionalFormatting sqref="B102">
    <cfRule type="cellIs" dxfId="1961" priority="73" operator="equal">
      <formula>"NR"</formula>
    </cfRule>
    <cfRule type="cellIs" dxfId="1960" priority="74" operator="equal">
      <formula>"NOK"</formula>
    </cfRule>
    <cfRule type="cellIs" dxfId="1959" priority="75" operator="equal">
      <formula>"OK"</formula>
    </cfRule>
  </conditionalFormatting>
  <conditionalFormatting sqref="B14">
    <cfRule type="cellIs" dxfId="1958" priority="67" operator="equal">
      <formula>"NR"</formula>
    </cfRule>
    <cfRule type="cellIs" dxfId="1957" priority="68" operator="equal">
      <formula>"NOK"</formula>
    </cfRule>
    <cfRule type="cellIs" dxfId="1956" priority="69" operator="equal">
      <formula>"OK"</formula>
    </cfRule>
  </conditionalFormatting>
  <conditionalFormatting sqref="C18:C19">
    <cfRule type="cellIs" dxfId="1955" priority="64" operator="equal">
      <formula>"NR"</formula>
    </cfRule>
    <cfRule type="cellIs" dxfId="1954" priority="65" operator="equal">
      <formula>"NOK"</formula>
    </cfRule>
    <cfRule type="cellIs" dxfId="1953" priority="66" operator="equal">
      <formula>"OK"</formula>
    </cfRule>
  </conditionalFormatting>
  <conditionalFormatting sqref="C16">
    <cfRule type="cellIs" dxfId="1952" priority="58" operator="equal">
      <formula>"NR"</formula>
    </cfRule>
    <cfRule type="cellIs" dxfId="1951" priority="59" operator="equal">
      <formula>"NOK"</formula>
    </cfRule>
    <cfRule type="cellIs" dxfId="1950" priority="60" operator="equal">
      <formula>"OK"</formula>
    </cfRule>
  </conditionalFormatting>
  <conditionalFormatting sqref="C23">
    <cfRule type="cellIs" dxfId="1949" priority="43" operator="equal">
      <formula>"NR"</formula>
    </cfRule>
    <cfRule type="cellIs" dxfId="1948" priority="44" operator="equal">
      <formula>"NOK"</formula>
    </cfRule>
    <cfRule type="cellIs" dxfId="1947" priority="45" operator="equal">
      <formula>"OK"</formula>
    </cfRule>
  </conditionalFormatting>
  <conditionalFormatting sqref="B22 B24">
    <cfRule type="cellIs" dxfId="1946" priority="46" operator="equal">
      <formula>"NR"</formula>
    </cfRule>
    <cfRule type="cellIs" dxfId="1945" priority="47" operator="equal">
      <formula>"NOK"</formula>
    </cfRule>
    <cfRule type="cellIs" dxfId="1944" priority="48" operator="equal">
      <formula>"OK"</formula>
    </cfRule>
  </conditionalFormatting>
  <conditionalFormatting sqref="B20">
    <cfRule type="cellIs" dxfId="1943" priority="52" operator="equal">
      <formula>"NR"</formula>
    </cfRule>
    <cfRule type="cellIs" dxfId="1942" priority="53" operator="equal">
      <formula>"NOK"</formula>
    </cfRule>
    <cfRule type="cellIs" dxfId="1941" priority="54" operator="equal">
      <formula>"OK"</formula>
    </cfRule>
  </conditionalFormatting>
  <conditionalFormatting sqref="C25:C26">
    <cfRule type="cellIs" dxfId="1940" priority="49" operator="equal">
      <formula>"NR"</formula>
    </cfRule>
    <cfRule type="cellIs" dxfId="1939" priority="50" operator="equal">
      <formula>"NOK"</formula>
    </cfRule>
    <cfRule type="cellIs" dxfId="1938" priority="51" operator="equal">
      <formula>"OK"</formula>
    </cfRule>
  </conditionalFormatting>
  <conditionalFormatting sqref="B21">
    <cfRule type="cellIs" dxfId="1937" priority="40" operator="equal">
      <formula>"NR"</formula>
    </cfRule>
    <cfRule type="cellIs" dxfId="1936" priority="41" operator="equal">
      <formula>"NOK"</formula>
    </cfRule>
    <cfRule type="cellIs" dxfId="1935" priority="42" operator="equal">
      <formula>"OK"</formula>
    </cfRule>
  </conditionalFormatting>
  <conditionalFormatting sqref="B38">
    <cfRule type="cellIs" dxfId="1934" priority="25" operator="equal">
      <formula>"NR"</formula>
    </cfRule>
    <cfRule type="cellIs" dxfId="1933" priority="26" operator="equal">
      <formula>"NOK"</formula>
    </cfRule>
    <cfRule type="cellIs" dxfId="1932" priority="27" operator="equal">
      <formula>"OK"</formula>
    </cfRule>
  </conditionalFormatting>
  <conditionalFormatting sqref="C40">
    <cfRule type="cellIs" dxfId="1931" priority="28" operator="equal">
      <formula>"NR"</formula>
    </cfRule>
    <cfRule type="cellIs" dxfId="1930" priority="29" operator="equal">
      <formula>"NOK"</formula>
    </cfRule>
    <cfRule type="cellIs" dxfId="1929" priority="30" operator="equal">
      <formula>"OK"</formula>
    </cfRule>
  </conditionalFormatting>
  <conditionalFormatting sqref="B39 B41">
    <cfRule type="cellIs" dxfId="1928" priority="31" operator="equal">
      <formula>"NR"</formula>
    </cfRule>
    <cfRule type="cellIs" dxfId="1927" priority="32" operator="equal">
      <formula>"NOK"</formula>
    </cfRule>
    <cfRule type="cellIs" dxfId="1926" priority="33" operator="equal">
      <formula>"OK"</formula>
    </cfRule>
  </conditionalFormatting>
  <conditionalFormatting sqref="B37">
    <cfRule type="cellIs" dxfId="1925" priority="37" operator="equal">
      <formula>"NR"</formula>
    </cfRule>
    <cfRule type="cellIs" dxfId="1924" priority="38" operator="equal">
      <formula>"NOK"</formula>
    </cfRule>
    <cfRule type="cellIs" dxfId="1923" priority="39" operator="equal">
      <formula>"OK"</formula>
    </cfRule>
  </conditionalFormatting>
  <conditionalFormatting sqref="C42:C43">
    <cfRule type="cellIs" dxfId="1922" priority="34" operator="equal">
      <formula>"NR"</formula>
    </cfRule>
    <cfRule type="cellIs" dxfId="1921" priority="35" operator="equal">
      <formula>"NOK"</formula>
    </cfRule>
    <cfRule type="cellIs" dxfId="1920" priority="36" operator="equal">
      <formula>"OK"</formula>
    </cfRule>
  </conditionalFormatting>
  <conditionalFormatting sqref="B29">
    <cfRule type="cellIs" dxfId="1919" priority="16" operator="equal">
      <formula>"NR"</formula>
    </cfRule>
    <cfRule type="cellIs" dxfId="1918" priority="17" operator="equal">
      <formula>"NOK"</formula>
    </cfRule>
    <cfRule type="cellIs" dxfId="1917" priority="18" operator="equal">
      <formula>"OK"</formula>
    </cfRule>
  </conditionalFormatting>
  <conditionalFormatting sqref="B27:B28">
    <cfRule type="cellIs" dxfId="1916" priority="22" operator="equal">
      <formula>"NR"</formula>
    </cfRule>
    <cfRule type="cellIs" dxfId="1915" priority="23" operator="equal">
      <formula>"NOK"</formula>
    </cfRule>
    <cfRule type="cellIs" dxfId="1914" priority="24" operator="equal">
      <formula>"OK"</formula>
    </cfRule>
  </conditionalFormatting>
  <conditionalFormatting sqref="C30:C31">
    <cfRule type="cellIs" dxfId="1913" priority="19" operator="equal">
      <formula>"NR"</formula>
    </cfRule>
    <cfRule type="cellIs" dxfId="1912" priority="20" operator="equal">
      <formula>"NOK"</formula>
    </cfRule>
    <cfRule type="cellIs" dxfId="1911" priority="21" operator="equal">
      <formula>"OK"</formula>
    </cfRule>
  </conditionalFormatting>
  <conditionalFormatting sqref="B33">
    <cfRule type="cellIs" dxfId="1910" priority="1" operator="equal">
      <formula>"NR"</formula>
    </cfRule>
    <cfRule type="cellIs" dxfId="1909" priority="2" operator="equal">
      <formula>"NOK"</formula>
    </cfRule>
    <cfRule type="cellIs" dxfId="1908" priority="3" operator="equal">
      <formula>"OK"</formula>
    </cfRule>
  </conditionalFormatting>
  <conditionalFormatting sqref="B32">
    <cfRule type="cellIs" dxfId="1907" priority="7" operator="equal">
      <formula>"NR"</formula>
    </cfRule>
    <cfRule type="cellIs" dxfId="1906" priority="8" operator="equal">
      <formula>"NOK"</formula>
    </cfRule>
    <cfRule type="cellIs" dxfId="1905" priority="9" operator="equal">
      <formula>"OK"</formula>
    </cfRule>
  </conditionalFormatting>
  <conditionalFormatting sqref="C34:C35">
    <cfRule type="cellIs" dxfId="1904" priority="4" operator="equal">
      <formula>"NR"</formula>
    </cfRule>
    <cfRule type="cellIs" dxfId="1903" priority="5" operator="equal">
      <formula>"NOK"</formula>
    </cfRule>
    <cfRule type="cellIs" dxfId="1902" priority="6" operator="equal">
      <formula>"OK"</formula>
    </cfRule>
  </conditionalFormatting>
  <dataValidations count="1">
    <dataValidation type="list" allowBlank="1" showInputMessage="1" showErrorMessage="1" errorTitle="Remplissage Obligatoire" error="OK -&gt; Criteria Validated_x000a_NOK -&gt; Criteria Not Validated_x000a_NR -&gt; Impossiblity to check the criteria_x000a_NA -&gt; Impossiblity to validate the criteria" prompt="NO EMPTY CELLS" sqref="C61 C46:C59 C9:C10 C12:C13 C16 C18:C19 C40 C23 C42:C43 C25:C26 C30:C31 C34:C35" xr:uid="{63751A6B-B6A4-4DCE-8BE9-71A61FDEF4E0}">
      <formula1>"OK,NOK,NR,NA"</formula1>
    </dataValidation>
  </dataValidations>
  <pageMargins left="0.7" right="0.7" top="0.75" bottom="0.75" header="0.3" footer="0.3"/>
  <pageSetup paperSize="9" orientation="portrait" verticalDpi="598" r:id="rId1"/>
  <headerFooter>
    <oddFooter>&amp;R&amp;1#&amp;"Arial"&amp;10&amp;K000000Confidential 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6403C-EA91-42E3-B050-FC6133617E39}">
  <sheetPr codeName="Feuil19"/>
  <dimension ref="A1:T88"/>
  <sheetViews>
    <sheetView zoomScale="90" zoomScaleNormal="90" workbookViewId="0">
      <selection activeCell="D15" sqref="D15"/>
    </sheetView>
  </sheetViews>
  <sheetFormatPr baseColWidth="10" defaultColWidth="9.1796875" defaultRowHeight="14.5" x14ac:dyDescent="0.35"/>
  <cols>
    <col min="1" max="1" width="6.81640625" style="121" customWidth="1"/>
    <col min="2" max="2" width="33.1796875" style="122" customWidth="1"/>
    <col min="3" max="3" width="87.54296875" style="84" customWidth="1"/>
    <col min="4" max="4" width="80.81640625" style="84" customWidth="1"/>
    <col min="5" max="5" width="55.26953125" style="123" customWidth="1"/>
    <col min="6" max="6" width="50.1796875" style="84" customWidth="1"/>
    <col min="7" max="7" width="3.54296875" style="84" customWidth="1"/>
    <col min="8" max="16384" width="9.1796875" style="84"/>
  </cols>
  <sheetData>
    <row r="1" spans="1:20" ht="15" thickBot="1" x14ac:dyDescent="0.4">
      <c r="A1" s="82"/>
      <c r="B1" s="394" t="s">
        <v>585</v>
      </c>
      <c r="C1" s="395"/>
      <c r="D1" s="395"/>
      <c r="E1" s="395"/>
      <c r="F1" s="396"/>
      <c r="G1" s="83"/>
      <c r="H1" s="394" t="s">
        <v>535</v>
      </c>
      <c r="I1" s="395"/>
      <c r="J1" s="395"/>
      <c r="K1" s="395"/>
      <c r="L1" s="395"/>
      <c r="M1" s="395"/>
      <c r="N1" s="395"/>
      <c r="O1" s="395"/>
      <c r="P1" s="395"/>
      <c r="Q1" s="395"/>
      <c r="R1" s="395"/>
      <c r="S1" s="396"/>
      <c r="T1" s="83"/>
    </row>
    <row r="2" spans="1:20" ht="24" customHeight="1" thickBot="1" x14ac:dyDescent="0.4">
      <c r="A2" s="82"/>
      <c r="B2" s="85" t="s">
        <v>536</v>
      </c>
      <c r="C2" s="402" t="s">
        <v>586</v>
      </c>
      <c r="D2" s="402"/>
      <c r="E2" s="402"/>
      <c r="F2" s="403"/>
      <c r="G2" s="83"/>
      <c r="H2" s="404" t="s">
        <v>537</v>
      </c>
      <c r="I2" s="405"/>
      <c r="J2" s="405"/>
      <c r="K2" s="405"/>
      <c r="L2" s="405"/>
      <c r="M2" s="405"/>
      <c r="N2" s="405"/>
      <c r="O2" s="405"/>
      <c r="P2" s="405"/>
      <c r="Q2" s="405"/>
      <c r="R2" s="405"/>
      <c r="S2" s="406"/>
      <c r="T2" s="83"/>
    </row>
    <row r="3" spans="1:20" ht="15" thickBot="1" x14ac:dyDescent="0.4">
      <c r="A3" s="82"/>
      <c r="B3" s="83"/>
      <c r="C3" s="83"/>
      <c r="D3" s="83"/>
      <c r="E3" s="86"/>
      <c r="F3" s="83"/>
      <c r="G3" s="83"/>
      <c r="H3" s="407"/>
      <c r="I3" s="408"/>
      <c r="J3" s="408"/>
      <c r="K3" s="408"/>
      <c r="L3" s="408"/>
      <c r="M3" s="408"/>
      <c r="N3" s="408"/>
      <c r="O3" s="408"/>
      <c r="P3" s="408"/>
      <c r="Q3" s="408"/>
      <c r="R3" s="408"/>
      <c r="S3" s="409"/>
      <c r="T3" s="83"/>
    </row>
    <row r="4" spans="1:20" x14ac:dyDescent="0.35">
      <c r="A4" s="87"/>
      <c r="B4" s="404" t="s">
        <v>538</v>
      </c>
      <c r="C4" s="405"/>
      <c r="D4" s="405"/>
      <c r="E4" s="405"/>
      <c r="F4" s="406"/>
      <c r="G4" s="88"/>
      <c r="H4" s="410"/>
      <c r="I4" s="411"/>
      <c r="J4" s="411"/>
      <c r="K4" s="411"/>
      <c r="L4" s="411"/>
      <c r="M4" s="411"/>
      <c r="N4" s="411"/>
      <c r="O4" s="411"/>
      <c r="P4" s="411"/>
      <c r="Q4" s="411"/>
      <c r="R4" s="411"/>
      <c r="S4" s="412"/>
      <c r="T4" s="83"/>
    </row>
    <row r="5" spans="1:20" ht="18" customHeight="1" x14ac:dyDescent="0.35">
      <c r="A5" s="87"/>
      <c r="B5" s="89" t="s">
        <v>539</v>
      </c>
      <c r="C5" s="90" t="s">
        <v>540</v>
      </c>
      <c r="D5" s="90" t="s">
        <v>541</v>
      </c>
      <c r="E5" s="90" t="s">
        <v>542</v>
      </c>
      <c r="F5" s="91" t="s">
        <v>57</v>
      </c>
      <c r="G5" s="83"/>
      <c r="H5" s="410"/>
      <c r="I5" s="411"/>
      <c r="J5" s="411"/>
      <c r="K5" s="411"/>
      <c r="L5" s="411"/>
      <c r="M5" s="411"/>
      <c r="N5" s="411"/>
      <c r="O5" s="411"/>
      <c r="P5" s="411"/>
      <c r="Q5" s="411"/>
      <c r="R5" s="411"/>
      <c r="S5" s="412"/>
      <c r="T5" s="83"/>
    </row>
    <row r="6" spans="1:20" s="94" customFormat="1" ht="15.5" x14ac:dyDescent="0.35">
      <c r="A6" s="87"/>
      <c r="B6" s="92" t="s">
        <v>543</v>
      </c>
      <c r="C6" s="413" t="s">
        <v>587</v>
      </c>
      <c r="D6" s="414"/>
      <c r="E6" s="414"/>
      <c r="F6" s="415"/>
      <c r="G6" s="93"/>
      <c r="H6" s="410"/>
      <c r="I6" s="411"/>
      <c r="J6" s="411"/>
      <c r="K6" s="411"/>
      <c r="L6" s="411"/>
      <c r="M6" s="411"/>
      <c r="N6" s="411"/>
      <c r="O6" s="411"/>
      <c r="P6" s="411"/>
      <c r="Q6" s="411"/>
      <c r="R6" s="411"/>
      <c r="S6" s="412"/>
      <c r="T6" s="93"/>
    </row>
    <row r="7" spans="1:20" x14ac:dyDescent="0.35">
      <c r="A7" s="87"/>
      <c r="B7" s="95" t="s">
        <v>545</v>
      </c>
      <c r="C7" s="416" t="s">
        <v>588</v>
      </c>
      <c r="D7" s="417"/>
      <c r="E7" s="417"/>
      <c r="F7" s="418"/>
      <c r="G7" s="83"/>
      <c r="H7" s="410"/>
      <c r="I7" s="411"/>
      <c r="J7" s="411"/>
      <c r="K7" s="411"/>
      <c r="L7" s="411"/>
      <c r="M7" s="411"/>
      <c r="N7" s="411"/>
      <c r="O7" s="411"/>
      <c r="P7" s="411"/>
      <c r="Q7" s="411"/>
      <c r="R7" s="411"/>
      <c r="S7" s="412"/>
      <c r="T7" s="83"/>
    </row>
    <row r="8" spans="1:20" ht="29" x14ac:dyDescent="0.35">
      <c r="A8" s="87"/>
      <c r="B8" s="96" t="s">
        <v>122</v>
      </c>
      <c r="C8" s="97" t="s">
        <v>589</v>
      </c>
      <c r="D8" s="98"/>
      <c r="E8" s="99"/>
      <c r="F8" s="100"/>
      <c r="G8" s="83"/>
      <c r="H8" s="410"/>
      <c r="I8" s="411"/>
      <c r="J8" s="411"/>
      <c r="K8" s="411"/>
      <c r="L8" s="411"/>
      <c r="M8" s="411"/>
      <c r="N8" s="411"/>
      <c r="O8" s="411"/>
      <c r="P8" s="411"/>
      <c r="Q8" s="411"/>
      <c r="R8" s="411"/>
      <c r="S8" s="412"/>
      <c r="T8" s="83"/>
    </row>
    <row r="9" spans="1:20" x14ac:dyDescent="0.35">
      <c r="A9" s="87"/>
      <c r="B9" s="96" t="s">
        <v>552</v>
      </c>
      <c r="C9" s="97" t="s">
        <v>590</v>
      </c>
      <c r="D9" s="98"/>
      <c r="E9" s="98"/>
      <c r="F9" s="100"/>
      <c r="G9" s="83"/>
      <c r="H9" s="410"/>
      <c r="I9" s="411"/>
      <c r="J9" s="411"/>
      <c r="K9" s="411"/>
      <c r="L9" s="411"/>
      <c r="M9" s="411"/>
      <c r="N9" s="411"/>
      <c r="O9" s="411"/>
      <c r="P9" s="411"/>
      <c r="Q9" s="411"/>
      <c r="R9" s="411"/>
      <c r="S9" s="412"/>
      <c r="T9" s="83"/>
    </row>
    <row r="10" spans="1:20" x14ac:dyDescent="0.35">
      <c r="A10" s="87"/>
      <c r="B10" s="101" t="s">
        <v>95</v>
      </c>
      <c r="C10" s="129" t="s">
        <v>549</v>
      </c>
      <c r="D10" s="102" t="s">
        <v>591</v>
      </c>
      <c r="E10" s="103"/>
      <c r="F10" s="104"/>
      <c r="G10" s="83"/>
      <c r="H10" s="410"/>
      <c r="I10" s="411"/>
      <c r="J10" s="411"/>
      <c r="K10" s="411"/>
      <c r="L10" s="411"/>
      <c r="M10" s="411"/>
      <c r="N10" s="411"/>
      <c r="O10" s="411"/>
      <c r="P10" s="411"/>
      <c r="Q10" s="411"/>
      <c r="R10" s="411"/>
      <c r="S10" s="412"/>
      <c r="T10" s="83"/>
    </row>
    <row r="11" spans="1:20" ht="15" thickBot="1" x14ac:dyDescent="0.4">
      <c r="A11" s="87"/>
      <c r="B11" s="101" t="s">
        <v>95</v>
      </c>
      <c r="C11" s="107" t="s">
        <v>549</v>
      </c>
      <c r="D11" s="108" t="s">
        <v>592</v>
      </c>
      <c r="E11" s="109"/>
      <c r="F11" s="110"/>
      <c r="G11" s="83"/>
      <c r="H11" s="410"/>
      <c r="I11" s="411"/>
      <c r="J11" s="411"/>
      <c r="K11" s="411"/>
      <c r="L11" s="411"/>
      <c r="M11" s="411"/>
      <c r="N11" s="411"/>
      <c r="O11" s="411"/>
      <c r="P11" s="411"/>
      <c r="Q11" s="411"/>
      <c r="R11" s="411"/>
      <c r="S11" s="412"/>
      <c r="T11" s="83"/>
    </row>
    <row r="12" spans="1:20" s="94" customFormat="1" ht="15.5" x14ac:dyDescent="0.35">
      <c r="A12" s="87"/>
      <c r="B12" s="92" t="s">
        <v>565</v>
      </c>
      <c r="C12" s="413" t="s">
        <v>593</v>
      </c>
      <c r="D12" s="414"/>
      <c r="E12" s="414"/>
      <c r="F12" s="415"/>
      <c r="G12" s="93"/>
      <c r="H12" s="130"/>
      <c r="I12" s="130"/>
      <c r="J12" s="130"/>
      <c r="K12" s="130"/>
      <c r="L12" s="130"/>
      <c r="M12" s="130"/>
      <c r="N12" s="130"/>
      <c r="O12" s="130"/>
      <c r="P12" s="130"/>
      <c r="Q12" s="130"/>
      <c r="R12" s="130"/>
      <c r="S12" s="130"/>
      <c r="T12" s="93"/>
    </row>
    <row r="13" spans="1:20" x14ac:dyDescent="0.35">
      <c r="A13" s="87"/>
      <c r="B13" s="95" t="s">
        <v>545</v>
      </c>
      <c r="C13" s="416" t="s">
        <v>588</v>
      </c>
      <c r="D13" s="417"/>
      <c r="E13" s="417"/>
      <c r="F13" s="418"/>
      <c r="G13" s="83"/>
      <c r="H13" s="130"/>
      <c r="I13" s="130"/>
      <c r="J13" s="130"/>
      <c r="K13" s="130"/>
      <c r="L13" s="130"/>
      <c r="M13" s="130"/>
      <c r="N13" s="130"/>
      <c r="O13" s="130"/>
      <c r="P13" s="130"/>
      <c r="Q13" s="130"/>
      <c r="R13" s="130"/>
      <c r="S13" s="130"/>
      <c r="T13" s="83"/>
    </row>
    <row r="14" spans="1:20" ht="29" x14ac:dyDescent="0.35">
      <c r="A14" s="87"/>
      <c r="B14" s="96" t="s">
        <v>568</v>
      </c>
      <c r="C14" s="97" t="s">
        <v>589</v>
      </c>
      <c r="D14" s="98"/>
      <c r="E14" s="99"/>
      <c r="F14" s="100"/>
      <c r="G14" s="83"/>
      <c r="H14" s="130"/>
      <c r="I14" s="130"/>
      <c r="J14" s="130"/>
      <c r="K14" s="130"/>
      <c r="L14" s="130"/>
      <c r="M14" s="130"/>
      <c r="N14" s="130"/>
      <c r="O14" s="130"/>
      <c r="P14" s="130"/>
      <c r="Q14" s="130"/>
      <c r="R14" s="130"/>
      <c r="S14" s="130"/>
      <c r="T14" s="83"/>
    </row>
    <row r="15" spans="1:20" x14ac:dyDescent="0.35">
      <c r="A15" s="87"/>
      <c r="B15" s="96" t="s">
        <v>571</v>
      </c>
      <c r="C15" s="97" t="s">
        <v>594</v>
      </c>
      <c r="D15" s="98"/>
      <c r="E15" s="98"/>
      <c r="F15" s="100"/>
      <c r="G15" s="83"/>
      <c r="H15" s="130"/>
      <c r="I15" s="130"/>
      <c r="J15" s="130"/>
      <c r="K15" s="130"/>
      <c r="L15" s="130"/>
      <c r="M15" s="130"/>
      <c r="N15" s="130"/>
      <c r="O15" s="130"/>
      <c r="P15" s="130"/>
      <c r="Q15" s="130"/>
      <c r="R15" s="130"/>
      <c r="S15" s="130"/>
      <c r="T15" s="83"/>
    </row>
    <row r="16" spans="1:20" x14ac:dyDescent="0.35">
      <c r="A16" s="87"/>
      <c r="B16" s="101" t="s">
        <v>95</v>
      </c>
      <c r="C16" s="129" t="s">
        <v>549</v>
      </c>
      <c r="D16" s="102" t="s">
        <v>591</v>
      </c>
      <c r="E16" s="103"/>
      <c r="F16" s="104"/>
      <c r="G16" s="83"/>
      <c r="H16" s="130"/>
      <c r="I16" s="130"/>
      <c r="J16" s="130"/>
      <c r="K16" s="130"/>
      <c r="L16" s="130"/>
      <c r="M16" s="130"/>
      <c r="N16" s="130"/>
      <c r="O16" s="130"/>
      <c r="P16" s="130"/>
      <c r="Q16" s="130"/>
      <c r="R16" s="130"/>
      <c r="S16" s="130"/>
      <c r="T16" s="83"/>
    </row>
    <row r="17" spans="1:20" ht="15" thickBot="1" x14ac:dyDescent="0.4">
      <c r="A17" s="87"/>
      <c r="B17" s="101" t="s">
        <v>95</v>
      </c>
      <c r="C17" s="107" t="s">
        <v>549</v>
      </c>
      <c r="D17" s="108" t="s">
        <v>592</v>
      </c>
      <c r="E17" s="109"/>
      <c r="F17" s="110"/>
      <c r="G17" s="83"/>
      <c r="H17" s="130"/>
      <c r="I17" s="130"/>
      <c r="J17" s="130"/>
      <c r="K17" s="130"/>
      <c r="L17" s="130"/>
      <c r="M17" s="130"/>
      <c r="N17" s="130"/>
      <c r="O17" s="130"/>
      <c r="P17" s="130"/>
      <c r="Q17" s="130"/>
      <c r="R17" s="130"/>
      <c r="S17" s="130"/>
      <c r="T17" s="83"/>
    </row>
    <row r="18" spans="1:20" s="94" customFormat="1" ht="15.5" x14ac:dyDescent="0.35">
      <c r="A18" s="87"/>
      <c r="B18" s="92" t="s">
        <v>573</v>
      </c>
      <c r="C18" s="413" t="s">
        <v>595</v>
      </c>
      <c r="D18" s="414"/>
      <c r="E18" s="414"/>
      <c r="F18" s="415"/>
      <c r="G18" s="93"/>
      <c r="H18" s="130"/>
      <c r="I18" s="130"/>
      <c r="J18" s="130"/>
      <c r="K18" s="130"/>
      <c r="L18" s="130"/>
      <c r="M18" s="130"/>
      <c r="N18" s="130"/>
      <c r="O18" s="130"/>
      <c r="P18" s="130"/>
      <c r="Q18" s="130"/>
      <c r="R18" s="130"/>
      <c r="S18" s="130"/>
      <c r="T18" s="93"/>
    </row>
    <row r="19" spans="1:20" x14ac:dyDescent="0.35">
      <c r="A19" s="87"/>
      <c r="B19" s="95" t="s">
        <v>545</v>
      </c>
      <c r="C19" s="416" t="s">
        <v>596</v>
      </c>
      <c r="D19" s="417"/>
      <c r="E19" s="417"/>
      <c r="F19" s="418"/>
      <c r="G19" s="83"/>
      <c r="H19" s="130"/>
      <c r="I19" s="130"/>
      <c r="J19" s="130"/>
      <c r="K19" s="130"/>
      <c r="L19" s="130"/>
      <c r="M19" s="130"/>
      <c r="N19" s="130"/>
      <c r="O19" s="130"/>
      <c r="P19" s="130"/>
      <c r="Q19" s="130"/>
      <c r="R19" s="130"/>
      <c r="S19" s="130"/>
      <c r="T19" s="83"/>
    </row>
    <row r="20" spans="1:20" ht="29" x14ac:dyDescent="0.35">
      <c r="A20" s="87"/>
      <c r="B20" s="96" t="s">
        <v>575</v>
      </c>
      <c r="C20" s="97" t="s">
        <v>589</v>
      </c>
      <c r="D20" s="98"/>
      <c r="E20" s="99"/>
      <c r="F20" s="100"/>
      <c r="G20" s="83"/>
      <c r="H20" s="130"/>
      <c r="I20" s="130"/>
      <c r="J20" s="130"/>
      <c r="K20" s="130"/>
      <c r="L20" s="130"/>
      <c r="M20" s="130"/>
      <c r="N20" s="130"/>
      <c r="O20" s="130"/>
      <c r="P20" s="130"/>
      <c r="Q20" s="130"/>
      <c r="R20" s="130"/>
      <c r="S20" s="130"/>
      <c r="T20" s="83"/>
    </row>
    <row r="21" spans="1:20" x14ac:dyDescent="0.35">
      <c r="A21" s="87"/>
      <c r="B21" s="96" t="s">
        <v>576</v>
      </c>
      <c r="C21" s="97" t="s">
        <v>597</v>
      </c>
      <c r="D21" s="98"/>
      <c r="E21" s="99"/>
      <c r="F21" s="100"/>
      <c r="G21" s="83"/>
      <c r="H21" s="130"/>
      <c r="I21" s="130"/>
      <c r="J21" s="130"/>
      <c r="K21" s="130"/>
      <c r="L21" s="130"/>
      <c r="M21" s="130"/>
      <c r="N21" s="130"/>
      <c r="O21" s="130"/>
      <c r="P21" s="130"/>
      <c r="Q21" s="130"/>
      <c r="R21" s="130"/>
      <c r="S21" s="130"/>
      <c r="T21" s="83"/>
    </row>
    <row r="22" spans="1:20" x14ac:dyDescent="0.35">
      <c r="A22" s="87"/>
      <c r="B22" s="96" t="s">
        <v>577</v>
      </c>
      <c r="C22" s="97" t="s">
        <v>590</v>
      </c>
      <c r="D22" s="98"/>
      <c r="E22" s="98"/>
      <c r="F22" s="100"/>
      <c r="G22" s="83"/>
      <c r="H22" s="130"/>
      <c r="I22" s="130"/>
      <c r="J22" s="130"/>
      <c r="K22" s="130"/>
      <c r="L22" s="130"/>
      <c r="M22" s="130"/>
      <c r="N22" s="130"/>
      <c r="O22" s="130"/>
      <c r="P22" s="130"/>
      <c r="Q22" s="130"/>
      <c r="R22" s="130"/>
      <c r="S22" s="130"/>
      <c r="T22" s="83"/>
    </row>
    <row r="23" spans="1:20" x14ac:dyDescent="0.35">
      <c r="A23" s="87"/>
      <c r="B23" s="101" t="s">
        <v>95</v>
      </c>
      <c r="C23" s="129" t="s">
        <v>549</v>
      </c>
      <c r="D23" s="102" t="s">
        <v>591</v>
      </c>
      <c r="E23" s="103"/>
      <c r="F23" s="104"/>
      <c r="G23" s="83"/>
      <c r="H23" s="130"/>
      <c r="I23" s="130"/>
      <c r="J23" s="130"/>
      <c r="K23" s="130"/>
      <c r="L23" s="130"/>
      <c r="M23" s="130"/>
      <c r="N23" s="130"/>
      <c r="O23" s="130"/>
      <c r="P23" s="130"/>
      <c r="Q23" s="130"/>
      <c r="R23" s="130"/>
      <c r="S23" s="130"/>
      <c r="T23" s="83"/>
    </row>
    <row r="24" spans="1:20" ht="15" thickBot="1" x14ac:dyDescent="0.4">
      <c r="A24" s="87"/>
      <c r="B24" s="106" t="s">
        <v>95</v>
      </c>
      <c r="C24" s="107" t="s">
        <v>549</v>
      </c>
      <c r="D24" s="108" t="s">
        <v>592</v>
      </c>
      <c r="E24" s="109"/>
      <c r="F24" s="110"/>
      <c r="G24" s="83"/>
      <c r="H24" s="130"/>
      <c r="I24" s="130"/>
      <c r="J24" s="130"/>
      <c r="K24" s="130"/>
      <c r="L24" s="130"/>
      <c r="M24" s="130"/>
      <c r="N24" s="130"/>
      <c r="O24" s="130"/>
      <c r="P24" s="130"/>
      <c r="Q24" s="130"/>
      <c r="R24" s="130"/>
      <c r="S24" s="130"/>
      <c r="T24" s="83"/>
    </row>
    <row r="25" spans="1:20" ht="15" thickBot="1" x14ac:dyDescent="0.4">
      <c r="A25" s="105"/>
      <c r="B25" s="83"/>
      <c r="C25" s="88"/>
      <c r="D25" s="88"/>
      <c r="E25" s="111"/>
      <c r="F25" s="88"/>
      <c r="G25" s="88"/>
      <c r="H25" s="88"/>
      <c r="I25" s="88"/>
      <c r="J25" s="88"/>
      <c r="K25" s="88"/>
      <c r="L25" s="88"/>
      <c r="M25" s="88"/>
      <c r="N25" s="88"/>
      <c r="O25" s="88"/>
      <c r="P25" s="88"/>
      <c r="Q25" s="88"/>
      <c r="R25" s="88"/>
      <c r="S25" s="88"/>
      <c r="T25" s="88"/>
    </row>
    <row r="26" spans="1:20" ht="15" thickBot="1" x14ac:dyDescent="0.4">
      <c r="A26" s="105"/>
      <c r="B26" s="404" t="s">
        <v>579</v>
      </c>
      <c r="C26" s="405"/>
      <c r="D26" s="405"/>
      <c r="E26" s="405"/>
      <c r="F26" s="406"/>
      <c r="G26" s="88"/>
      <c r="H26" s="88"/>
      <c r="I26" s="88"/>
      <c r="J26" s="88"/>
      <c r="K26" s="88"/>
      <c r="L26" s="88"/>
      <c r="M26" s="88"/>
      <c r="N26" s="88"/>
      <c r="O26" s="88"/>
      <c r="P26" s="88"/>
      <c r="Q26" s="88"/>
      <c r="R26" s="88"/>
      <c r="S26" s="88"/>
      <c r="T26" s="88"/>
    </row>
    <row r="27" spans="1:20" x14ac:dyDescent="0.35">
      <c r="A27" s="105"/>
      <c r="B27" s="239" t="s">
        <v>95</v>
      </c>
      <c r="C27" s="419" t="str">
        <f>IF(AND(D47=0,D48=0,D49=0),"NA",IF(AND(D47&gt;0,D48=0),"NR",IF(D48&gt;0,"NOK","OK")))</f>
        <v>NR</v>
      </c>
      <c r="D27" s="419"/>
      <c r="E27" s="419"/>
      <c r="F27" s="420"/>
      <c r="G27" s="88"/>
      <c r="H27" s="88"/>
      <c r="I27" s="88"/>
      <c r="J27" s="88"/>
      <c r="K27" s="88"/>
      <c r="L27" s="88"/>
      <c r="M27" s="88"/>
      <c r="N27" s="88"/>
      <c r="O27" s="88"/>
      <c r="P27" s="88"/>
      <c r="Q27" s="88"/>
      <c r="R27" s="88"/>
      <c r="S27" s="88"/>
      <c r="T27" s="88"/>
    </row>
    <row r="28" spans="1:20" x14ac:dyDescent="0.35">
      <c r="A28" s="105"/>
      <c r="B28" s="113"/>
      <c r="C28" s="392" t="str">
        <f>IF(AND(D50=0,D51=0,D52=0),"NA",IF(AND(D50&gt;0,D51=0),"NR",IF(D51&gt;0,"NOK","OK")))</f>
        <v>NA</v>
      </c>
      <c r="D28" s="392"/>
      <c r="E28" s="392"/>
      <c r="F28" s="393"/>
      <c r="G28" s="88"/>
      <c r="H28" s="88"/>
      <c r="I28" s="88"/>
      <c r="J28" s="88"/>
      <c r="K28" s="88"/>
      <c r="L28" s="88"/>
      <c r="M28" s="88"/>
      <c r="N28" s="88"/>
      <c r="O28" s="88"/>
      <c r="P28" s="88"/>
      <c r="Q28" s="88"/>
      <c r="R28" s="88"/>
      <c r="S28" s="88"/>
      <c r="T28" s="88"/>
    </row>
    <row r="29" spans="1:20" x14ac:dyDescent="0.35">
      <c r="A29" s="105"/>
      <c r="B29" s="113"/>
      <c r="C29" s="392" t="str">
        <f>IF(AND(D53=0,D54=0,D55=0),"NA",IF(AND(D53&gt;0,D54=0),"NR",IF(D54&gt;0,"NOK","OK")))</f>
        <v>NA</v>
      </c>
      <c r="D29" s="392"/>
      <c r="E29" s="392"/>
      <c r="F29" s="393"/>
      <c r="G29" s="88"/>
      <c r="H29" s="88"/>
      <c r="I29" s="88"/>
      <c r="J29" s="88"/>
      <c r="K29" s="88"/>
      <c r="L29" s="88"/>
      <c r="M29" s="88"/>
      <c r="N29" s="88"/>
      <c r="O29" s="88"/>
      <c r="P29" s="88"/>
      <c r="Q29" s="88"/>
      <c r="R29" s="88"/>
      <c r="S29" s="88"/>
      <c r="T29" s="88"/>
    </row>
    <row r="30" spans="1:20" x14ac:dyDescent="0.35">
      <c r="A30" s="105"/>
      <c r="B30" s="113"/>
      <c r="C30" s="392" t="str">
        <f>IF(AND(D56=0,D57=0,D58=0),"NA",IF(AND(D56&gt;0,D57=0),"NR",IF(D57&gt;0,"NOK","OK")))</f>
        <v>NA</v>
      </c>
      <c r="D30" s="392"/>
      <c r="E30" s="392"/>
      <c r="F30" s="393"/>
      <c r="G30" s="88"/>
      <c r="H30" s="88"/>
      <c r="I30" s="88"/>
      <c r="J30" s="88"/>
      <c r="K30" s="88"/>
      <c r="L30" s="88"/>
      <c r="M30" s="88"/>
      <c r="N30" s="88"/>
      <c r="O30" s="88"/>
      <c r="P30" s="88"/>
      <c r="Q30" s="88"/>
      <c r="R30" s="88"/>
      <c r="S30" s="88"/>
      <c r="T30" s="88"/>
    </row>
    <row r="31" spans="1:20" x14ac:dyDescent="0.35">
      <c r="A31" s="105"/>
      <c r="B31" s="113"/>
      <c r="C31" s="392" t="str">
        <f>IF(AND(D59=0,D60=0,D61=0),"NA",IF(AND(D59&gt;0,D60=0),"NR",IF(D60&gt;0,"NOK","OK")))</f>
        <v>NA</v>
      </c>
      <c r="D31" s="392"/>
      <c r="E31" s="392"/>
      <c r="F31" s="393"/>
      <c r="G31" s="88"/>
      <c r="H31" s="88"/>
      <c r="I31" s="88"/>
      <c r="J31" s="88"/>
      <c r="K31" s="88"/>
      <c r="L31" s="88"/>
      <c r="M31" s="88"/>
      <c r="N31" s="88"/>
      <c r="O31" s="88"/>
      <c r="P31" s="88"/>
      <c r="Q31" s="88"/>
      <c r="R31" s="88"/>
      <c r="S31" s="88"/>
      <c r="T31" s="88"/>
    </row>
    <row r="32" spans="1:20" x14ac:dyDescent="0.35">
      <c r="A32" s="105"/>
      <c r="B32" s="113"/>
      <c r="C32" s="392" t="str">
        <f>IF(AND(D62=0,D63=0,D64=0),"NA",IF(AND(D62&gt;0,D63=0),"NR",IF(D63&gt;0,"NOK","OK")))</f>
        <v>NA</v>
      </c>
      <c r="D32" s="392"/>
      <c r="E32" s="392"/>
      <c r="F32" s="393"/>
      <c r="G32" s="88"/>
      <c r="H32" s="88"/>
      <c r="I32" s="88"/>
      <c r="J32" s="88"/>
      <c r="K32" s="88"/>
      <c r="L32" s="88"/>
      <c r="M32" s="88"/>
      <c r="N32" s="88"/>
      <c r="O32" s="88"/>
      <c r="P32" s="88"/>
      <c r="Q32" s="88"/>
      <c r="R32" s="88"/>
      <c r="S32" s="88"/>
      <c r="T32" s="88"/>
    </row>
    <row r="33" spans="1:20" x14ac:dyDescent="0.35">
      <c r="A33" s="105"/>
      <c r="B33" s="113"/>
      <c r="C33" s="392" t="str">
        <f>IF(AND(D65=0,D66=0,D67=0),"NA",IF(AND(D65&gt;0,D66=0),"NR",IF(D66&gt;0,"NOK","OK")))</f>
        <v>NA</v>
      </c>
      <c r="D33" s="392"/>
      <c r="E33" s="392"/>
      <c r="F33" s="393"/>
      <c r="G33" s="88"/>
      <c r="H33" s="88"/>
      <c r="I33" s="88"/>
      <c r="J33" s="88"/>
      <c r="K33" s="88"/>
      <c r="L33" s="88"/>
      <c r="M33" s="88"/>
      <c r="N33" s="88"/>
      <c r="O33" s="88"/>
      <c r="P33" s="88"/>
      <c r="Q33" s="88"/>
      <c r="R33" s="88"/>
      <c r="S33" s="88"/>
      <c r="T33" s="88"/>
    </row>
    <row r="34" spans="1:20" x14ac:dyDescent="0.35">
      <c r="A34" s="105"/>
      <c r="B34" s="113"/>
      <c r="C34" s="392" t="str">
        <f>IF(AND(D68=0,D69=0,D70=0),"NA",IF(AND(D68&gt;0,D69=0),"NR",IF(D69&gt;0,"NOK","OK")))</f>
        <v>NA</v>
      </c>
      <c r="D34" s="392"/>
      <c r="E34" s="392"/>
      <c r="F34" s="393"/>
      <c r="G34" s="88"/>
      <c r="H34" s="88"/>
      <c r="I34" s="88"/>
      <c r="J34" s="88"/>
      <c r="K34" s="88"/>
      <c r="L34" s="88"/>
      <c r="M34" s="88"/>
      <c r="N34" s="88"/>
      <c r="O34" s="88"/>
      <c r="P34" s="88"/>
      <c r="Q34" s="88"/>
      <c r="R34" s="88"/>
      <c r="S34" s="88"/>
      <c r="T34" s="88"/>
    </row>
    <row r="35" spans="1:20" x14ac:dyDescent="0.35">
      <c r="A35" s="105"/>
      <c r="B35" s="113"/>
      <c r="C35" s="392" t="str">
        <f>IF(AND(D71=0,D72=0,D73=0),"NA",IF(AND(D71&gt;0,D72=0),"NR",IF(D72&gt;0,"NOK","OK")))</f>
        <v>NA</v>
      </c>
      <c r="D35" s="392"/>
      <c r="E35" s="392"/>
      <c r="F35" s="393"/>
      <c r="G35" s="88"/>
      <c r="H35" s="88"/>
      <c r="I35" s="88"/>
      <c r="J35" s="88"/>
      <c r="K35" s="88"/>
      <c r="L35" s="88"/>
      <c r="M35" s="88"/>
      <c r="N35" s="88"/>
      <c r="O35" s="88"/>
      <c r="P35" s="88"/>
      <c r="Q35" s="88"/>
      <c r="R35" s="88"/>
      <c r="S35" s="88"/>
      <c r="T35" s="88"/>
    </row>
    <row r="36" spans="1:20" x14ac:dyDescent="0.35">
      <c r="A36" s="105"/>
      <c r="B36" s="113"/>
      <c r="C36" s="392" t="str">
        <f>IF(AND(D74=0,D75=0,D76=0),"NA",IF(AND(D74&gt;0,D75=0),"NR",IF(D75&gt;0,"NOK","OK")))</f>
        <v>NA</v>
      </c>
      <c r="D36" s="392"/>
      <c r="E36" s="392"/>
      <c r="F36" s="393"/>
      <c r="G36" s="88"/>
      <c r="H36" s="88"/>
      <c r="I36" s="88"/>
      <c r="J36" s="88"/>
      <c r="K36" s="88"/>
      <c r="L36" s="88"/>
      <c r="M36" s="88"/>
      <c r="N36" s="88"/>
      <c r="O36" s="88"/>
      <c r="P36" s="88"/>
      <c r="Q36" s="88"/>
      <c r="R36" s="88"/>
      <c r="S36" s="88"/>
      <c r="T36" s="88"/>
    </row>
    <row r="37" spans="1:20" x14ac:dyDescent="0.35">
      <c r="A37" s="105"/>
      <c r="B37" s="113"/>
      <c r="C37" s="392" t="str">
        <f>IF(AND(D77=0,D78=0,D79=0),"NA",IF(AND(D77&gt;0,D78=0),"NR",IF(D78&gt;0,"NOK","OK")))</f>
        <v>NA</v>
      </c>
      <c r="D37" s="392"/>
      <c r="E37" s="392"/>
      <c r="F37" s="393"/>
      <c r="G37" s="88"/>
      <c r="H37" s="88"/>
      <c r="I37" s="88"/>
      <c r="J37" s="88"/>
      <c r="K37" s="88"/>
      <c r="L37" s="88"/>
      <c r="M37" s="88"/>
      <c r="N37" s="88"/>
      <c r="O37" s="88"/>
      <c r="P37" s="88"/>
      <c r="Q37" s="88"/>
      <c r="R37" s="88"/>
      <c r="S37" s="88"/>
      <c r="T37" s="88"/>
    </row>
    <row r="38" spans="1:20" x14ac:dyDescent="0.35">
      <c r="A38" s="105"/>
      <c r="B38" s="113"/>
      <c r="C38" s="392" t="str">
        <f>IF(AND(D80=0,D81=0,D82=0),"NA",IF(AND(D80&gt;0,D81=0),"NR",IF(D81&gt;0,"NOK","OK")))</f>
        <v>NA</v>
      </c>
      <c r="D38" s="392"/>
      <c r="E38" s="392"/>
      <c r="F38" s="393"/>
      <c r="G38" s="88"/>
      <c r="H38" s="88"/>
      <c r="I38" s="88"/>
      <c r="J38" s="88"/>
      <c r="K38" s="88"/>
      <c r="L38" s="88"/>
      <c r="M38" s="88"/>
      <c r="N38" s="88"/>
      <c r="O38" s="88"/>
      <c r="P38" s="88"/>
      <c r="Q38" s="88"/>
      <c r="R38" s="88"/>
      <c r="S38" s="88"/>
      <c r="T38" s="88"/>
    </row>
    <row r="39" spans="1:20" ht="15" thickBot="1" x14ac:dyDescent="0.4">
      <c r="A39" s="105"/>
      <c r="B39" s="114"/>
      <c r="C39" s="400" t="str">
        <f>IF(AND(D83=0,D84=0,D85=0),"NA",IF(AND(D83&gt;0,D84=0),"NR",IF(D84&gt;0,"NOK","OK")))</f>
        <v>NA</v>
      </c>
      <c r="D39" s="400"/>
      <c r="E39" s="400"/>
      <c r="F39" s="401"/>
      <c r="G39" s="88"/>
      <c r="H39" s="88"/>
      <c r="I39" s="88"/>
      <c r="J39" s="88"/>
      <c r="K39" s="88"/>
      <c r="L39" s="88"/>
      <c r="M39" s="88"/>
      <c r="N39" s="88"/>
      <c r="O39" s="88"/>
      <c r="P39" s="88"/>
      <c r="Q39" s="88"/>
      <c r="R39" s="88"/>
      <c r="S39" s="88"/>
      <c r="T39" s="88"/>
    </row>
    <row r="40" spans="1:20" ht="15" thickBot="1" x14ac:dyDescent="0.4">
      <c r="A40" s="105"/>
      <c r="B40" s="115"/>
      <c r="C40" s="116"/>
      <c r="D40" s="116"/>
      <c r="E40" s="117"/>
      <c r="F40" s="116"/>
      <c r="G40" s="88"/>
      <c r="H40" s="88"/>
      <c r="I40" s="88"/>
      <c r="J40" s="88"/>
      <c r="K40" s="88"/>
      <c r="L40" s="88"/>
      <c r="M40" s="88"/>
      <c r="N40" s="88"/>
      <c r="O40" s="88"/>
      <c r="P40" s="88"/>
      <c r="Q40" s="88"/>
      <c r="R40" s="88"/>
      <c r="S40" s="88"/>
      <c r="T40" s="88"/>
    </row>
    <row r="41" spans="1:20" ht="15" thickBot="1" x14ac:dyDescent="0.4">
      <c r="A41" s="105"/>
      <c r="B41" s="394" t="s">
        <v>580</v>
      </c>
      <c r="C41" s="395"/>
      <c r="D41" s="395"/>
      <c r="E41" s="395"/>
      <c r="F41" s="396"/>
      <c r="G41" s="88"/>
      <c r="H41" s="88"/>
      <c r="I41" s="88"/>
      <c r="J41" s="88"/>
      <c r="K41" s="88"/>
      <c r="L41" s="88"/>
      <c r="M41" s="88"/>
      <c r="N41" s="88"/>
      <c r="O41" s="88"/>
      <c r="P41" s="88"/>
      <c r="Q41" s="88"/>
      <c r="R41" s="88"/>
      <c r="S41" s="88"/>
      <c r="T41" s="88"/>
    </row>
    <row r="42" spans="1:20" ht="31.5" thickBot="1" x14ac:dyDescent="0.4">
      <c r="A42" s="105"/>
      <c r="B42" s="118" t="s">
        <v>598</v>
      </c>
      <c r="C42" s="119" t="str">
        <f>IF(AND(COUNTIF(C27:C38,"NOK")=0,COUNTIF(C27:C38,"OK")=0,COUNTIF(C27:C38,"NR")=0),"NA",IF(AND(COUNTIF(C27:C38,"NR")&gt;0,COUNTIF(C27:C38,"NOK")=0),"NR",IF(COUNTIF(C27:C38,"NOK")&gt;0,"NOK","OK")))</f>
        <v>NR</v>
      </c>
      <c r="D42" s="397" t="s">
        <v>57</v>
      </c>
      <c r="E42" s="398"/>
      <c r="F42" s="399"/>
      <c r="G42" s="88"/>
      <c r="H42" s="88"/>
      <c r="I42" s="88"/>
      <c r="J42" s="88"/>
      <c r="K42" s="88"/>
      <c r="L42" s="88"/>
      <c r="M42" s="88"/>
      <c r="N42" s="88"/>
      <c r="O42" s="88"/>
      <c r="P42" s="88"/>
      <c r="Q42" s="88"/>
      <c r="R42" s="88"/>
      <c r="S42" s="88"/>
      <c r="T42" s="88"/>
    </row>
    <row r="43" spans="1:20" x14ac:dyDescent="0.35">
      <c r="A43" s="105"/>
      <c r="B43" s="83"/>
      <c r="C43" s="88"/>
      <c r="D43" s="88"/>
      <c r="E43" s="111"/>
      <c r="F43" s="88"/>
      <c r="G43" s="88"/>
      <c r="H43" s="88"/>
      <c r="I43" s="88"/>
      <c r="J43" s="88"/>
      <c r="K43" s="88"/>
      <c r="L43" s="88"/>
      <c r="M43" s="88"/>
      <c r="N43" s="88"/>
      <c r="O43" s="88"/>
      <c r="P43" s="88"/>
      <c r="Q43" s="88"/>
      <c r="R43" s="88"/>
      <c r="S43" s="88"/>
      <c r="T43" s="88"/>
    </row>
    <row r="44" spans="1:20" x14ac:dyDescent="0.35">
      <c r="A44" s="105"/>
      <c r="B44" s="83"/>
      <c r="C44" s="88"/>
      <c r="D44" s="88"/>
      <c r="E44" s="111"/>
      <c r="F44" s="88"/>
      <c r="G44" s="88"/>
      <c r="H44" s="88"/>
      <c r="I44" s="88"/>
      <c r="J44" s="88"/>
      <c r="K44" s="88"/>
      <c r="L44" s="88"/>
      <c r="M44" s="88"/>
      <c r="N44" s="88"/>
      <c r="O44" s="88"/>
      <c r="P44" s="88"/>
      <c r="Q44" s="88"/>
      <c r="R44" s="88"/>
      <c r="S44" s="88"/>
      <c r="T44" s="88"/>
    </row>
    <row r="45" spans="1:20" x14ac:dyDescent="0.35">
      <c r="A45" s="105"/>
      <c r="B45" s="83"/>
      <c r="C45" s="88"/>
      <c r="D45" s="88"/>
      <c r="E45" s="111"/>
      <c r="F45" s="88"/>
      <c r="G45" s="88"/>
      <c r="H45" s="88"/>
      <c r="I45" s="88"/>
      <c r="J45" s="88"/>
      <c r="K45" s="88"/>
      <c r="L45" s="88"/>
      <c r="M45" s="88"/>
      <c r="N45" s="88"/>
      <c r="O45" s="88"/>
      <c r="P45" s="88"/>
      <c r="Q45" s="88"/>
      <c r="R45" s="88"/>
      <c r="S45" s="88"/>
      <c r="T45" s="88"/>
    </row>
    <row r="46" spans="1:20" x14ac:dyDescent="0.35">
      <c r="A46" s="105"/>
      <c r="B46" s="391" t="s">
        <v>582</v>
      </c>
      <c r="C46" s="391"/>
      <c r="D46" s="391"/>
      <c r="E46" s="88"/>
      <c r="F46" s="88"/>
      <c r="G46" s="88"/>
      <c r="H46" s="88"/>
      <c r="I46" s="88"/>
      <c r="J46" s="88"/>
      <c r="K46" s="88"/>
      <c r="L46" s="88"/>
      <c r="M46" s="88"/>
      <c r="N46" s="88"/>
      <c r="O46" s="88"/>
      <c r="P46" s="88"/>
      <c r="Q46" s="88"/>
      <c r="R46" s="88"/>
      <c r="S46" s="88"/>
      <c r="T46" s="88"/>
    </row>
    <row r="47" spans="1:20" x14ac:dyDescent="0.35">
      <c r="A47" s="105"/>
      <c r="B47" s="390" t="str">
        <f>B27</f>
        <v>REQ_SYS_Combo-Fast-Charge_260</v>
      </c>
      <c r="C47" s="120" t="s">
        <v>549</v>
      </c>
      <c r="D47" s="120">
        <f>IF($B$47=0,0,COUNTIFS($B$8:$B$24,"*"&amp;$B$47&amp;"*",$C$8:$C$24,C47))</f>
        <v>6</v>
      </c>
      <c r="E47" s="88"/>
      <c r="F47" s="88"/>
      <c r="G47" s="88"/>
      <c r="H47" s="88"/>
      <c r="I47" s="88"/>
      <c r="J47" s="88"/>
      <c r="K47" s="88"/>
      <c r="L47" s="88"/>
      <c r="M47" s="88"/>
      <c r="N47" s="88"/>
      <c r="O47" s="88"/>
      <c r="P47" s="88"/>
      <c r="Q47" s="88"/>
      <c r="R47" s="88"/>
      <c r="S47" s="88"/>
      <c r="T47" s="88"/>
    </row>
    <row r="48" spans="1:20" x14ac:dyDescent="0.35">
      <c r="A48" s="105"/>
      <c r="B48" s="390"/>
      <c r="C48" s="120" t="s">
        <v>583</v>
      </c>
      <c r="D48" s="120">
        <f>IF($B$47=0,0,COUNTIFS($B$8:$B$24,"*"&amp;$B$47&amp;"*",$C$8:$C$24,C48))</f>
        <v>0</v>
      </c>
      <c r="E48" s="88"/>
      <c r="F48" s="88"/>
      <c r="G48" s="88"/>
      <c r="H48" s="88"/>
      <c r="I48" s="88"/>
      <c r="J48" s="88"/>
      <c r="K48" s="88"/>
      <c r="L48" s="88"/>
      <c r="M48" s="88"/>
      <c r="N48" s="88"/>
      <c r="O48" s="88"/>
      <c r="P48" s="88"/>
      <c r="Q48" s="88"/>
      <c r="R48" s="88"/>
      <c r="S48" s="88"/>
      <c r="T48" s="88"/>
    </row>
    <row r="49" spans="1:20" x14ac:dyDescent="0.35">
      <c r="A49" s="105"/>
      <c r="B49" s="390"/>
      <c r="C49" s="120" t="s">
        <v>584</v>
      </c>
      <c r="D49" s="120">
        <f>IF($B$47=0,0,COUNTIFS($B$8:$B$24,"*"&amp;$B$47&amp;"*",$C$8:$C$24,C49))</f>
        <v>0</v>
      </c>
      <c r="E49" s="88"/>
      <c r="F49" s="88"/>
      <c r="G49" s="88"/>
      <c r="H49" s="88"/>
      <c r="I49" s="88"/>
      <c r="J49" s="88"/>
      <c r="K49" s="88"/>
      <c r="L49" s="88"/>
      <c r="M49" s="88"/>
      <c r="N49" s="88"/>
      <c r="O49" s="88"/>
      <c r="P49" s="88"/>
      <c r="Q49" s="88"/>
      <c r="R49" s="88"/>
      <c r="S49" s="88"/>
      <c r="T49" s="88"/>
    </row>
    <row r="50" spans="1:20" x14ac:dyDescent="0.35">
      <c r="A50" s="105"/>
      <c r="B50" s="390">
        <f>B28</f>
        <v>0</v>
      </c>
      <c r="C50" s="120" t="s">
        <v>549</v>
      </c>
      <c r="D50" s="120">
        <f>IF($B$50=0,0,COUNTIFS($B$8:$B$11,"*"&amp;$B$50&amp;"*",$C$8:$C$11,C50))</f>
        <v>0</v>
      </c>
      <c r="E50" s="88"/>
      <c r="F50" s="88"/>
      <c r="G50" s="88"/>
      <c r="H50" s="88"/>
      <c r="I50" s="88"/>
      <c r="J50" s="88"/>
      <c r="K50" s="88"/>
      <c r="L50" s="88"/>
      <c r="M50" s="88"/>
      <c r="N50" s="88"/>
      <c r="O50" s="88"/>
      <c r="P50" s="88"/>
      <c r="Q50" s="88"/>
      <c r="R50" s="88"/>
      <c r="S50" s="88"/>
      <c r="T50" s="88"/>
    </row>
    <row r="51" spans="1:20" x14ac:dyDescent="0.35">
      <c r="A51" s="105"/>
      <c r="B51" s="390"/>
      <c r="C51" s="120" t="s">
        <v>583</v>
      </c>
      <c r="D51" s="120">
        <f>IF($B$50=0,0,COUNTIFS($B$8:$B$11,"*"&amp;$B$50&amp;"*",$C$8:$C$11,C51))</f>
        <v>0</v>
      </c>
      <c r="E51" s="88"/>
      <c r="F51" s="88"/>
      <c r="G51" s="88"/>
      <c r="H51" s="88"/>
      <c r="I51" s="88"/>
      <c r="J51" s="88"/>
      <c r="K51" s="88"/>
      <c r="L51" s="88"/>
      <c r="M51" s="88"/>
      <c r="N51" s="88"/>
      <c r="O51" s="88"/>
      <c r="P51" s="88"/>
      <c r="Q51" s="88"/>
      <c r="R51" s="88"/>
      <c r="S51" s="88"/>
      <c r="T51" s="88"/>
    </row>
    <row r="52" spans="1:20" x14ac:dyDescent="0.35">
      <c r="A52" s="105"/>
      <c r="B52" s="390"/>
      <c r="C52" s="120" t="s">
        <v>584</v>
      </c>
      <c r="D52" s="120">
        <f>IF($B$50=0,0,COUNTIFS($B$8:$B$11,"*"&amp;$B$50&amp;"*",$C$8:$C$11,C52))</f>
        <v>0</v>
      </c>
      <c r="E52" s="88"/>
      <c r="F52" s="88"/>
      <c r="G52" s="88"/>
      <c r="H52" s="88"/>
      <c r="I52" s="88"/>
      <c r="J52" s="88"/>
      <c r="K52" s="88"/>
      <c r="L52" s="88"/>
      <c r="M52" s="88"/>
      <c r="N52" s="88"/>
      <c r="O52" s="88"/>
      <c r="P52" s="88"/>
      <c r="Q52" s="88"/>
      <c r="R52" s="88"/>
      <c r="S52" s="88"/>
      <c r="T52" s="88"/>
    </row>
    <row r="53" spans="1:20" x14ac:dyDescent="0.35">
      <c r="A53" s="105"/>
      <c r="B53" s="390">
        <f>B29</f>
        <v>0</v>
      </c>
      <c r="C53" s="120" t="s">
        <v>549</v>
      </c>
      <c r="D53" s="120">
        <f>IF($B$53=0,0,COUNTIFS($B$8:$B$11,"*"&amp;$B$53&amp;"*",$C$8:$C$11,C53))</f>
        <v>0</v>
      </c>
      <c r="E53" s="88"/>
      <c r="F53" s="88"/>
      <c r="G53" s="88"/>
      <c r="H53" s="88"/>
      <c r="I53" s="88"/>
      <c r="J53" s="88"/>
      <c r="K53" s="88"/>
      <c r="L53" s="88"/>
      <c r="M53" s="88"/>
      <c r="N53" s="88"/>
      <c r="O53" s="88"/>
      <c r="P53" s="88"/>
      <c r="Q53" s="88"/>
      <c r="R53" s="88"/>
      <c r="S53" s="88"/>
      <c r="T53" s="88"/>
    </row>
    <row r="54" spans="1:20" x14ac:dyDescent="0.35">
      <c r="A54" s="105"/>
      <c r="B54" s="390"/>
      <c r="C54" s="120" t="s">
        <v>583</v>
      </c>
      <c r="D54" s="120">
        <f>IF($B$53=0,0,COUNTIFS($B$8:$B$11,"*"&amp;$B$53&amp;"*",$C$8:$C$11,C54))</f>
        <v>0</v>
      </c>
      <c r="E54" s="88"/>
      <c r="F54" s="88"/>
      <c r="G54" s="88"/>
      <c r="H54" s="88"/>
      <c r="I54" s="88"/>
      <c r="J54" s="88"/>
      <c r="K54" s="88"/>
      <c r="L54" s="88"/>
      <c r="M54" s="88"/>
      <c r="N54" s="88"/>
      <c r="O54" s="88"/>
      <c r="P54" s="88"/>
      <c r="Q54" s="88"/>
      <c r="R54" s="88"/>
      <c r="S54" s="88"/>
      <c r="T54" s="88"/>
    </row>
    <row r="55" spans="1:20" x14ac:dyDescent="0.35">
      <c r="A55" s="105"/>
      <c r="B55" s="390"/>
      <c r="C55" s="120" t="s">
        <v>584</v>
      </c>
      <c r="D55" s="120">
        <f>IF($B$53=0,0,COUNTIFS($B$8:$B$11,"*"&amp;$B$53&amp;"*",$C$8:$C$11,C55))</f>
        <v>0</v>
      </c>
      <c r="E55" s="88"/>
      <c r="F55" s="88"/>
      <c r="G55" s="88"/>
      <c r="H55" s="88"/>
      <c r="I55" s="88"/>
      <c r="J55" s="88"/>
      <c r="K55" s="88"/>
      <c r="L55" s="88"/>
      <c r="M55" s="88"/>
      <c r="N55" s="88"/>
      <c r="O55" s="88"/>
      <c r="P55" s="88"/>
      <c r="Q55" s="88"/>
      <c r="R55" s="88"/>
      <c r="S55" s="88"/>
      <c r="T55" s="88"/>
    </row>
    <row r="56" spans="1:20" x14ac:dyDescent="0.35">
      <c r="A56" s="105"/>
      <c r="B56" s="390">
        <f>B30</f>
        <v>0</v>
      </c>
      <c r="C56" s="120" t="s">
        <v>549</v>
      </c>
      <c r="D56" s="120">
        <f>IF($B$56=0,0,COUNTIFS($B$8:$B$11,"*"&amp;$B$56&amp;"*",$C$8:$C$11,C56))</f>
        <v>0</v>
      </c>
      <c r="E56" s="88"/>
      <c r="F56" s="88"/>
      <c r="G56" s="88"/>
      <c r="H56" s="88"/>
      <c r="I56" s="88"/>
      <c r="J56" s="88"/>
      <c r="K56" s="88"/>
      <c r="L56" s="88"/>
      <c r="M56" s="88"/>
      <c r="N56" s="88"/>
      <c r="O56" s="88"/>
      <c r="P56" s="88"/>
      <c r="Q56" s="88"/>
      <c r="R56" s="88"/>
      <c r="S56" s="88"/>
      <c r="T56" s="88"/>
    </row>
    <row r="57" spans="1:20" x14ac:dyDescent="0.35">
      <c r="A57" s="105"/>
      <c r="B57" s="390"/>
      <c r="C57" s="120" t="s">
        <v>583</v>
      </c>
      <c r="D57" s="120">
        <f>IF($B$56=0,0,COUNTIFS($B$8:$B$11,"*"&amp;$B$56&amp;"*",$C$8:$C$11,C57))</f>
        <v>0</v>
      </c>
      <c r="E57" s="88"/>
      <c r="F57" s="88"/>
      <c r="G57" s="88"/>
      <c r="H57" s="88"/>
      <c r="I57" s="88"/>
      <c r="J57" s="88"/>
      <c r="K57" s="88"/>
      <c r="L57" s="88"/>
      <c r="M57" s="88"/>
      <c r="N57" s="88"/>
      <c r="O57" s="88"/>
      <c r="P57" s="88"/>
      <c r="Q57" s="88"/>
      <c r="R57" s="88"/>
      <c r="S57" s="88"/>
      <c r="T57" s="88"/>
    </row>
    <row r="58" spans="1:20" x14ac:dyDescent="0.35">
      <c r="A58" s="105"/>
      <c r="B58" s="390"/>
      <c r="C58" s="120" t="s">
        <v>584</v>
      </c>
      <c r="D58" s="120">
        <f>IF($B$56=0,0,COUNTIFS($B$8:$B$11,"*"&amp;$B$56&amp;"*",$C$8:$C$11,C58))</f>
        <v>0</v>
      </c>
      <c r="E58" s="88"/>
      <c r="F58" s="88"/>
      <c r="G58" s="88"/>
      <c r="H58" s="88"/>
      <c r="I58" s="88"/>
      <c r="J58" s="88"/>
      <c r="K58" s="88"/>
      <c r="L58" s="88"/>
      <c r="M58" s="88"/>
      <c r="N58" s="88"/>
      <c r="O58" s="88"/>
      <c r="P58" s="88"/>
      <c r="Q58" s="88"/>
      <c r="R58" s="88"/>
      <c r="S58" s="88"/>
      <c r="T58" s="88"/>
    </row>
    <row r="59" spans="1:20" x14ac:dyDescent="0.35">
      <c r="A59" s="105"/>
      <c r="B59" s="390">
        <f>B31</f>
        <v>0</v>
      </c>
      <c r="C59" s="120" t="s">
        <v>549</v>
      </c>
      <c r="D59" s="120">
        <f>IF($B$59=0,0,COUNTIFS($B$8:$B$11,"*"&amp;$B$59&amp;"*",$C$8:$C$11,C59))</f>
        <v>0</v>
      </c>
      <c r="E59" s="88"/>
      <c r="F59" s="88"/>
      <c r="G59" s="88"/>
      <c r="H59" s="88"/>
      <c r="I59" s="88"/>
      <c r="J59" s="88"/>
      <c r="K59" s="88"/>
      <c r="L59" s="88"/>
      <c r="M59" s="88"/>
      <c r="N59" s="88"/>
      <c r="O59" s="88"/>
      <c r="P59" s="88"/>
      <c r="Q59" s="88"/>
      <c r="R59" s="88"/>
      <c r="S59" s="88"/>
      <c r="T59" s="88"/>
    </row>
    <row r="60" spans="1:20" x14ac:dyDescent="0.35">
      <c r="A60" s="105"/>
      <c r="B60" s="390"/>
      <c r="C60" s="120" t="s">
        <v>583</v>
      </c>
      <c r="D60" s="120">
        <f>IF($B$59=0,0,COUNTIFS($B$8:$B$11,"*"&amp;$B$59&amp;"*",$C$8:$C$11,C60))</f>
        <v>0</v>
      </c>
      <c r="E60" s="88"/>
      <c r="F60" s="88"/>
      <c r="G60" s="88"/>
      <c r="H60" s="88"/>
      <c r="I60" s="88"/>
      <c r="J60" s="88"/>
      <c r="K60" s="88"/>
      <c r="L60" s="88"/>
      <c r="M60" s="88"/>
      <c r="N60" s="88"/>
      <c r="O60" s="88"/>
      <c r="P60" s="88"/>
      <c r="Q60" s="88"/>
      <c r="R60" s="88"/>
      <c r="S60" s="88"/>
      <c r="T60" s="88"/>
    </row>
    <row r="61" spans="1:20" x14ac:dyDescent="0.35">
      <c r="A61" s="105"/>
      <c r="B61" s="390"/>
      <c r="C61" s="120" t="s">
        <v>584</v>
      </c>
      <c r="D61" s="120">
        <f>IF($B$59=0,0,COUNTIFS($B$8:$B$11,"*"&amp;$B$59&amp;"*",$C$8:$C$11,C61))</f>
        <v>0</v>
      </c>
      <c r="E61" s="88"/>
      <c r="F61" s="88"/>
      <c r="G61" s="88"/>
      <c r="H61" s="88"/>
      <c r="I61" s="88"/>
      <c r="J61" s="88"/>
      <c r="K61" s="88"/>
      <c r="L61" s="88"/>
      <c r="M61" s="88"/>
      <c r="N61" s="88"/>
      <c r="O61" s="88"/>
      <c r="P61" s="88"/>
      <c r="Q61" s="88"/>
      <c r="R61" s="88"/>
      <c r="S61" s="88"/>
      <c r="T61" s="88"/>
    </row>
    <row r="62" spans="1:20" x14ac:dyDescent="0.35">
      <c r="A62" s="105"/>
      <c r="B62" s="390">
        <f>B32</f>
        <v>0</v>
      </c>
      <c r="C62" s="120" t="s">
        <v>549</v>
      </c>
      <c r="D62" s="120">
        <f>IF($B$62=0,0,COUNTIFS($B$8:$B$11,"*"&amp;$B$62&amp;"*",$C$8:$C$11,C62))</f>
        <v>0</v>
      </c>
      <c r="E62" s="111"/>
      <c r="F62" s="88"/>
      <c r="G62" s="88"/>
      <c r="H62" s="88"/>
      <c r="I62" s="88"/>
      <c r="J62" s="88"/>
      <c r="K62" s="88"/>
      <c r="L62" s="88"/>
      <c r="M62" s="88"/>
      <c r="N62" s="88"/>
      <c r="O62" s="88"/>
      <c r="P62" s="88"/>
      <c r="Q62" s="88"/>
      <c r="R62" s="88"/>
      <c r="S62" s="88"/>
      <c r="T62" s="88"/>
    </row>
    <row r="63" spans="1:20" x14ac:dyDescent="0.35">
      <c r="A63" s="105"/>
      <c r="B63" s="390"/>
      <c r="C63" s="120" t="s">
        <v>583</v>
      </c>
      <c r="D63" s="120">
        <f>IF($B$62=0,0,COUNTIFS($B$8:$B$11,"*"&amp;$B$62&amp;"*",$C$8:$C$11,C63))</f>
        <v>0</v>
      </c>
      <c r="E63" s="111"/>
      <c r="F63" s="88"/>
      <c r="G63" s="88"/>
      <c r="H63" s="88"/>
      <c r="I63" s="88"/>
      <c r="J63" s="88"/>
      <c r="K63" s="88"/>
      <c r="L63" s="88"/>
      <c r="M63" s="88"/>
      <c r="N63" s="88"/>
      <c r="O63" s="88"/>
      <c r="P63" s="88"/>
      <c r="Q63" s="88"/>
      <c r="R63" s="88"/>
      <c r="S63" s="88"/>
      <c r="T63" s="88"/>
    </row>
    <row r="64" spans="1:20" x14ac:dyDescent="0.35">
      <c r="A64" s="105"/>
      <c r="B64" s="390"/>
      <c r="C64" s="120" t="s">
        <v>584</v>
      </c>
      <c r="D64" s="120">
        <f>IF($B$62=0,0,COUNTIFS($B$8:$B$11,"*"&amp;$B$62&amp;"*",$C$8:$C$11,C64))</f>
        <v>0</v>
      </c>
      <c r="E64" s="111"/>
      <c r="F64" s="88"/>
      <c r="G64" s="88"/>
      <c r="H64" s="88"/>
      <c r="I64" s="88"/>
      <c r="J64" s="88"/>
      <c r="K64" s="88"/>
      <c r="L64" s="88"/>
      <c r="M64" s="88"/>
      <c r="N64" s="88"/>
      <c r="O64" s="88"/>
      <c r="P64" s="88"/>
      <c r="Q64" s="88"/>
      <c r="R64" s="88"/>
      <c r="S64" s="88"/>
      <c r="T64" s="88"/>
    </row>
    <row r="65" spans="1:20" x14ac:dyDescent="0.35">
      <c r="A65" s="105"/>
      <c r="B65" s="390">
        <f>B33</f>
        <v>0</v>
      </c>
      <c r="C65" s="120" t="s">
        <v>549</v>
      </c>
      <c r="D65" s="120">
        <f>IF($B$65=0,0,COUNTIFS($B$8:$B$11,"*"&amp;$B$65&amp;"*",$C$8:$C$11,C65))</f>
        <v>0</v>
      </c>
      <c r="E65" s="111"/>
      <c r="F65" s="88"/>
      <c r="G65" s="88"/>
      <c r="H65" s="88"/>
      <c r="I65" s="88"/>
      <c r="J65" s="88"/>
      <c r="K65" s="88"/>
      <c r="L65" s="88"/>
      <c r="M65" s="88"/>
      <c r="N65" s="88"/>
      <c r="O65" s="88"/>
      <c r="P65" s="88"/>
      <c r="Q65" s="88"/>
      <c r="R65" s="88"/>
      <c r="S65" s="88"/>
      <c r="T65" s="88"/>
    </row>
    <row r="66" spans="1:20" x14ac:dyDescent="0.35">
      <c r="A66" s="105"/>
      <c r="B66" s="390"/>
      <c r="C66" s="120" t="s">
        <v>583</v>
      </c>
      <c r="D66" s="120">
        <f>IF($B$65=0,0,COUNTIFS($B$8:$B$11,"*"&amp;$B$65&amp;"*",$C$8:$C$11,C66))</f>
        <v>0</v>
      </c>
      <c r="E66" s="111"/>
      <c r="F66" s="88"/>
      <c r="G66" s="88"/>
      <c r="H66" s="88"/>
      <c r="I66" s="88"/>
      <c r="J66" s="88"/>
      <c r="K66" s="88"/>
      <c r="L66" s="88"/>
      <c r="M66" s="88"/>
      <c r="N66" s="88"/>
      <c r="O66" s="88"/>
      <c r="P66" s="88"/>
      <c r="Q66" s="88"/>
      <c r="R66" s="88"/>
      <c r="S66" s="88"/>
      <c r="T66" s="88"/>
    </row>
    <row r="67" spans="1:20" x14ac:dyDescent="0.35">
      <c r="A67" s="105"/>
      <c r="B67" s="390"/>
      <c r="C67" s="120" t="s">
        <v>584</v>
      </c>
      <c r="D67" s="120">
        <f>IF($B$65=0,0,COUNTIFS($B$8:$B$11,"*"&amp;$B$65&amp;"*",$C$8:$C$11,C67))</f>
        <v>0</v>
      </c>
      <c r="E67" s="111"/>
      <c r="F67" s="88"/>
      <c r="G67" s="88"/>
      <c r="H67" s="88"/>
      <c r="I67" s="88"/>
      <c r="J67" s="88"/>
      <c r="K67" s="88"/>
      <c r="L67" s="88"/>
      <c r="M67" s="88"/>
      <c r="N67" s="88"/>
      <c r="O67" s="88"/>
      <c r="P67" s="88"/>
      <c r="Q67" s="88"/>
      <c r="R67" s="88"/>
      <c r="S67" s="88"/>
      <c r="T67" s="88"/>
    </row>
    <row r="68" spans="1:20" x14ac:dyDescent="0.35">
      <c r="A68" s="105"/>
      <c r="B68" s="390">
        <f>B34</f>
        <v>0</v>
      </c>
      <c r="C68" s="120" t="s">
        <v>549</v>
      </c>
      <c r="D68" s="120">
        <f>IF($B$68=0,0,COUNTIFS($B$8:$B$11,"*"&amp;$B$68&amp;"*",$C$8:$C$11,C68))</f>
        <v>0</v>
      </c>
      <c r="E68" s="111"/>
      <c r="F68" s="88"/>
      <c r="G68" s="88"/>
      <c r="H68" s="88"/>
      <c r="I68" s="88"/>
      <c r="J68" s="88"/>
      <c r="K68" s="88"/>
      <c r="L68" s="88"/>
      <c r="M68" s="88"/>
      <c r="N68" s="88"/>
      <c r="O68" s="88"/>
      <c r="P68" s="88"/>
      <c r="Q68" s="88"/>
      <c r="R68" s="88"/>
      <c r="S68" s="88"/>
      <c r="T68" s="88"/>
    </row>
    <row r="69" spans="1:20" x14ac:dyDescent="0.35">
      <c r="A69" s="105"/>
      <c r="B69" s="390"/>
      <c r="C69" s="120" t="s">
        <v>583</v>
      </c>
      <c r="D69" s="120">
        <f>IF($B$68=0,0,COUNTIFS($B$8:$B$11,"*"&amp;$B$68&amp;"*",$C$8:$C$11,C69))</f>
        <v>0</v>
      </c>
      <c r="E69" s="111"/>
      <c r="F69" s="88"/>
      <c r="G69" s="88"/>
      <c r="H69" s="88"/>
      <c r="I69" s="88"/>
      <c r="J69" s="88"/>
      <c r="K69" s="88"/>
      <c r="L69" s="88"/>
      <c r="M69" s="88"/>
      <c r="N69" s="88"/>
      <c r="O69" s="88"/>
      <c r="P69" s="88"/>
      <c r="Q69" s="88"/>
      <c r="R69" s="88"/>
      <c r="S69" s="88"/>
      <c r="T69" s="88"/>
    </row>
    <row r="70" spans="1:20" x14ac:dyDescent="0.35">
      <c r="A70" s="105"/>
      <c r="B70" s="390"/>
      <c r="C70" s="120" t="s">
        <v>584</v>
      </c>
      <c r="D70" s="120">
        <f>IF($B$68=0,0,COUNTIFS($B$8:$B$11,"*"&amp;$B$68&amp;"*",$C$8:$C$11,C70))</f>
        <v>0</v>
      </c>
      <c r="E70" s="111"/>
      <c r="F70" s="88"/>
      <c r="G70" s="88"/>
      <c r="H70" s="88"/>
      <c r="I70" s="88"/>
      <c r="J70" s="88"/>
      <c r="K70" s="88"/>
      <c r="L70" s="88"/>
      <c r="M70" s="88"/>
      <c r="N70" s="88"/>
      <c r="O70" s="88"/>
      <c r="P70" s="88"/>
      <c r="Q70" s="88"/>
      <c r="R70" s="88"/>
      <c r="S70" s="88"/>
      <c r="T70" s="88"/>
    </row>
    <row r="71" spans="1:20" x14ac:dyDescent="0.35">
      <c r="A71" s="105"/>
      <c r="B71" s="390">
        <f>B35</f>
        <v>0</v>
      </c>
      <c r="C71" s="120" t="s">
        <v>549</v>
      </c>
      <c r="D71" s="120">
        <f>IF($B$71=0,0,COUNTIFS($B$8:$B$11,"*"&amp;$B$71&amp;"*",$C$8:$C$11,C71))</f>
        <v>0</v>
      </c>
      <c r="E71" s="111"/>
      <c r="F71" s="88"/>
      <c r="G71" s="88"/>
      <c r="H71" s="88"/>
      <c r="I71" s="88"/>
      <c r="J71" s="88"/>
      <c r="K71" s="88"/>
      <c r="L71" s="88"/>
      <c r="M71" s="88"/>
      <c r="N71" s="88"/>
      <c r="O71" s="88"/>
      <c r="P71" s="88"/>
      <c r="Q71" s="88"/>
      <c r="R71" s="88"/>
      <c r="S71" s="88"/>
      <c r="T71" s="88"/>
    </row>
    <row r="72" spans="1:20" x14ac:dyDescent="0.35">
      <c r="A72" s="105"/>
      <c r="B72" s="390"/>
      <c r="C72" s="120" t="s">
        <v>583</v>
      </c>
      <c r="D72" s="120">
        <f>IF($B$71=0,0,COUNTIFS($B$8:$B$11,"*"&amp;$B$71&amp;"*",$C$8:$C$11,C72))</f>
        <v>0</v>
      </c>
      <c r="E72" s="111"/>
      <c r="F72" s="88"/>
      <c r="G72" s="88"/>
      <c r="H72" s="88"/>
      <c r="I72" s="88"/>
      <c r="J72" s="88"/>
      <c r="K72" s="88"/>
      <c r="L72" s="88"/>
      <c r="M72" s="88"/>
      <c r="N72" s="88"/>
      <c r="O72" s="88"/>
      <c r="P72" s="88"/>
      <c r="Q72" s="88"/>
      <c r="R72" s="88"/>
      <c r="S72" s="88"/>
      <c r="T72" s="88"/>
    </row>
    <row r="73" spans="1:20" x14ac:dyDescent="0.35">
      <c r="A73" s="105"/>
      <c r="B73" s="390"/>
      <c r="C73" s="120" t="s">
        <v>584</v>
      </c>
      <c r="D73" s="120">
        <f>IF($B$71=0,0,COUNTIFS($B$8:$B$11,"*"&amp;$B$71&amp;"*",$C$8:$C$11,C73))</f>
        <v>0</v>
      </c>
      <c r="E73" s="111"/>
      <c r="F73" s="88"/>
      <c r="G73" s="88"/>
      <c r="H73" s="88"/>
      <c r="I73" s="88"/>
      <c r="J73" s="88"/>
      <c r="K73" s="88"/>
      <c r="L73" s="88"/>
      <c r="M73" s="88"/>
      <c r="N73" s="88"/>
      <c r="O73" s="88"/>
      <c r="P73" s="88"/>
      <c r="Q73" s="88"/>
      <c r="R73" s="88"/>
      <c r="S73" s="88"/>
      <c r="T73" s="88"/>
    </row>
    <row r="74" spans="1:20" x14ac:dyDescent="0.35">
      <c r="A74" s="105"/>
      <c r="B74" s="390">
        <f>B36</f>
        <v>0</v>
      </c>
      <c r="C74" s="120" t="s">
        <v>549</v>
      </c>
      <c r="D74" s="120">
        <f>IF($B$74=0,0,COUNTIFS($B$8:$B$11,"*"&amp;$B$74&amp;"*",$C$8:$C$11,C74))</f>
        <v>0</v>
      </c>
      <c r="E74" s="111"/>
      <c r="F74" s="88"/>
      <c r="G74" s="88"/>
      <c r="H74" s="88"/>
      <c r="I74" s="88"/>
      <c r="J74" s="88"/>
      <c r="K74" s="88"/>
      <c r="L74" s="88"/>
      <c r="M74" s="88"/>
      <c r="N74" s="88"/>
      <c r="O74" s="88"/>
      <c r="P74" s="88"/>
      <c r="Q74" s="88"/>
      <c r="R74" s="88"/>
      <c r="S74" s="88"/>
      <c r="T74" s="88"/>
    </row>
    <row r="75" spans="1:20" x14ac:dyDescent="0.35">
      <c r="A75" s="105"/>
      <c r="B75" s="390"/>
      <c r="C75" s="120" t="s">
        <v>583</v>
      </c>
      <c r="D75" s="120">
        <f>IF($B$74=0,0,COUNTIFS($B$8:$B$11,"*"&amp;$B$74&amp;"*",$C$8:$C$11,C75))</f>
        <v>0</v>
      </c>
      <c r="E75" s="111"/>
      <c r="F75" s="88"/>
      <c r="G75" s="88"/>
      <c r="H75" s="88"/>
      <c r="I75" s="88"/>
      <c r="J75" s="88"/>
      <c r="K75" s="88"/>
      <c r="L75" s="88"/>
      <c r="M75" s="88"/>
      <c r="N75" s="88"/>
      <c r="O75" s="88"/>
      <c r="P75" s="88"/>
      <c r="Q75" s="88"/>
      <c r="R75" s="88"/>
      <c r="S75" s="88"/>
      <c r="T75" s="88"/>
    </row>
    <row r="76" spans="1:20" x14ac:dyDescent="0.35">
      <c r="A76" s="105"/>
      <c r="B76" s="390"/>
      <c r="C76" s="120" t="s">
        <v>584</v>
      </c>
      <c r="D76" s="120">
        <f>IF($B$74=0,0,COUNTIFS($B$8:$B$11,"*"&amp;$B$74&amp;"*",$C$8:$C$11,C76))</f>
        <v>0</v>
      </c>
      <c r="E76" s="111"/>
      <c r="F76" s="88"/>
      <c r="G76" s="88"/>
      <c r="H76" s="88"/>
      <c r="I76" s="88"/>
      <c r="J76" s="88"/>
      <c r="K76" s="88"/>
      <c r="L76" s="88"/>
      <c r="M76" s="88"/>
      <c r="N76" s="88"/>
      <c r="O76" s="88"/>
      <c r="P76" s="88"/>
      <c r="Q76" s="88"/>
      <c r="R76" s="88"/>
      <c r="S76" s="88"/>
      <c r="T76" s="88"/>
    </row>
    <row r="77" spans="1:20" x14ac:dyDescent="0.35">
      <c r="A77" s="105"/>
      <c r="B77" s="390">
        <f>B37</f>
        <v>0</v>
      </c>
      <c r="C77" s="120" t="s">
        <v>549</v>
      </c>
      <c r="D77" s="120">
        <f>IF($B$77=0,0,COUNTIFS($B$8:$B$11,"*"&amp;$B$77&amp;"*",$C$8:$C$11,C77))</f>
        <v>0</v>
      </c>
      <c r="E77" s="111"/>
      <c r="F77" s="88"/>
      <c r="G77" s="88"/>
      <c r="H77" s="88"/>
      <c r="I77" s="88"/>
      <c r="J77" s="88"/>
      <c r="K77" s="88"/>
      <c r="L77" s="88"/>
      <c r="M77" s="88"/>
      <c r="N77" s="88"/>
      <c r="O77" s="88"/>
      <c r="P77" s="88"/>
      <c r="Q77" s="88"/>
      <c r="R77" s="88"/>
      <c r="S77" s="88"/>
      <c r="T77" s="88"/>
    </row>
    <row r="78" spans="1:20" x14ac:dyDescent="0.35">
      <c r="A78" s="105"/>
      <c r="B78" s="390"/>
      <c r="C78" s="120" t="s">
        <v>583</v>
      </c>
      <c r="D78" s="120">
        <f>IF($B$77=0,0,COUNTIFS($B$8:$B$11,"*"&amp;$B$77&amp;"*",$C$8:$C$11,C78))</f>
        <v>0</v>
      </c>
      <c r="E78" s="111"/>
      <c r="F78" s="88"/>
      <c r="G78" s="88"/>
      <c r="H78" s="88"/>
      <c r="I78" s="88"/>
      <c r="J78" s="88"/>
      <c r="K78" s="88"/>
      <c r="L78" s="88"/>
      <c r="M78" s="88"/>
      <c r="N78" s="88"/>
      <c r="O78" s="88"/>
      <c r="P78" s="88"/>
      <c r="Q78" s="88"/>
      <c r="R78" s="88"/>
      <c r="S78" s="88"/>
      <c r="T78" s="88"/>
    </row>
    <row r="79" spans="1:20" x14ac:dyDescent="0.35">
      <c r="A79" s="105"/>
      <c r="B79" s="390"/>
      <c r="C79" s="120" t="s">
        <v>584</v>
      </c>
      <c r="D79" s="120">
        <f>IF($B$77=0,0,COUNTIFS($B$8:$B$11,"*"&amp;$B$77&amp;"*",$C$8:$C$11,C79))</f>
        <v>0</v>
      </c>
      <c r="E79" s="111"/>
      <c r="F79" s="88"/>
      <c r="G79" s="88"/>
      <c r="H79" s="88"/>
      <c r="I79" s="88"/>
      <c r="J79" s="88"/>
      <c r="K79" s="88"/>
      <c r="L79" s="88"/>
      <c r="M79" s="88"/>
      <c r="N79" s="88"/>
      <c r="O79" s="88"/>
      <c r="P79" s="88"/>
      <c r="Q79" s="88"/>
      <c r="R79" s="88"/>
      <c r="S79" s="88"/>
      <c r="T79" s="88"/>
    </row>
    <row r="80" spans="1:20" x14ac:dyDescent="0.35">
      <c r="A80" s="105"/>
      <c r="B80" s="390">
        <f>B38</f>
        <v>0</v>
      </c>
      <c r="C80" s="120" t="s">
        <v>549</v>
      </c>
      <c r="D80" s="120">
        <f>IF($B$80=0,0,COUNTIFS($B$8:$B$11,"*"&amp;$B$80&amp;"*",$C$8:$C$11,C80))</f>
        <v>0</v>
      </c>
      <c r="E80" s="111"/>
      <c r="F80" s="88"/>
      <c r="G80" s="88"/>
      <c r="H80" s="88"/>
      <c r="I80" s="88"/>
      <c r="J80" s="88"/>
      <c r="K80" s="88"/>
      <c r="L80" s="88"/>
      <c r="M80" s="88"/>
      <c r="N80" s="88"/>
      <c r="O80" s="88"/>
      <c r="P80" s="88"/>
      <c r="Q80" s="88"/>
      <c r="R80" s="88"/>
      <c r="S80" s="88"/>
      <c r="T80" s="88"/>
    </row>
    <row r="81" spans="1:20" x14ac:dyDescent="0.35">
      <c r="A81" s="105"/>
      <c r="B81" s="390"/>
      <c r="C81" s="120" t="s">
        <v>583</v>
      </c>
      <c r="D81" s="120">
        <f>IF($B$80=0,0,COUNTIFS($B$8:$B$11,"*"&amp;$B$80&amp;"*",$C$8:$C$11,C81))</f>
        <v>0</v>
      </c>
      <c r="E81" s="111"/>
      <c r="F81" s="88"/>
      <c r="G81" s="88"/>
      <c r="H81" s="88"/>
      <c r="I81" s="88"/>
      <c r="J81" s="88"/>
      <c r="K81" s="88"/>
      <c r="L81" s="88"/>
      <c r="M81" s="88"/>
      <c r="N81" s="88"/>
      <c r="O81" s="88"/>
      <c r="P81" s="88"/>
      <c r="Q81" s="88"/>
      <c r="R81" s="88"/>
      <c r="S81" s="88"/>
      <c r="T81" s="88"/>
    </row>
    <row r="82" spans="1:20" x14ac:dyDescent="0.35">
      <c r="A82" s="105"/>
      <c r="B82" s="390"/>
      <c r="C82" s="120" t="s">
        <v>584</v>
      </c>
      <c r="D82" s="120">
        <f>IF($B$80=0,0,COUNTIFS($B$8:$B$11,"*"&amp;$B$80&amp;"*",$C$8:$C$11,C82))</f>
        <v>0</v>
      </c>
      <c r="E82" s="111"/>
      <c r="F82" s="88"/>
      <c r="G82" s="88"/>
      <c r="H82" s="88"/>
      <c r="I82" s="88"/>
      <c r="J82" s="88"/>
      <c r="K82" s="88"/>
      <c r="L82" s="88"/>
      <c r="M82" s="88"/>
      <c r="N82" s="88"/>
      <c r="O82" s="88"/>
      <c r="P82" s="88"/>
      <c r="Q82" s="88"/>
      <c r="R82" s="88"/>
      <c r="S82" s="88"/>
      <c r="T82" s="88"/>
    </row>
    <row r="83" spans="1:20" x14ac:dyDescent="0.35">
      <c r="A83" s="105"/>
      <c r="B83" s="390">
        <f>B39</f>
        <v>0</v>
      </c>
      <c r="C83" s="120" t="s">
        <v>549</v>
      </c>
      <c r="D83" s="120">
        <f>IF($B$83=0,0,COUNTIFS($B$8:$B$11,"*"&amp;$B$83&amp;"*",$C$8:$C$11,C83))</f>
        <v>0</v>
      </c>
      <c r="E83" s="111"/>
      <c r="F83" s="88"/>
      <c r="G83" s="88"/>
      <c r="H83" s="88"/>
      <c r="I83" s="88"/>
      <c r="J83" s="88"/>
      <c r="K83" s="88"/>
      <c r="L83" s="88"/>
      <c r="M83" s="88"/>
      <c r="N83" s="88"/>
      <c r="O83" s="88"/>
      <c r="P83" s="88"/>
      <c r="Q83" s="88"/>
      <c r="R83" s="88"/>
      <c r="S83" s="88"/>
      <c r="T83" s="88"/>
    </row>
    <row r="84" spans="1:20" x14ac:dyDescent="0.35">
      <c r="A84" s="105"/>
      <c r="B84" s="390"/>
      <c r="C84" s="120" t="s">
        <v>583</v>
      </c>
      <c r="D84" s="120">
        <f>IF($B$83=0,0,COUNTIFS($B$8:$B$11,"*"&amp;$B$83&amp;"*",$C$8:$C$11,C84))</f>
        <v>0</v>
      </c>
      <c r="E84" s="111"/>
      <c r="F84" s="88"/>
      <c r="G84" s="88"/>
      <c r="H84" s="88"/>
      <c r="I84" s="88"/>
      <c r="J84" s="88"/>
      <c r="K84" s="88"/>
      <c r="L84" s="88"/>
      <c r="M84" s="88"/>
      <c r="N84" s="88"/>
      <c r="O84" s="88"/>
      <c r="P84" s="88"/>
      <c r="Q84" s="88"/>
      <c r="R84" s="88"/>
      <c r="S84" s="88"/>
      <c r="T84" s="88"/>
    </row>
    <row r="85" spans="1:20" x14ac:dyDescent="0.35">
      <c r="A85" s="105"/>
      <c r="B85" s="390"/>
      <c r="C85" s="120" t="s">
        <v>584</v>
      </c>
      <c r="D85" s="120">
        <f>IF($B$83=0,0,COUNTIFS($B$8:$B$11,"*"&amp;$B$83&amp;"*",$C$8:$C$11,C85))</f>
        <v>0</v>
      </c>
      <c r="E85" s="111"/>
      <c r="F85" s="88"/>
      <c r="G85" s="88"/>
      <c r="H85" s="88"/>
      <c r="I85" s="88"/>
      <c r="J85" s="88"/>
      <c r="K85" s="88"/>
      <c r="L85" s="88"/>
      <c r="M85" s="88"/>
      <c r="N85" s="88"/>
      <c r="O85" s="88"/>
      <c r="P85" s="88"/>
      <c r="Q85" s="88"/>
      <c r="R85" s="88"/>
      <c r="S85" s="88"/>
      <c r="T85" s="88"/>
    </row>
    <row r="86" spans="1:20" x14ac:dyDescent="0.35">
      <c r="A86" s="105"/>
      <c r="B86" s="83"/>
      <c r="C86" s="88"/>
      <c r="D86" s="88"/>
      <c r="E86" s="111"/>
      <c r="F86" s="88"/>
      <c r="G86" s="88"/>
      <c r="H86" s="88"/>
      <c r="I86" s="88"/>
      <c r="J86" s="88"/>
      <c r="K86" s="88"/>
      <c r="L86" s="88"/>
      <c r="M86" s="88"/>
      <c r="N86" s="88"/>
      <c r="O86" s="88"/>
      <c r="P86" s="88"/>
      <c r="Q86" s="88"/>
      <c r="R86" s="88"/>
      <c r="S86" s="88"/>
      <c r="T86" s="88"/>
    </row>
    <row r="87" spans="1:20" x14ac:dyDescent="0.35">
      <c r="A87" s="105"/>
      <c r="B87" s="83"/>
      <c r="C87" s="88"/>
      <c r="D87" s="88"/>
      <c r="E87" s="111"/>
      <c r="F87" s="88"/>
      <c r="G87" s="88"/>
      <c r="H87" s="88"/>
      <c r="I87" s="88"/>
      <c r="J87" s="88"/>
      <c r="K87" s="88"/>
      <c r="L87" s="88"/>
      <c r="M87" s="88"/>
      <c r="N87" s="88"/>
      <c r="O87" s="88"/>
      <c r="P87" s="88"/>
      <c r="Q87" s="88"/>
      <c r="R87" s="88"/>
      <c r="S87" s="88"/>
      <c r="T87" s="88"/>
    </row>
    <row r="88" spans="1:20" x14ac:dyDescent="0.35">
      <c r="A88" s="105"/>
      <c r="B88" s="83"/>
      <c r="C88" s="88"/>
      <c r="D88" s="88"/>
      <c r="E88" s="111"/>
      <c r="F88" s="88"/>
      <c r="G88" s="88"/>
      <c r="H88" s="88"/>
      <c r="I88" s="88"/>
      <c r="J88" s="88"/>
      <c r="K88" s="88"/>
      <c r="L88" s="88"/>
      <c r="M88" s="88"/>
      <c r="N88" s="88"/>
      <c r="O88" s="88"/>
      <c r="P88" s="88"/>
      <c r="Q88" s="88"/>
      <c r="R88" s="88"/>
      <c r="S88" s="88"/>
      <c r="T88" s="88"/>
    </row>
  </sheetData>
  <mergeCells count="42">
    <mergeCell ref="C12:F12"/>
    <mergeCell ref="C13:F13"/>
    <mergeCell ref="C18:F18"/>
    <mergeCell ref="C19:F19"/>
    <mergeCell ref="B1:F1"/>
    <mergeCell ref="H1:S1"/>
    <mergeCell ref="C2:F2"/>
    <mergeCell ref="H2:S2"/>
    <mergeCell ref="H3:S11"/>
    <mergeCell ref="B4:F4"/>
    <mergeCell ref="C6:F6"/>
    <mergeCell ref="C7:F7"/>
    <mergeCell ref="D42:F42"/>
    <mergeCell ref="C35:F35"/>
    <mergeCell ref="B26:F26"/>
    <mergeCell ref="C27:F27"/>
    <mergeCell ref="C28:F28"/>
    <mergeCell ref="C29:F29"/>
    <mergeCell ref="C30:F30"/>
    <mergeCell ref="C31:F31"/>
    <mergeCell ref="C32:F32"/>
    <mergeCell ref="C33:F33"/>
    <mergeCell ref="C34:F34"/>
    <mergeCell ref="C36:F36"/>
    <mergeCell ref="C37:F37"/>
    <mergeCell ref="C38:F38"/>
    <mergeCell ref="C39:F39"/>
    <mergeCell ref="B41:F41"/>
    <mergeCell ref="B46:D46"/>
    <mergeCell ref="B47:B49"/>
    <mergeCell ref="B83:B85"/>
    <mergeCell ref="B56:B58"/>
    <mergeCell ref="B59:B61"/>
    <mergeCell ref="B62:B64"/>
    <mergeCell ref="B65:B67"/>
    <mergeCell ref="B68:B70"/>
    <mergeCell ref="B71:B73"/>
    <mergeCell ref="B74:B76"/>
    <mergeCell ref="B77:B79"/>
    <mergeCell ref="B80:B82"/>
    <mergeCell ref="B50:B52"/>
    <mergeCell ref="B53:B55"/>
  </mergeCells>
  <phoneticPr fontId="41" type="noConversion"/>
  <conditionalFormatting sqref="B8:B9">
    <cfRule type="cellIs" dxfId="1901" priority="64" operator="equal">
      <formula>"NR"</formula>
    </cfRule>
    <cfRule type="cellIs" dxfId="1900" priority="65" operator="equal">
      <formula>"NOK"</formula>
    </cfRule>
    <cfRule type="cellIs" dxfId="1899" priority="66" operator="equal">
      <formula>"OK"</formula>
    </cfRule>
  </conditionalFormatting>
  <conditionalFormatting sqref="B2 B43:B45">
    <cfRule type="cellIs" dxfId="1898" priority="85" operator="equal">
      <formula>"NR"</formula>
    </cfRule>
    <cfRule type="cellIs" dxfId="1897" priority="86" operator="equal">
      <formula>"NOK"</formula>
    </cfRule>
    <cfRule type="cellIs" dxfId="1896" priority="87" operator="equal">
      <formula>"OK"</formula>
    </cfRule>
  </conditionalFormatting>
  <conditionalFormatting sqref="B4">
    <cfRule type="cellIs" dxfId="1895" priority="88" operator="equal">
      <formula>"NR"</formula>
    </cfRule>
    <cfRule type="cellIs" dxfId="1894" priority="89" operator="equal">
      <formula>"NOK"</formula>
    </cfRule>
    <cfRule type="cellIs" dxfId="1893" priority="90" operator="equal">
      <formula>"OK"</formula>
    </cfRule>
  </conditionalFormatting>
  <conditionalFormatting sqref="B3 B25 B5 B41 B86:B1048576">
    <cfRule type="cellIs" dxfId="1892" priority="100" operator="equal">
      <formula>"NR"</formula>
    </cfRule>
    <cfRule type="cellIs" dxfId="1891" priority="101" operator="equal">
      <formula>"NOK"</formula>
    </cfRule>
    <cfRule type="cellIs" dxfId="1890" priority="102" operator="equal">
      <formula>"OK"</formula>
    </cfRule>
  </conditionalFormatting>
  <conditionalFormatting sqref="B1">
    <cfRule type="cellIs" dxfId="1889" priority="97" operator="equal">
      <formula>"NR"</formula>
    </cfRule>
    <cfRule type="cellIs" dxfId="1888" priority="98" operator="equal">
      <formula>"NOK"</formula>
    </cfRule>
    <cfRule type="cellIs" dxfId="1887" priority="99" operator="equal">
      <formula>"OK"</formula>
    </cfRule>
  </conditionalFormatting>
  <conditionalFormatting sqref="B26">
    <cfRule type="cellIs" dxfId="1886" priority="94" operator="equal">
      <formula>"NR"</formula>
    </cfRule>
    <cfRule type="cellIs" dxfId="1885" priority="95" operator="equal">
      <formula>"NOK"</formula>
    </cfRule>
    <cfRule type="cellIs" dxfId="1884" priority="96" operator="equal">
      <formula>"OK"</formula>
    </cfRule>
  </conditionalFormatting>
  <conditionalFormatting sqref="C27:C37 C40">
    <cfRule type="cellIs" dxfId="1883" priority="91" operator="equal">
      <formula>"NR"</formula>
    </cfRule>
    <cfRule type="cellIs" dxfId="1882" priority="92" operator="equal">
      <formula>"NOK"</formula>
    </cfRule>
    <cfRule type="cellIs" dxfId="1881" priority="93" operator="equal">
      <formula>"OK"</formula>
    </cfRule>
  </conditionalFormatting>
  <conditionalFormatting sqref="B6:B7">
    <cfRule type="cellIs" dxfId="1880" priority="82" operator="equal">
      <formula>"NR"</formula>
    </cfRule>
    <cfRule type="cellIs" dxfId="1879" priority="83" operator="equal">
      <formula>"NOK"</formula>
    </cfRule>
    <cfRule type="cellIs" dxfId="1878" priority="84" operator="equal">
      <formula>"OK"</formula>
    </cfRule>
  </conditionalFormatting>
  <conditionalFormatting sqref="C42">
    <cfRule type="cellIs" dxfId="1877" priority="70" operator="equal">
      <formula>"NR"</formula>
    </cfRule>
    <cfRule type="cellIs" dxfId="1876" priority="71" operator="equal">
      <formula>"NOK"</formula>
    </cfRule>
    <cfRule type="cellIs" dxfId="1875" priority="72" operator="equal">
      <formula>"OK"</formula>
    </cfRule>
  </conditionalFormatting>
  <conditionalFormatting sqref="C10:C11">
    <cfRule type="cellIs" dxfId="1874" priority="79" operator="equal">
      <formula>"NR"</formula>
    </cfRule>
    <cfRule type="cellIs" dxfId="1873" priority="80" operator="equal">
      <formula>"NOK"</formula>
    </cfRule>
    <cfRule type="cellIs" dxfId="1872" priority="81" operator="equal">
      <formula>"OK"</formula>
    </cfRule>
  </conditionalFormatting>
  <conditionalFormatting sqref="B42">
    <cfRule type="cellIs" dxfId="1871" priority="73" operator="equal">
      <formula>"NR"</formula>
    </cfRule>
    <cfRule type="cellIs" dxfId="1870" priority="74" operator="equal">
      <formula>"NOK"</formula>
    </cfRule>
    <cfRule type="cellIs" dxfId="1869" priority="75" operator="equal">
      <formula>"OK"</formula>
    </cfRule>
  </conditionalFormatting>
  <conditionalFormatting sqref="B46:B47 B50 B53 B59 B65 B71 B77 B56 B62 B68 B74 B80">
    <cfRule type="cellIs" dxfId="1868" priority="67" operator="equal">
      <formula>"NR"</formula>
    </cfRule>
    <cfRule type="cellIs" dxfId="1867" priority="68" operator="equal">
      <formula>"NOK"</formula>
    </cfRule>
    <cfRule type="cellIs" dxfId="1866" priority="69" operator="equal">
      <formula>"OK"</formula>
    </cfRule>
  </conditionalFormatting>
  <conditionalFormatting sqref="C39">
    <cfRule type="cellIs" dxfId="1865" priority="25" operator="equal">
      <formula>"NR"</formula>
    </cfRule>
    <cfRule type="cellIs" dxfId="1864" priority="26" operator="equal">
      <formula>"NOK"</formula>
    </cfRule>
    <cfRule type="cellIs" dxfId="1863" priority="27" operator="equal">
      <formula>"OK"</formula>
    </cfRule>
  </conditionalFormatting>
  <conditionalFormatting sqref="C38">
    <cfRule type="cellIs" dxfId="1862" priority="22" operator="equal">
      <formula>"NR"</formula>
    </cfRule>
    <cfRule type="cellIs" dxfId="1861" priority="23" operator="equal">
      <formula>"NOK"</formula>
    </cfRule>
    <cfRule type="cellIs" dxfId="1860" priority="24" operator="equal">
      <formula>"OK"</formula>
    </cfRule>
  </conditionalFormatting>
  <conditionalFormatting sqref="B83">
    <cfRule type="cellIs" dxfId="1859" priority="19" operator="equal">
      <formula>"NR"</formula>
    </cfRule>
    <cfRule type="cellIs" dxfId="1858" priority="20" operator="equal">
      <formula>"NOK"</formula>
    </cfRule>
    <cfRule type="cellIs" dxfId="1857" priority="21" operator="equal">
      <formula>"OK"</formula>
    </cfRule>
  </conditionalFormatting>
  <conditionalFormatting sqref="B20:B22">
    <cfRule type="cellIs" dxfId="1856" priority="13" operator="equal">
      <formula>"NR"</formula>
    </cfRule>
    <cfRule type="cellIs" dxfId="1855" priority="14" operator="equal">
      <formula>"NOK"</formula>
    </cfRule>
    <cfRule type="cellIs" dxfId="1854" priority="15" operator="equal">
      <formula>"OK"</formula>
    </cfRule>
  </conditionalFormatting>
  <conditionalFormatting sqref="C23:C24">
    <cfRule type="cellIs" dxfId="1853" priority="16" operator="equal">
      <formula>"NR"</formula>
    </cfRule>
    <cfRule type="cellIs" dxfId="1852" priority="17" operator="equal">
      <formula>"NOK"</formula>
    </cfRule>
    <cfRule type="cellIs" dxfId="1851" priority="18" operator="equal">
      <formula>"OK"</formula>
    </cfRule>
  </conditionalFormatting>
  <conditionalFormatting sqref="B18:B19">
    <cfRule type="cellIs" dxfId="1850" priority="10" operator="equal">
      <formula>"NR"</formula>
    </cfRule>
    <cfRule type="cellIs" dxfId="1849" priority="11" operator="equal">
      <formula>"NOK"</formula>
    </cfRule>
    <cfRule type="cellIs" dxfId="1848" priority="12" operator="equal">
      <formula>"OK"</formula>
    </cfRule>
  </conditionalFormatting>
  <conditionalFormatting sqref="B14:B15">
    <cfRule type="cellIs" dxfId="1847" priority="1" operator="equal">
      <formula>"NR"</formula>
    </cfRule>
    <cfRule type="cellIs" dxfId="1846" priority="2" operator="equal">
      <formula>"NOK"</formula>
    </cfRule>
    <cfRule type="cellIs" dxfId="1845" priority="3" operator="equal">
      <formula>"OK"</formula>
    </cfRule>
  </conditionalFormatting>
  <conditionalFormatting sqref="B12:B13">
    <cfRule type="cellIs" dxfId="1844" priority="7" operator="equal">
      <formula>"NR"</formula>
    </cfRule>
    <cfRule type="cellIs" dxfId="1843" priority="8" operator="equal">
      <formula>"NOK"</formula>
    </cfRule>
    <cfRule type="cellIs" dxfId="1842" priority="9" operator="equal">
      <formula>"OK"</formula>
    </cfRule>
  </conditionalFormatting>
  <conditionalFormatting sqref="C16:C17">
    <cfRule type="cellIs" dxfId="1841" priority="4" operator="equal">
      <formula>"NR"</formula>
    </cfRule>
    <cfRule type="cellIs" dxfId="1840" priority="5" operator="equal">
      <formula>"NOK"</formula>
    </cfRule>
    <cfRule type="cellIs" dxfId="1839" priority="6" operator="equal">
      <formula>"OK"</formula>
    </cfRule>
  </conditionalFormatting>
  <dataValidations count="1">
    <dataValidation type="list" allowBlank="1" showInputMessage="1" showErrorMessage="1" errorTitle="Remplissage Obligatoire" error="OK -&gt; Criteria Validated_x000a_NOK -&gt; Criteria Not Validated_x000a_NR -&gt; Impossiblity to check the criteria_x000a_NA -&gt; Impossiblity to validate the criteria" prompt="NO EMPTY CELLS" sqref="C42 C27:C40 C23:C24 C10:C11 C16:C17" xr:uid="{9D5717EE-9AAE-4191-9CCA-F33419DD32C2}">
      <formula1>"OK,NOK,NR,NA"</formula1>
    </dataValidation>
  </dataValidations>
  <pageMargins left="0.7" right="0.7" top="0.75" bottom="0.75" header="0.3" footer="0.3"/>
  <pageSetup paperSize="9" orientation="portrait" verticalDpi="598" r:id="rId1"/>
  <headerFooter>
    <oddFooter>&amp;R&amp;1#&amp;"Arial"&amp;10&amp;K000000Confidential C</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0D12A-D16B-426B-B09A-7EB544A25029}">
  <sheetPr codeName="Feuil20"/>
  <dimension ref="A1:AU275"/>
  <sheetViews>
    <sheetView topLeftCell="A207" zoomScale="82" zoomScaleNormal="90" workbookViewId="0">
      <selection activeCell="D9" sqref="D9"/>
    </sheetView>
  </sheetViews>
  <sheetFormatPr baseColWidth="10" defaultColWidth="9.1796875" defaultRowHeight="14.5" x14ac:dyDescent="0.35"/>
  <cols>
    <col min="1" max="1" width="6.81640625" style="121" customWidth="1"/>
    <col min="2" max="2" width="32" style="122" customWidth="1"/>
    <col min="3" max="3" width="63.7265625" style="84" customWidth="1"/>
    <col min="4" max="4" width="43.26953125" style="84" customWidth="1"/>
    <col min="5" max="5" width="99.26953125" style="123" customWidth="1"/>
    <col min="6" max="6" width="50.1796875" style="84" customWidth="1"/>
    <col min="7" max="7" width="3.54296875" style="84" customWidth="1"/>
    <col min="8" max="16384" width="9.1796875" style="84"/>
  </cols>
  <sheetData>
    <row r="1" spans="1:47" ht="15" thickBot="1" x14ac:dyDescent="0.4">
      <c r="A1" s="82"/>
      <c r="B1" s="404" t="s">
        <v>599</v>
      </c>
      <c r="C1" s="405"/>
      <c r="D1" s="405"/>
      <c r="E1" s="405"/>
      <c r="F1" s="406"/>
      <c r="G1" s="83"/>
      <c r="H1" s="394" t="s">
        <v>535</v>
      </c>
      <c r="I1" s="395"/>
      <c r="J1" s="395"/>
      <c r="K1" s="395"/>
      <c r="L1" s="395"/>
      <c r="M1" s="395"/>
      <c r="N1" s="395"/>
      <c r="O1" s="395"/>
      <c r="P1" s="395"/>
      <c r="Q1" s="395"/>
      <c r="R1" s="395"/>
      <c r="S1" s="396"/>
      <c r="T1" s="83"/>
      <c r="U1" s="394" t="s">
        <v>535</v>
      </c>
      <c r="V1" s="395"/>
      <c r="W1" s="395"/>
      <c r="X1" s="395"/>
      <c r="Y1" s="395"/>
      <c r="Z1" s="395"/>
      <c r="AA1" s="395"/>
      <c r="AB1" s="395"/>
      <c r="AC1" s="395"/>
      <c r="AD1" s="395"/>
      <c r="AE1" s="395"/>
      <c r="AF1" s="396"/>
      <c r="AG1" s="83"/>
      <c r="AH1" s="394" t="s">
        <v>535</v>
      </c>
      <c r="AI1" s="395"/>
      <c r="AJ1" s="395"/>
      <c r="AK1" s="395"/>
      <c r="AL1" s="395"/>
      <c r="AM1" s="395"/>
      <c r="AN1" s="395"/>
      <c r="AO1" s="395"/>
      <c r="AP1" s="395"/>
      <c r="AQ1" s="395"/>
      <c r="AR1" s="395"/>
      <c r="AS1" s="396"/>
      <c r="AT1" s="83"/>
      <c r="AU1" s="83"/>
    </row>
    <row r="2" spans="1:47" ht="44.25" customHeight="1" thickBot="1" x14ac:dyDescent="0.4">
      <c r="A2" s="82"/>
      <c r="B2" s="236" t="s">
        <v>536</v>
      </c>
      <c r="C2" s="424" t="s">
        <v>600</v>
      </c>
      <c r="D2" s="424"/>
      <c r="E2" s="424"/>
      <c r="F2" s="425"/>
      <c r="G2" s="83"/>
      <c r="H2" s="404" t="s">
        <v>537</v>
      </c>
      <c r="I2" s="405"/>
      <c r="J2" s="405"/>
      <c r="K2" s="405"/>
      <c r="L2" s="405"/>
      <c r="M2" s="405"/>
      <c r="N2" s="405"/>
      <c r="O2" s="405"/>
      <c r="P2" s="405"/>
      <c r="Q2" s="405"/>
      <c r="R2" s="405"/>
      <c r="S2" s="406"/>
      <c r="T2" s="83"/>
      <c r="U2" s="404" t="s">
        <v>601</v>
      </c>
      <c r="V2" s="405"/>
      <c r="W2" s="405"/>
      <c r="X2" s="405"/>
      <c r="Y2" s="405"/>
      <c r="Z2" s="405"/>
      <c r="AA2" s="405"/>
      <c r="AB2" s="405"/>
      <c r="AC2" s="405"/>
      <c r="AD2" s="405"/>
      <c r="AE2" s="405"/>
      <c r="AF2" s="406"/>
      <c r="AG2" s="83"/>
      <c r="AH2" s="404" t="s">
        <v>602</v>
      </c>
      <c r="AI2" s="405"/>
      <c r="AJ2" s="405"/>
      <c r="AK2" s="405"/>
      <c r="AL2" s="405"/>
      <c r="AM2" s="405"/>
      <c r="AN2" s="405"/>
      <c r="AO2" s="405"/>
      <c r="AP2" s="405"/>
      <c r="AQ2" s="405"/>
      <c r="AR2" s="405"/>
      <c r="AS2" s="406"/>
      <c r="AT2" s="83"/>
      <c r="AU2" s="83"/>
    </row>
    <row r="3" spans="1:47" ht="39" customHeight="1" thickBot="1" x14ac:dyDescent="0.4">
      <c r="A3" s="82"/>
      <c r="B3" s="237" t="s">
        <v>536</v>
      </c>
      <c r="C3" s="426" t="s">
        <v>603</v>
      </c>
      <c r="D3" s="426"/>
      <c r="E3" s="426"/>
      <c r="F3" s="427"/>
      <c r="G3" s="83"/>
      <c r="H3" s="231"/>
      <c r="I3" s="232"/>
      <c r="J3" s="232"/>
      <c r="K3" s="232"/>
      <c r="L3" s="232"/>
      <c r="M3" s="232"/>
      <c r="N3" s="232"/>
      <c r="O3" s="232"/>
      <c r="P3" s="232"/>
      <c r="Q3" s="232"/>
      <c r="R3" s="232"/>
      <c r="S3" s="233"/>
      <c r="T3" s="83"/>
      <c r="U3" s="231"/>
      <c r="V3" s="232"/>
      <c r="W3" s="232"/>
      <c r="X3" s="232"/>
      <c r="Y3" s="232"/>
      <c r="Z3" s="232"/>
      <c r="AA3" s="232"/>
      <c r="AB3" s="232"/>
      <c r="AC3" s="232"/>
      <c r="AD3" s="232"/>
      <c r="AE3" s="232"/>
      <c r="AF3" s="233"/>
      <c r="AG3" s="83"/>
      <c r="AH3" s="231"/>
      <c r="AI3" s="232"/>
      <c r="AJ3" s="232"/>
      <c r="AK3" s="232"/>
      <c r="AL3" s="232"/>
      <c r="AM3" s="232"/>
      <c r="AN3" s="232"/>
      <c r="AO3" s="232"/>
      <c r="AP3" s="232"/>
      <c r="AQ3" s="232"/>
      <c r="AR3" s="232"/>
      <c r="AS3" s="233"/>
      <c r="AT3" s="83"/>
      <c r="AU3" s="83"/>
    </row>
    <row r="4" spans="1:47" ht="15" thickBot="1" x14ac:dyDescent="0.4">
      <c r="A4" s="82"/>
      <c r="B4" s="83"/>
      <c r="C4" s="83"/>
      <c r="D4" s="83"/>
      <c r="E4" s="86"/>
      <c r="F4" s="83"/>
      <c r="G4" s="83"/>
      <c r="H4" s="407"/>
      <c r="I4" s="408"/>
      <c r="J4" s="408"/>
      <c r="K4" s="408"/>
      <c r="L4" s="408"/>
      <c r="M4" s="408"/>
      <c r="N4" s="408"/>
      <c r="O4" s="408"/>
      <c r="P4" s="408"/>
      <c r="Q4" s="408"/>
      <c r="R4" s="408"/>
      <c r="S4" s="409"/>
      <c r="T4" s="83"/>
      <c r="U4" s="407"/>
      <c r="V4" s="408"/>
      <c r="W4" s="408"/>
      <c r="X4" s="408"/>
      <c r="Y4" s="408"/>
      <c r="Z4" s="408"/>
      <c r="AA4" s="408"/>
      <c r="AB4" s="408"/>
      <c r="AC4" s="408"/>
      <c r="AD4" s="408"/>
      <c r="AE4" s="408"/>
      <c r="AF4" s="409"/>
      <c r="AG4" s="83"/>
      <c r="AH4" s="407"/>
      <c r="AI4" s="408"/>
      <c r="AJ4" s="408"/>
      <c r="AK4" s="408"/>
      <c r="AL4" s="408"/>
      <c r="AM4" s="408"/>
      <c r="AN4" s="408"/>
      <c r="AO4" s="408"/>
      <c r="AP4" s="408"/>
      <c r="AQ4" s="408"/>
      <c r="AR4" s="408"/>
      <c r="AS4" s="409"/>
      <c r="AT4" s="83"/>
      <c r="AU4" s="83"/>
    </row>
    <row r="5" spans="1:47" x14ac:dyDescent="0.35">
      <c r="A5" s="87"/>
      <c r="B5" s="404" t="s">
        <v>538</v>
      </c>
      <c r="C5" s="405"/>
      <c r="D5" s="405"/>
      <c r="E5" s="405"/>
      <c r="F5" s="406"/>
      <c r="G5" s="88"/>
      <c r="H5" s="410"/>
      <c r="I5" s="411"/>
      <c r="J5" s="411"/>
      <c r="K5" s="411"/>
      <c r="L5" s="411"/>
      <c r="M5" s="411"/>
      <c r="N5" s="411"/>
      <c r="O5" s="411"/>
      <c r="P5" s="411"/>
      <c r="Q5" s="411"/>
      <c r="R5" s="411"/>
      <c r="S5" s="412"/>
      <c r="T5" s="83"/>
      <c r="U5" s="410"/>
      <c r="V5" s="411"/>
      <c r="W5" s="411"/>
      <c r="X5" s="411"/>
      <c r="Y5" s="411"/>
      <c r="Z5" s="411"/>
      <c r="AA5" s="411"/>
      <c r="AB5" s="411"/>
      <c r="AC5" s="411"/>
      <c r="AD5" s="411"/>
      <c r="AE5" s="411"/>
      <c r="AF5" s="412"/>
      <c r="AG5" s="83"/>
      <c r="AH5" s="410"/>
      <c r="AI5" s="411"/>
      <c r="AJ5" s="411"/>
      <c r="AK5" s="411"/>
      <c r="AL5" s="411"/>
      <c r="AM5" s="411"/>
      <c r="AN5" s="411"/>
      <c r="AO5" s="411"/>
      <c r="AP5" s="411"/>
      <c r="AQ5" s="411"/>
      <c r="AR5" s="411"/>
      <c r="AS5" s="412"/>
      <c r="AT5" s="83"/>
      <c r="AU5" s="83"/>
    </row>
    <row r="6" spans="1:47" ht="18" customHeight="1" x14ac:dyDescent="0.35">
      <c r="A6" s="87" t="str">
        <f>CONCATENATE(B6,C6)</f>
        <v>StepsActions</v>
      </c>
      <c r="B6" s="89" t="s">
        <v>539</v>
      </c>
      <c r="C6" s="90" t="s">
        <v>540</v>
      </c>
      <c r="D6" s="90" t="s">
        <v>541</v>
      </c>
      <c r="E6" s="90" t="s">
        <v>542</v>
      </c>
      <c r="F6" s="91" t="s">
        <v>57</v>
      </c>
      <c r="G6" s="83"/>
      <c r="H6" s="410"/>
      <c r="I6" s="411"/>
      <c r="J6" s="411"/>
      <c r="K6" s="411"/>
      <c r="L6" s="411"/>
      <c r="M6" s="411"/>
      <c r="N6" s="411"/>
      <c r="O6" s="411"/>
      <c r="P6" s="411"/>
      <c r="Q6" s="411"/>
      <c r="R6" s="411"/>
      <c r="S6" s="412"/>
      <c r="T6" s="83"/>
      <c r="U6" s="410"/>
      <c r="V6" s="411"/>
      <c r="W6" s="411"/>
      <c r="X6" s="411"/>
      <c r="Y6" s="411"/>
      <c r="Z6" s="411"/>
      <c r="AA6" s="411"/>
      <c r="AB6" s="411"/>
      <c r="AC6" s="411"/>
      <c r="AD6" s="411"/>
      <c r="AE6" s="411"/>
      <c r="AF6" s="412"/>
      <c r="AG6" s="83"/>
      <c r="AH6" s="410"/>
      <c r="AI6" s="411"/>
      <c r="AJ6" s="411"/>
      <c r="AK6" s="411"/>
      <c r="AL6" s="411"/>
      <c r="AM6" s="411"/>
      <c r="AN6" s="411"/>
      <c r="AO6" s="411"/>
      <c r="AP6" s="411"/>
      <c r="AQ6" s="411"/>
      <c r="AR6" s="411"/>
      <c r="AS6" s="412"/>
      <c r="AT6" s="83"/>
      <c r="AU6" s="83"/>
    </row>
    <row r="7" spans="1:47" s="94" customFormat="1" ht="15.5" x14ac:dyDescent="0.35">
      <c r="A7" s="87" t="str">
        <f>CONCATENATE(B7,C7)</f>
        <v>Part 1Robustness to V2G ( smart charging ) charging stations</v>
      </c>
      <c r="B7" s="92" t="s">
        <v>543</v>
      </c>
      <c r="C7" s="413" t="s">
        <v>604</v>
      </c>
      <c r="D7" s="414"/>
      <c r="E7" s="414"/>
      <c r="F7" s="415"/>
      <c r="G7" s="93"/>
      <c r="H7" s="410"/>
      <c r="I7" s="411"/>
      <c r="J7" s="411"/>
      <c r="K7" s="411"/>
      <c r="L7" s="411"/>
      <c r="M7" s="411"/>
      <c r="N7" s="411"/>
      <c r="O7" s="411"/>
      <c r="P7" s="411"/>
      <c r="Q7" s="411"/>
      <c r="R7" s="411"/>
      <c r="S7" s="412"/>
      <c r="T7" s="93"/>
      <c r="U7" s="410"/>
      <c r="V7" s="411"/>
      <c r="W7" s="411"/>
      <c r="X7" s="411"/>
      <c r="Y7" s="411"/>
      <c r="Z7" s="411"/>
      <c r="AA7" s="411"/>
      <c r="AB7" s="411"/>
      <c r="AC7" s="411"/>
      <c r="AD7" s="411"/>
      <c r="AE7" s="411"/>
      <c r="AF7" s="412"/>
      <c r="AG7" s="93"/>
      <c r="AH7" s="410"/>
      <c r="AI7" s="411"/>
      <c r="AJ7" s="411"/>
      <c r="AK7" s="411"/>
      <c r="AL7" s="411"/>
      <c r="AM7" s="411"/>
      <c r="AN7" s="411"/>
      <c r="AO7" s="411"/>
      <c r="AP7" s="411"/>
      <c r="AQ7" s="411"/>
      <c r="AR7" s="411"/>
      <c r="AS7" s="412"/>
      <c r="AT7" s="93"/>
      <c r="AU7" s="93"/>
    </row>
    <row r="8" spans="1:47" x14ac:dyDescent="0.35">
      <c r="A8" s="87" t="str">
        <f>CONCATENATE(B8,C8)</f>
        <v xml:space="preserve">Initial StateVehicle with available production certificates for V2G and PnC features and both the service well activated </v>
      </c>
      <c r="B8" s="95" t="s">
        <v>545</v>
      </c>
      <c r="C8" s="416" t="s">
        <v>605</v>
      </c>
      <c r="D8" s="417"/>
      <c r="E8" s="417"/>
      <c r="F8" s="418"/>
      <c r="G8" s="83"/>
      <c r="H8" s="410"/>
      <c r="I8" s="411"/>
      <c r="J8" s="411"/>
      <c r="K8" s="411"/>
      <c r="L8" s="411"/>
      <c r="M8" s="411"/>
      <c r="N8" s="411"/>
      <c r="O8" s="411"/>
      <c r="P8" s="411"/>
      <c r="Q8" s="411"/>
      <c r="R8" s="411"/>
      <c r="S8" s="412"/>
      <c r="T8" s="83"/>
      <c r="U8" s="410"/>
      <c r="V8" s="411"/>
      <c r="W8" s="411"/>
      <c r="X8" s="411"/>
      <c r="Y8" s="411"/>
      <c r="Z8" s="411"/>
      <c r="AA8" s="411"/>
      <c r="AB8" s="411"/>
      <c r="AC8" s="411"/>
      <c r="AD8" s="411"/>
      <c r="AE8" s="411"/>
      <c r="AF8" s="412"/>
      <c r="AG8" s="83"/>
      <c r="AH8" s="410"/>
      <c r="AI8" s="411"/>
      <c r="AJ8" s="411"/>
      <c r="AK8" s="411"/>
      <c r="AL8" s="411"/>
      <c r="AM8" s="411"/>
      <c r="AN8" s="411"/>
      <c r="AO8" s="411"/>
      <c r="AP8" s="411"/>
      <c r="AQ8" s="411"/>
      <c r="AR8" s="411"/>
      <c r="AS8" s="412"/>
      <c r="AT8" s="83"/>
      <c r="AU8" s="83"/>
    </row>
    <row r="9" spans="1:47" ht="174" x14ac:dyDescent="0.35">
      <c r="A9" s="87" t="str">
        <f>CONCATENATE(B9,C9)</f>
        <v>1.1Program a V2G session for about in 2 hours and as well activate the PnC toggle on the IVI</v>
      </c>
      <c r="B9" s="96" t="s">
        <v>122</v>
      </c>
      <c r="C9" s="97" t="s">
        <v>606</v>
      </c>
      <c r="D9" s="98"/>
      <c r="E9" s="234" t="s">
        <v>607</v>
      </c>
      <c r="F9" s="100"/>
      <c r="G9" s="83"/>
      <c r="H9" s="410"/>
      <c r="I9" s="411"/>
      <c r="J9" s="411"/>
      <c r="K9" s="411"/>
      <c r="L9" s="411"/>
      <c r="M9" s="411"/>
      <c r="N9" s="411"/>
      <c r="O9" s="411"/>
      <c r="P9" s="411"/>
      <c r="Q9" s="411"/>
      <c r="R9" s="411"/>
      <c r="S9" s="412"/>
      <c r="T9" s="83"/>
      <c r="U9" s="410"/>
      <c r="V9" s="411"/>
      <c r="W9" s="411"/>
      <c r="X9" s="411"/>
      <c r="Y9" s="411"/>
      <c r="Z9" s="411"/>
      <c r="AA9" s="411"/>
      <c r="AB9" s="411"/>
      <c r="AC9" s="411"/>
      <c r="AD9" s="411"/>
      <c r="AE9" s="411"/>
      <c r="AF9" s="412"/>
      <c r="AG9" s="83"/>
      <c r="AH9" s="410"/>
      <c r="AI9" s="411"/>
      <c r="AJ9" s="411"/>
      <c r="AK9" s="411"/>
      <c r="AL9" s="411"/>
      <c r="AM9" s="411"/>
      <c r="AN9" s="411"/>
      <c r="AO9" s="411"/>
      <c r="AP9" s="411"/>
      <c r="AQ9" s="411"/>
      <c r="AR9" s="411"/>
      <c r="AS9" s="412"/>
      <c r="AT9" s="83"/>
      <c r="AU9" s="83"/>
    </row>
    <row r="10" spans="1:47" ht="29.25" customHeight="1" x14ac:dyDescent="0.35">
      <c r="A10" s="87"/>
      <c r="B10" s="96" t="s">
        <v>552</v>
      </c>
      <c r="C10" s="97" t="s">
        <v>608</v>
      </c>
      <c r="D10" s="98"/>
      <c r="E10" s="235" t="s">
        <v>609</v>
      </c>
      <c r="F10" s="100"/>
      <c r="G10" s="83"/>
      <c r="H10" s="410"/>
      <c r="I10" s="411"/>
      <c r="J10" s="411"/>
      <c r="K10" s="411"/>
      <c r="L10" s="411"/>
      <c r="M10" s="411"/>
      <c r="N10" s="411"/>
      <c r="O10" s="411"/>
      <c r="P10" s="411"/>
      <c r="Q10" s="411"/>
      <c r="R10" s="411"/>
      <c r="S10" s="412"/>
      <c r="T10" s="83"/>
      <c r="U10" s="410"/>
      <c r="V10" s="411"/>
      <c r="W10" s="411"/>
      <c r="X10" s="411"/>
      <c r="Y10" s="411"/>
      <c r="Z10" s="411"/>
      <c r="AA10" s="411"/>
      <c r="AB10" s="411"/>
      <c r="AC10" s="411"/>
      <c r="AD10" s="411"/>
      <c r="AE10" s="411"/>
      <c r="AF10" s="412"/>
      <c r="AG10" s="83"/>
      <c r="AH10" s="410"/>
      <c r="AI10" s="411"/>
      <c r="AJ10" s="411"/>
      <c r="AK10" s="411"/>
      <c r="AL10" s="411"/>
      <c r="AM10" s="411"/>
      <c r="AN10" s="411"/>
      <c r="AO10" s="411"/>
      <c r="AP10" s="411"/>
      <c r="AQ10" s="411"/>
      <c r="AR10" s="411"/>
      <c r="AS10" s="412"/>
      <c r="AT10" s="83"/>
      <c r="AU10" s="83"/>
    </row>
    <row r="11" spans="1:47" ht="174" x14ac:dyDescent="0.35">
      <c r="A11" s="87"/>
      <c r="B11" s="101" t="s">
        <v>430</v>
      </c>
      <c r="C11" s="129" t="s">
        <v>549</v>
      </c>
      <c r="D11" s="102" t="s">
        <v>610</v>
      </c>
      <c r="E11" s="103" t="s">
        <v>611</v>
      </c>
      <c r="F11" s="104"/>
      <c r="G11" s="83"/>
      <c r="H11" s="410"/>
      <c r="I11" s="411"/>
      <c r="J11" s="411"/>
      <c r="K11" s="411"/>
      <c r="L11" s="411"/>
      <c r="M11" s="411"/>
      <c r="N11" s="411"/>
      <c r="O11" s="411"/>
      <c r="P11" s="411"/>
      <c r="Q11" s="411"/>
      <c r="R11" s="411"/>
      <c r="S11" s="412"/>
      <c r="T11" s="83"/>
      <c r="U11" s="410"/>
      <c r="V11" s="411"/>
      <c r="W11" s="411"/>
      <c r="X11" s="411"/>
      <c r="Y11" s="411"/>
      <c r="Z11" s="411"/>
      <c r="AA11" s="411"/>
      <c r="AB11" s="411"/>
      <c r="AC11" s="411"/>
      <c r="AD11" s="411"/>
      <c r="AE11" s="411"/>
      <c r="AF11" s="412"/>
      <c r="AG11" s="83"/>
      <c r="AH11" s="410"/>
      <c r="AI11" s="411"/>
      <c r="AJ11" s="411"/>
      <c r="AK11" s="411"/>
      <c r="AL11" s="411"/>
      <c r="AM11" s="411"/>
      <c r="AN11" s="411"/>
      <c r="AO11" s="411"/>
      <c r="AP11" s="411"/>
      <c r="AQ11" s="411"/>
      <c r="AR11" s="411"/>
      <c r="AS11" s="412"/>
      <c r="AT11" s="83"/>
      <c r="AU11" s="83"/>
    </row>
    <row r="12" spans="1:47" ht="45" customHeight="1" x14ac:dyDescent="0.35">
      <c r="A12" s="87"/>
      <c r="B12" s="101" t="s">
        <v>430</v>
      </c>
      <c r="C12" s="129" t="s">
        <v>549</v>
      </c>
      <c r="D12" s="102" t="s">
        <v>612</v>
      </c>
      <c r="E12" s="103" t="s">
        <v>613</v>
      </c>
      <c r="F12" s="104"/>
      <c r="G12" s="83"/>
      <c r="H12" s="410"/>
      <c r="I12" s="411"/>
      <c r="J12" s="411"/>
      <c r="K12" s="411"/>
      <c r="L12" s="411"/>
      <c r="M12" s="411"/>
      <c r="N12" s="411"/>
      <c r="O12" s="411"/>
      <c r="P12" s="411"/>
      <c r="Q12" s="411"/>
      <c r="R12" s="411"/>
      <c r="S12" s="412"/>
      <c r="T12" s="83"/>
      <c r="U12" s="410"/>
      <c r="V12" s="411"/>
      <c r="W12" s="411"/>
      <c r="X12" s="411"/>
      <c r="Y12" s="411"/>
      <c r="Z12" s="411"/>
      <c r="AA12" s="411"/>
      <c r="AB12" s="411"/>
      <c r="AC12" s="411"/>
      <c r="AD12" s="411"/>
      <c r="AE12" s="411"/>
      <c r="AF12" s="412"/>
      <c r="AG12" s="83"/>
      <c r="AH12" s="410"/>
      <c r="AI12" s="411"/>
      <c r="AJ12" s="411"/>
      <c r="AK12" s="411"/>
      <c r="AL12" s="411"/>
      <c r="AM12" s="411"/>
      <c r="AN12" s="411"/>
      <c r="AO12" s="411"/>
      <c r="AP12" s="411"/>
      <c r="AQ12" s="411"/>
      <c r="AR12" s="411"/>
      <c r="AS12" s="412"/>
      <c r="AT12" s="83"/>
      <c r="AU12" s="83"/>
    </row>
    <row r="13" spans="1:47" x14ac:dyDescent="0.35">
      <c r="A13" s="87"/>
      <c r="B13" s="96" t="s">
        <v>424</v>
      </c>
      <c r="C13" s="97" t="s">
        <v>614</v>
      </c>
      <c r="D13" s="98"/>
      <c r="E13" s="98"/>
      <c r="F13" s="100"/>
      <c r="G13" s="83"/>
      <c r="H13" s="410"/>
      <c r="I13" s="411"/>
      <c r="J13" s="411"/>
      <c r="K13" s="411"/>
      <c r="L13" s="411"/>
      <c r="M13" s="411"/>
      <c r="N13" s="411"/>
      <c r="O13" s="411"/>
      <c r="P13" s="411"/>
      <c r="Q13" s="411"/>
      <c r="R13" s="411"/>
      <c r="S13" s="412"/>
      <c r="T13" s="83"/>
      <c r="U13" s="410"/>
      <c r="V13" s="411"/>
      <c r="W13" s="411"/>
      <c r="X13" s="411"/>
      <c r="Y13" s="411"/>
      <c r="Z13" s="411"/>
      <c r="AA13" s="411"/>
      <c r="AB13" s="411"/>
      <c r="AC13" s="411"/>
      <c r="AD13" s="411"/>
      <c r="AE13" s="411"/>
      <c r="AF13" s="412"/>
      <c r="AG13" s="83"/>
      <c r="AH13" s="410"/>
      <c r="AI13" s="411"/>
      <c r="AJ13" s="411"/>
      <c r="AK13" s="411"/>
      <c r="AL13" s="411"/>
      <c r="AM13" s="411"/>
      <c r="AN13" s="411"/>
      <c r="AO13" s="411"/>
      <c r="AP13" s="411"/>
      <c r="AQ13" s="411"/>
      <c r="AR13" s="411"/>
      <c r="AS13" s="412"/>
      <c r="AT13" s="83"/>
      <c r="AU13" s="83"/>
    </row>
    <row r="14" spans="1:47" ht="174" x14ac:dyDescent="0.35">
      <c r="A14" s="87"/>
      <c r="B14" s="96" t="s">
        <v>559</v>
      </c>
      <c r="C14" s="97" t="s">
        <v>615</v>
      </c>
      <c r="D14" s="98"/>
      <c r="E14" s="238" t="s">
        <v>607</v>
      </c>
      <c r="F14" s="100"/>
      <c r="G14" s="83"/>
      <c r="H14" s="410"/>
      <c r="I14" s="411"/>
      <c r="J14" s="411"/>
      <c r="K14" s="411"/>
      <c r="L14" s="411"/>
      <c r="M14" s="411"/>
      <c r="N14" s="411"/>
      <c r="O14" s="411"/>
      <c r="P14" s="411"/>
      <c r="Q14" s="411"/>
      <c r="R14" s="411"/>
      <c r="S14" s="412"/>
      <c r="T14" s="83"/>
      <c r="U14" s="410"/>
      <c r="V14" s="411"/>
      <c r="W14" s="411"/>
      <c r="X14" s="411"/>
      <c r="Y14" s="411"/>
      <c r="Z14" s="411"/>
      <c r="AA14" s="411"/>
      <c r="AB14" s="411"/>
      <c r="AC14" s="411"/>
      <c r="AD14" s="411"/>
      <c r="AE14" s="411"/>
      <c r="AF14" s="412"/>
      <c r="AG14" s="83"/>
      <c r="AH14" s="410"/>
      <c r="AI14" s="411"/>
      <c r="AJ14" s="411"/>
      <c r="AK14" s="411"/>
      <c r="AL14" s="411"/>
      <c r="AM14" s="411"/>
      <c r="AN14" s="411"/>
      <c r="AO14" s="411"/>
      <c r="AP14" s="411"/>
      <c r="AQ14" s="411"/>
      <c r="AR14" s="411"/>
      <c r="AS14" s="412"/>
      <c r="AT14" s="83"/>
      <c r="AU14" s="83"/>
    </row>
    <row r="15" spans="1:47" ht="128.25" customHeight="1" x14ac:dyDescent="0.35">
      <c r="A15" s="87" t="str">
        <f>CONCATENATE(B18,C18)</f>
        <v>1.5Unplug to stop the charge.</v>
      </c>
      <c r="B15" s="101" t="s">
        <v>430</v>
      </c>
      <c r="C15" s="129" t="s">
        <v>549</v>
      </c>
      <c r="D15" s="102" t="s">
        <v>616</v>
      </c>
      <c r="E15" s="103" t="s">
        <v>617</v>
      </c>
      <c r="F15" s="104"/>
      <c r="G15" s="83"/>
      <c r="H15" s="410"/>
      <c r="I15" s="411"/>
      <c r="J15" s="411"/>
      <c r="K15" s="411"/>
      <c r="L15" s="411"/>
      <c r="M15" s="411"/>
      <c r="N15" s="411"/>
      <c r="O15" s="411"/>
      <c r="P15" s="411"/>
      <c r="Q15" s="411"/>
      <c r="R15" s="411"/>
      <c r="S15" s="412"/>
      <c r="T15" s="83"/>
      <c r="U15" s="410"/>
      <c r="V15" s="411"/>
      <c r="W15" s="411"/>
      <c r="X15" s="411"/>
      <c r="Y15" s="411"/>
      <c r="Z15" s="411"/>
      <c r="AA15" s="411"/>
      <c r="AB15" s="411"/>
      <c r="AC15" s="411"/>
      <c r="AD15" s="411"/>
      <c r="AE15" s="411"/>
      <c r="AF15" s="412"/>
      <c r="AG15" s="83"/>
      <c r="AH15" s="410"/>
      <c r="AI15" s="411"/>
      <c r="AJ15" s="411"/>
      <c r="AK15" s="411"/>
      <c r="AL15" s="411"/>
      <c r="AM15" s="411"/>
      <c r="AN15" s="411"/>
      <c r="AO15" s="411"/>
      <c r="AP15" s="411"/>
      <c r="AQ15" s="411"/>
      <c r="AR15" s="411"/>
      <c r="AS15" s="412"/>
      <c r="AT15" s="83"/>
      <c r="AU15" s="83"/>
    </row>
    <row r="16" spans="1:47" ht="145" x14ac:dyDescent="0.35">
      <c r="A16" s="87"/>
      <c r="B16" s="101" t="s">
        <v>430</v>
      </c>
      <c r="C16" s="129" t="s">
        <v>549</v>
      </c>
      <c r="D16" s="102" t="s">
        <v>618</v>
      </c>
      <c r="E16" s="103" t="s">
        <v>619</v>
      </c>
      <c r="F16" s="104"/>
      <c r="G16" s="83"/>
      <c r="H16" s="410"/>
      <c r="I16" s="411"/>
      <c r="J16" s="411"/>
      <c r="K16" s="411"/>
      <c r="L16" s="411"/>
      <c r="M16" s="411"/>
      <c r="N16" s="411"/>
      <c r="O16" s="411"/>
      <c r="P16" s="411"/>
      <c r="Q16" s="411"/>
      <c r="R16" s="411"/>
      <c r="S16" s="412"/>
      <c r="T16" s="83"/>
      <c r="U16" s="410"/>
      <c r="V16" s="411"/>
      <c r="W16" s="411"/>
      <c r="X16" s="411"/>
      <c r="Y16" s="411"/>
      <c r="Z16" s="411"/>
      <c r="AA16" s="411"/>
      <c r="AB16" s="411"/>
      <c r="AC16" s="411"/>
      <c r="AD16" s="411"/>
      <c r="AE16" s="411"/>
      <c r="AF16" s="412"/>
      <c r="AG16" s="83"/>
      <c r="AH16" s="410"/>
      <c r="AI16" s="411"/>
      <c r="AJ16" s="411"/>
      <c r="AK16" s="411"/>
      <c r="AL16" s="411"/>
      <c r="AM16" s="411"/>
      <c r="AN16" s="411"/>
      <c r="AO16" s="411"/>
      <c r="AP16" s="411"/>
      <c r="AQ16" s="411"/>
      <c r="AR16" s="411"/>
      <c r="AS16" s="412"/>
      <c r="AT16" s="83"/>
      <c r="AU16" s="83"/>
    </row>
    <row r="17" spans="1:47" ht="45" customHeight="1" x14ac:dyDescent="0.35">
      <c r="A17" s="87" t="str">
        <f>CONCATENATE(B21,C21)</f>
        <v>REQ_ROB-Interop-V2G_001NR</v>
      </c>
      <c r="B17" s="101" t="s">
        <v>430</v>
      </c>
      <c r="C17" s="129" t="s">
        <v>549</v>
      </c>
      <c r="D17" s="102" t="s">
        <v>612</v>
      </c>
      <c r="E17" s="103" t="s">
        <v>613</v>
      </c>
      <c r="F17" s="104"/>
      <c r="G17" s="83"/>
      <c r="H17" s="410"/>
      <c r="I17" s="411"/>
      <c r="J17" s="411"/>
      <c r="K17" s="411"/>
      <c r="L17" s="411"/>
      <c r="M17" s="411"/>
      <c r="N17" s="411"/>
      <c r="O17" s="411"/>
      <c r="P17" s="411"/>
      <c r="Q17" s="411"/>
      <c r="R17" s="411"/>
      <c r="S17" s="412"/>
      <c r="T17" s="83"/>
      <c r="U17" s="410"/>
      <c r="V17" s="411"/>
      <c r="W17" s="411"/>
      <c r="X17" s="411"/>
      <c r="Y17" s="411"/>
      <c r="Z17" s="411"/>
      <c r="AA17" s="411"/>
      <c r="AB17" s="411"/>
      <c r="AC17" s="411"/>
      <c r="AD17" s="411"/>
      <c r="AE17" s="411"/>
      <c r="AF17" s="412"/>
      <c r="AG17" s="83"/>
      <c r="AH17" s="410"/>
      <c r="AI17" s="411"/>
      <c r="AJ17" s="411"/>
      <c r="AK17" s="411"/>
      <c r="AL17" s="411"/>
      <c r="AM17" s="411"/>
      <c r="AN17" s="411"/>
      <c r="AO17" s="411"/>
      <c r="AP17" s="411"/>
      <c r="AQ17" s="411"/>
      <c r="AR17" s="411"/>
      <c r="AS17" s="412"/>
      <c r="AT17" s="83"/>
      <c r="AU17" s="83"/>
    </row>
    <row r="18" spans="1:47" x14ac:dyDescent="0.35">
      <c r="A18" s="87"/>
      <c r="B18" s="96" t="s">
        <v>560</v>
      </c>
      <c r="C18" s="97" t="s">
        <v>620</v>
      </c>
      <c r="D18" s="98"/>
      <c r="E18" s="98"/>
      <c r="F18" s="100"/>
      <c r="G18" s="83"/>
      <c r="H18" s="410"/>
      <c r="I18" s="411"/>
      <c r="J18" s="411"/>
      <c r="K18" s="411"/>
      <c r="L18" s="411"/>
      <c r="M18" s="411"/>
      <c r="N18" s="411"/>
      <c r="O18" s="411"/>
      <c r="P18" s="411"/>
      <c r="Q18" s="411"/>
      <c r="R18" s="411"/>
      <c r="S18" s="412"/>
      <c r="T18" s="83"/>
      <c r="U18" s="410"/>
      <c r="V18" s="411"/>
      <c r="W18" s="411"/>
      <c r="X18" s="411"/>
      <c r="Y18" s="411"/>
      <c r="Z18" s="411"/>
      <c r="AA18" s="411"/>
      <c r="AB18" s="411"/>
      <c r="AC18" s="411"/>
      <c r="AD18" s="411"/>
      <c r="AE18" s="411"/>
      <c r="AF18" s="412"/>
      <c r="AG18" s="83"/>
      <c r="AH18" s="410"/>
      <c r="AI18" s="411"/>
      <c r="AJ18" s="411"/>
      <c r="AK18" s="411"/>
      <c r="AL18" s="411"/>
      <c r="AM18" s="411"/>
      <c r="AN18" s="411"/>
      <c r="AO18" s="411"/>
      <c r="AP18" s="411"/>
      <c r="AQ18" s="411"/>
      <c r="AR18" s="411"/>
      <c r="AS18" s="412"/>
      <c r="AT18" s="83"/>
      <c r="AU18" s="83"/>
    </row>
    <row r="19" spans="1:47" ht="174" x14ac:dyDescent="0.35">
      <c r="A19" s="87"/>
      <c r="B19" s="96" t="s">
        <v>562</v>
      </c>
      <c r="C19" s="97" t="s">
        <v>621</v>
      </c>
      <c r="D19" s="98"/>
      <c r="E19" s="238" t="s">
        <v>622</v>
      </c>
      <c r="F19" s="100"/>
      <c r="G19" s="83"/>
      <c r="H19" s="410"/>
      <c r="I19" s="411"/>
      <c r="J19" s="411"/>
      <c r="K19" s="411"/>
      <c r="L19" s="411"/>
      <c r="M19" s="411"/>
      <c r="N19" s="411"/>
      <c r="O19" s="411"/>
      <c r="P19" s="411"/>
      <c r="Q19" s="411"/>
      <c r="R19" s="411"/>
      <c r="S19" s="412"/>
      <c r="T19" s="83"/>
      <c r="U19" s="410"/>
      <c r="V19" s="411"/>
      <c r="W19" s="411"/>
      <c r="X19" s="411"/>
      <c r="Y19" s="411"/>
      <c r="Z19" s="411"/>
      <c r="AA19" s="411"/>
      <c r="AB19" s="411"/>
      <c r="AC19" s="411"/>
      <c r="AD19" s="411"/>
      <c r="AE19" s="411"/>
      <c r="AF19" s="412"/>
      <c r="AG19" s="83"/>
      <c r="AH19" s="410"/>
      <c r="AI19" s="411"/>
      <c r="AJ19" s="411"/>
      <c r="AK19" s="411"/>
      <c r="AL19" s="411"/>
      <c r="AM19" s="411"/>
      <c r="AN19" s="411"/>
      <c r="AO19" s="411"/>
      <c r="AP19" s="411"/>
      <c r="AQ19" s="411"/>
      <c r="AR19" s="411"/>
      <c r="AS19" s="412"/>
      <c r="AT19" s="83"/>
      <c r="AU19" s="83"/>
    </row>
    <row r="20" spans="1:47" ht="174" x14ac:dyDescent="0.35">
      <c r="A20" s="87"/>
      <c r="B20" s="101" t="s">
        <v>430</v>
      </c>
      <c r="C20" s="129" t="s">
        <v>549</v>
      </c>
      <c r="D20" s="102" t="s">
        <v>610</v>
      </c>
      <c r="E20" s="103" t="s">
        <v>611</v>
      </c>
      <c r="F20" s="104"/>
      <c r="G20" s="83"/>
      <c r="H20" s="410"/>
      <c r="I20" s="411"/>
      <c r="J20" s="411"/>
      <c r="K20" s="411"/>
      <c r="L20" s="411"/>
      <c r="M20" s="411"/>
      <c r="N20" s="411"/>
      <c r="O20" s="411"/>
      <c r="P20" s="411"/>
      <c r="Q20" s="411"/>
      <c r="R20" s="411"/>
      <c r="S20" s="412"/>
      <c r="T20" s="83"/>
      <c r="U20" s="410"/>
      <c r="V20" s="411"/>
      <c r="W20" s="411"/>
      <c r="X20" s="411"/>
      <c r="Y20" s="411"/>
      <c r="Z20" s="411"/>
      <c r="AA20" s="411"/>
      <c r="AB20" s="411"/>
      <c r="AC20" s="411"/>
      <c r="AD20" s="411"/>
      <c r="AE20" s="411"/>
      <c r="AF20" s="412"/>
      <c r="AG20" s="83"/>
      <c r="AH20" s="410"/>
      <c r="AI20" s="411"/>
      <c r="AJ20" s="411"/>
      <c r="AK20" s="411"/>
      <c r="AL20" s="411"/>
      <c r="AM20" s="411"/>
      <c r="AN20" s="411"/>
      <c r="AO20" s="411"/>
      <c r="AP20" s="411"/>
      <c r="AQ20" s="411"/>
      <c r="AR20" s="411"/>
      <c r="AS20" s="412"/>
      <c r="AT20" s="83"/>
      <c r="AU20" s="83"/>
    </row>
    <row r="21" spans="1:47" ht="45" customHeight="1" x14ac:dyDescent="0.35">
      <c r="A21" s="87"/>
      <c r="B21" s="101" t="s">
        <v>430</v>
      </c>
      <c r="C21" s="129" t="s">
        <v>549</v>
      </c>
      <c r="D21" s="102" t="s">
        <v>612</v>
      </c>
      <c r="E21" s="103" t="s">
        <v>613</v>
      </c>
      <c r="F21" s="104"/>
      <c r="G21" s="83"/>
      <c r="H21" s="410"/>
      <c r="I21" s="411"/>
      <c r="J21" s="411"/>
      <c r="K21" s="411"/>
      <c r="L21" s="411"/>
      <c r="M21" s="411"/>
      <c r="N21" s="411"/>
      <c r="O21" s="411"/>
      <c r="P21" s="411"/>
      <c r="Q21" s="411"/>
      <c r="R21" s="411"/>
      <c r="S21" s="412"/>
      <c r="T21" s="83"/>
      <c r="U21" s="410"/>
      <c r="V21" s="411"/>
      <c r="W21" s="411"/>
      <c r="X21" s="411"/>
      <c r="Y21" s="411"/>
      <c r="Z21" s="411"/>
      <c r="AA21" s="411"/>
      <c r="AB21" s="411"/>
      <c r="AC21" s="411"/>
      <c r="AD21" s="411"/>
      <c r="AE21" s="411"/>
      <c r="AF21" s="412"/>
      <c r="AG21" s="83"/>
      <c r="AH21" s="410"/>
      <c r="AI21" s="411"/>
      <c r="AJ21" s="411"/>
      <c r="AK21" s="411"/>
      <c r="AL21" s="411"/>
      <c r="AM21" s="411"/>
      <c r="AN21" s="411"/>
      <c r="AO21" s="411"/>
      <c r="AP21" s="411"/>
      <c r="AQ21" s="411"/>
      <c r="AR21" s="411"/>
      <c r="AS21" s="412"/>
      <c r="AT21" s="83"/>
      <c r="AU21" s="83"/>
    </row>
    <row r="22" spans="1:47" x14ac:dyDescent="0.35">
      <c r="A22" s="87"/>
      <c r="B22" s="96" t="s">
        <v>564</v>
      </c>
      <c r="C22" s="97" t="s">
        <v>623</v>
      </c>
      <c r="D22" s="98"/>
      <c r="E22" s="98"/>
      <c r="F22" s="100"/>
      <c r="G22" s="83"/>
      <c r="H22" s="410"/>
      <c r="I22" s="411"/>
      <c r="J22" s="411"/>
      <c r="K22" s="411"/>
      <c r="L22" s="411"/>
      <c r="M22" s="411"/>
      <c r="N22" s="411"/>
      <c r="O22" s="411"/>
      <c r="P22" s="411"/>
      <c r="Q22" s="411"/>
      <c r="R22" s="411"/>
      <c r="S22" s="412"/>
      <c r="T22" s="83"/>
      <c r="U22" s="410"/>
      <c r="V22" s="411"/>
      <c r="W22" s="411"/>
      <c r="X22" s="411"/>
      <c r="Y22" s="411"/>
      <c r="Z22" s="411"/>
      <c r="AA22" s="411"/>
      <c r="AB22" s="411"/>
      <c r="AC22" s="411"/>
      <c r="AD22" s="411"/>
      <c r="AE22" s="411"/>
      <c r="AF22" s="412"/>
      <c r="AG22" s="83"/>
      <c r="AH22" s="410"/>
      <c r="AI22" s="411"/>
      <c r="AJ22" s="411"/>
      <c r="AK22" s="411"/>
      <c r="AL22" s="411"/>
      <c r="AM22" s="411"/>
      <c r="AN22" s="411"/>
      <c r="AO22" s="411"/>
      <c r="AP22" s="411"/>
      <c r="AQ22" s="411"/>
      <c r="AR22" s="411"/>
      <c r="AS22" s="412"/>
      <c r="AT22" s="83"/>
      <c r="AU22" s="83"/>
    </row>
    <row r="23" spans="1:47" ht="174" x14ac:dyDescent="0.35">
      <c r="A23" s="87"/>
      <c r="B23" s="96" t="s">
        <v>624</v>
      </c>
      <c r="C23" s="97" t="s">
        <v>625</v>
      </c>
      <c r="D23" s="98"/>
      <c r="E23" s="238" t="s">
        <v>622</v>
      </c>
      <c r="F23" s="100"/>
      <c r="G23" s="83"/>
      <c r="H23" s="410"/>
      <c r="I23" s="411"/>
      <c r="J23" s="411"/>
      <c r="K23" s="411"/>
      <c r="L23" s="411"/>
      <c r="M23" s="411"/>
      <c r="N23" s="411"/>
      <c r="O23" s="411"/>
      <c r="P23" s="411"/>
      <c r="Q23" s="411"/>
      <c r="R23" s="411"/>
      <c r="S23" s="412"/>
      <c r="T23" s="83"/>
      <c r="U23" s="410"/>
      <c r="V23" s="411"/>
      <c r="W23" s="411"/>
      <c r="X23" s="411"/>
      <c r="Y23" s="411"/>
      <c r="Z23" s="411"/>
      <c r="AA23" s="411"/>
      <c r="AB23" s="411"/>
      <c r="AC23" s="411"/>
      <c r="AD23" s="411"/>
      <c r="AE23" s="411"/>
      <c r="AF23" s="412"/>
      <c r="AG23" s="83"/>
      <c r="AH23" s="410"/>
      <c r="AI23" s="411"/>
      <c r="AJ23" s="411"/>
      <c r="AK23" s="411"/>
      <c r="AL23" s="411"/>
      <c r="AM23" s="411"/>
      <c r="AN23" s="411"/>
      <c r="AO23" s="411"/>
      <c r="AP23" s="411"/>
      <c r="AQ23" s="411"/>
      <c r="AR23" s="411"/>
      <c r="AS23" s="412"/>
      <c r="AT23" s="83"/>
      <c r="AU23" s="83"/>
    </row>
    <row r="24" spans="1:47" ht="87" x14ac:dyDescent="0.35">
      <c r="A24" s="87"/>
      <c r="B24" s="101" t="s">
        <v>430</v>
      </c>
      <c r="C24" s="129" t="s">
        <v>549</v>
      </c>
      <c r="D24" s="102" t="s">
        <v>616</v>
      </c>
      <c r="E24" s="103" t="s">
        <v>617</v>
      </c>
      <c r="F24" s="104"/>
      <c r="G24" s="83"/>
      <c r="H24" s="410"/>
      <c r="I24" s="411"/>
      <c r="J24" s="411"/>
      <c r="K24" s="411"/>
      <c r="L24" s="411"/>
      <c r="M24" s="411"/>
      <c r="N24" s="411"/>
      <c r="O24" s="411"/>
      <c r="P24" s="411"/>
      <c r="Q24" s="411"/>
      <c r="R24" s="411"/>
      <c r="S24" s="412"/>
      <c r="T24" s="83"/>
      <c r="U24" s="410"/>
      <c r="V24" s="411"/>
      <c r="W24" s="411"/>
      <c r="X24" s="411"/>
      <c r="Y24" s="411"/>
      <c r="Z24" s="411"/>
      <c r="AA24" s="411"/>
      <c r="AB24" s="411"/>
      <c r="AC24" s="411"/>
      <c r="AD24" s="411"/>
      <c r="AE24" s="411"/>
      <c r="AF24" s="412"/>
      <c r="AG24" s="83"/>
      <c r="AH24" s="410"/>
      <c r="AI24" s="411"/>
      <c r="AJ24" s="411"/>
      <c r="AK24" s="411"/>
      <c r="AL24" s="411"/>
      <c r="AM24" s="411"/>
      <c r="AN24" s="411"/>
      <c r="AO24" s="411"/>
      <c r="AP24" s="411"/>
      <c r="AQ24" s="411"/>
      <c r="AR24" s="411"/>
      <c r="AS24" s="412"/>
      <c r="AT24" s="83"/>
      <c r="AU24" s="83"/>
    </row>
    <row r="25" spans="1:47" ht="145" x14ac:dyDescent="0.35">
      <c r="A25" s="87"/>
      <c r="B25" s="101" t="s">
        <v>430</v>
      </c>
      <c r="C25" s="129" t="s">
        <v>549</v>
      </c>
      <c r="D25" s="102" t="s">
        <v>618</v>
      </c>
      <c r="E25" s="103" t="s">
        <v>619</v>
      </c>
      <c r="F25" s="104"/>
      <c r="G25" s="83"/>
      <c r="H25" s="410"/>
      <c r="I25" s="411"/>
      <c r="J25" s="411"/>
      <c r="K25" s="411"/>
      <c r="L25" s="411"/>
      <c r="M25" s="411"/>
      <c r="N25" s="411"/>
      <c r="O25" s="411"/>
      <c r="P25" s="411"/>
      <c r="Q25" s="411"/>
      <c r="R25" s="411"/>
      <c r="S25" s="412"/>
      <c r="T25" s="83"/>
      <c r="U25" s="410"/>
      <c r="V25" s="411"/>
      <c r="W25" s="411"/>
      <c r="X25" s="411"/>
      <c r="Y25" s="411"/>
      <c r="Z25" s="411"/>
      <c r="AA25" s="411"/>
      <c r="AB25" s="411"/>
      <c r="AC25" s="411"/>
      <c r="AD25" s="411"/>
      <c r="AE25" s="411"/>
      <c r="AF25" s="412"/>
      <c r="AG25" s="83"/>
      <c r="AH25" s="410"/>
      <c r="AI25" s="411"/>
      <c r="AJ25" s="411"/>
      <c r="AK25" s="411"/>
      <c r="AL25" s="411"/>
      <c r="AM25" s="411"/>
      <c r="AN25" s="411"/>
      <c r="AO25" s="411"/>
      <c r="AP25" s="411"/>
      <c r="AQ25" s="411"/>
      <c r="AR25" s="411"/>
      <c r="AS25" s="412"/>
      <c r="AT25" s="83"/>
      <c r="AU25" s="83"/>
    </row>
    <row r="26" spans="1:47" ht="45" customHeight="1" x14ac:dyDescent="0.35">
      <c r="A26" s="87"/>
      <c r="B26" s="101" t="s">
        <v>430</v>
      </c>
      <c r="C26" s="129" t="s">
        <v>549</v>
      </c>
      <c r="D26" s="102" t="s">
        <v>612</v>
      </c>
      <c r="E26" s="103" t="s">
        <v>613</v>
      </c>
      <c r="F26" s="104"/>
      <c r="G26" s="83"/>
      <c r="H26" s="410"/>
      <c r="I26" s="411"/>
      <c r="J26" s="411"/>
      <c r="K26" s="411"/>
      <c r="L26" s="411"/>
      <c r="M26" s="411"/>
      <c r="N26" s="411"/>
      <c r="O26" s="411"/>
      <c r="P26" s="411"/>
      <c r="Q26" s="411"/>
      <c r="R26" s="411"/>
      <c r="S26" s="412"/>
      <c r="T26" s="83"/>
      <c r="U26" s="410"/>
      <c r="V26" s="411"/>
      <c r="W26" s="411"/>
      <c r="X26" s="411"/>
      <c r="Y26" s="411"/>
      <c r="Z26" s="411"/>
      <c r="AA26" s="411"/>
      <c r="AB26" s="411"/>
      <c r="AC26" s="411"/>
      <c r="AD26" s="411"/>
      <c r="AE26" s="411"/>
      <c r="AF26" s="412"/>
      <c r="AG26" s="83"/>
      <c r="AH26" s="410"/>
      <c r="AI26" s="411"/>
      <c r="AJ26" s="411"/>
      <c r="AK26" s="411"/>
      <c r="AL26" s="411"/>
      <c r="AM26" s="411"/>
      <c r="AN26" s="411"/>
      <c r="AO26" s="411"/>
      <c r="AP26" s="411"/>
      <c r="AQ26" s="411"/>
      <c r="AR26" s="411"/>
      <c r="AS26" s="412"/>
      <c r="AT26" s="83"/>
      <c r="AU26" s="83"/>
    </row>
    <row r="27" spans="1:47" x14ac:dyDescent="0.35">
      <c r="A27" s="87"/>
      <c r="B27" s="96" t="s">
        <v>626</v>
      </c>
      <c r="C27" s="97" t="s">
        <v>620</v>
      </c>
      <c r="D27" s="98"/>
      <c r="E27" s="98"/>
      <c r="F27" s="100"/>
      <c r="G27" s="83"/>
      <c r="H27" s="410"/>
      <c r="I27" s="411"/>
      <c r="J27" s="411"/>
      <c r="K27" s="411"/>
      <c r="L27" s="411"/>
      <c r="M27" s="411"/>
      <c r="N27" s="411"/>
      <c r="O27" s="411"/>
      <c r="P27" s="411"/>
      <c r="Q27" s="411"/>
      <c r="R27" s="411"/>
      <c r="S27" s="412"/>
      <c r="T27" s="83"/>
      <c r="U27" s="410"/>
      <c r="V27" s="411"/>
      <c r="W27" s="411"/>
      <c r="X27" s="411"/>
      <c r="Y27" s="411"/>
      <c r="Z27" s="411"/>
      <c r="AA27" s="411"/>
      <c r="AB27" s="411"/>
      <c r="AC27" s="411"/>
      <c r="AD27" s="411"/>
      <c r="AE27" s="411"/>
      <c r="AF27" s="412"/>
      <c r="AG27" s="83"/>
      <c r="AH27" s="410"/>
      <c r="AI27" s="411"/>
      <c r="AJ27" s="411"/>
      <c r="AK27" s="411"/>
      <c r="AL27" s="411"/>
      <c r="AM27" s="411"/>
      <c r="AN27" s="411"/>
      <c r="AO27" s="411"/>
      <c r="AP27" s="411"/>
      <c r="AQ27" s="411"/>
      <c r="AR27" s="411"/>
      <c r="AS27" s="412"/>
      <c r="AT27" s="83"/>
      <c r="AU27" s="83"/>
    </row>
    <row r="28" spans="1:47" ht="174" x14ac:dyDescent="0.35">
      <c r="A28" s="87"/>
      <c r="B28" s="96" t="s">
        <v>627</v>
      </c>
      <c r="C28" s="97" t="s">
        <v>628</v>
      </c>
      <c r="D28" s="98"/>
      <c r="E28" s="238" t="s">
        <v>607</v>
      </c>
      <c r="F28" s="100"/>
      <c r="G28" s="83"/>
      <c r="H28" s="410"/>
      <c r="I28" s="411"/>
      <c r="J28" s="411"/>
      <c r="K28" s="411"/>
      <c r="L28" s="411"/>
      <c r="M28" s="411"/>
      <c r="N28" s="411"/>
      <c r="O28" s="411"/>
      <c r="P28" s="411"/>
      <c r="Q28" s="411"/>
      <c r="R28" s="411"/>
      <c r="S28" s="412"/>
      <c r="T28" s="83"/>
      <c r="U28" s="410"/>
      <c r="V28" s="411"/>
      <c r="W28" s="411"/>
      <c r="X28" s="411"/>
      <c r="Y28" s="411"/>
      <c r="Z28" s="411"/>
      <c r="AA28" s="411"/>
      <c r="AB28" s="411"/>
      <c r="AC28" s="411"/>
      <c r="AD28" s="411"/>
      <c r="AE28" s="411"/>
      <c r="AF28" s="412"/>
      <c r="AG28" s="83"/>
      <c r="AH28" s="410"/>
      <c r="AI28" s="411"/>
      <c r="AJ28" s="411"/>
      <c r="AK28" s="411"/>
      <c r="AL28" s="411"/>
      <c r="AM28" s="411"/>
      <c r="AN28" s="411"/>
      <c r="AO28" s="411"/>
      <c r="AP28" s="411"/>
      <c r="AQ28" s="411"/>
      <c r="AR28" s="411"/>
      <c r="AS28" s="412"/>
      <c r="AT28" s="83"/>
      <c r="AU28" s="83"/>
    </row>
    <row r="29" spans="1:47" ht="87" x14ac:dyDescent="0.35">
      <c r="A29" s="87"/>
      <c r="B29" s="101" t="s">
        <v>430</v>
      </c>
      <c r="C29" s="129" t="s">
        <v>549</v>
      </c>
      <c r="D29" s="102" t="s">
        <v>629</v>
      </c>
      <c r="E29" s="103" t="s">
        <v>630</v>
      </c>
      <c r="F29" s="104"/>
      <c r="G29" s="83"/>
      <c r="H29" s="410"/>
      <c r="I29" s="411"/>
      <c r="J29" s="411"/>
      <c r="K29" s="411"/>
      <c r="L29" s="411"/>
      <c r="M29" s="411"/>
      <c r="N29" s="411"/>
      <c r="O29" s="411"/>
      <c r="P29" s="411"/>
      <c r="Q29" s="411"/>
      <c r="R29" s="411"/>
      <c r="S29" s="412"/>
      <c r="T29" s="83"/>
      <c r="U29" s="410"/>
      <c r="V29" s="411"/>
      <c r="W29" s="411"/>
      <c r="X29" s="411"/>
      <c r="Y29" s="411"/>
      <c r="Z29" s="411"/>
      <c r="AA29" s="411"/>
      <c r="AB29" s="411"/>
      <c r="AC29" s="411"/>
      <c r="AD29" s="411"/>
      <c r="AE29" s="411"/>
      <c r="AF29" s="412"/>
      <c r="AG29" s="83"/>
      <c r="AH29" s="410"/>
      <c r="AI29" s="411"/>
      <c r="AJ29" s="411"/>
      <c r="AK29" s="411"/>
      <c r="AL29" s="411"/>
      <c r="AM29" s="411"/>
      <c r="AN29" s="411"/>
      <c r="AO29" s="411"/>
      <c r="AP29" s="411"/>
      <c r="AQ29" s="411"/>
      <c r="AR29" s="411"/>
      <c r="AS29" s="412"/>
      <c r="AT29" s="83"/>
      <c r="AU29" s="83"/>
    </row>
    <row r="30" spans="1:47" ht="145" x14ac:dyDescent="0.35">
      <c r="A30" s="87"/>
      <c r="B30" s="101" t="s">
        <v>430</v>
      </c>
      <c r="C30" s="129" t="s">
        <v>549</v>
      </c>
      <c r="D30" s="102" t="s">
        <v>618</v>
      </c>
      <c r="E30" s="103" t="s">
        <v>619</v>
      </c>
      <c r="F30" s="104"/>
      <c r="G30" s="83"/>
      <c r="H30" s="410"/>
      <c r="I30" s="411"/>
      <c r="J30" s="411"/>
      <c r="K30" s="411"/>
      <c r="L30" s="411"/>
      <c r="M30" s="411"/>
      <c r="N30" s="411"/>
      <c r="O30" s="411"/>
      <c r="P30" s="411"/>
      <c r="Q30" s="411"/>
      <c r="R30" s="411"/>
      <c r="S30" s="412"/>
      <c r="T30" s="83"/>
      <c r="U30" s="410"/>
      <c r="V30" s="411"/>
      <c r="W30" s="411"/>
      <c r="X30" s="411"/>
      <c r="Y30" s="411"/>
      <c r="Z30" s="411"/>
      <c r="AA30" s="411"/>
      <c r="AB30" s="411"/>
      <c r="AC30" s="411"/>
      <c r="AD30" s="411"/>
      <c r="AE30" s="411"/>
      <c r="AF30" s="412"/>
      <c r="AG30" s="83"/>
      <c r="AH30" s="410"/>
      <c r="AI30" s="411"/>
      <c r="AJ30" s="411"/>
      <c r="AK30" s="411"/>
      <c r="AL30" s="411"/>
      <c r="AM30" s="411"/>
      <c r="AN30" s="411"/>
      <c r="AO30" s="411"/>
      <c r="AP30" s="411"/>
      <c r="AQ30" s="411"/>
      <c r="AR30" s="411"/>
      <c r="AS30" s="412"/>
      <c r="AT30" s="83"/>
      <c r="AU30" s="83"/>
    </row>
    <row r="31" spans="1:47" ht="45" customHeight="1" x14ac:dyDescent="0.35">
      <c r="A31" s="87"/>
      <c r="B31" s="101" t="s">
        <v>430</v>
      </c>
      <c r="C31" s="129" t="s">
        <v>549</v>
      </c>
      <c r="D31" s="102" t="s">
        <v>612</v>
      </c>
      <c r="E31" s="103" t="s">
        <v>613</v>
      </c>
      <c r="F31" s="104"/>
      <c r="G31" s="83"/>
      <c r="H31" s="410"/>
      <c r="I31" s="411"/>
      <c r="J31" s="411"/>
      <c r="K31" s="411"/>
      <c r="L31" s="411"/>
      <c r="M31" s="411"/>
      <c r="N31" s="411"/>
      <c r="O31" s="411"/>
      <c r="P31" s="411"/>
      <c r="Q31" s="411"/>
      <c r="R31" s="411"/>
      <c r="S31" s="412"/>
      <c r="T31" s="83"/>
      <c r="U31" s="410"/>
      <c r="V31" s="411"/>
      <c r="W31" s="411"/>
      <c r="X31" s="411"/>
      <c r="Y31" s="411"/>
      <c r="Z31" s="411"/>
      <c r="AA31" s="411"/>
      <c r="AB31" s="411"/>
      <c r="AC31" s="411"/>
      <c r="AD31" s="411"/>
      <c r="AE31" s="411"/>
      <c r="AF31" s="412"/>
      <c r="AG31" s="83"/>
      <c r="AH31" s="410"/>
      <c r="AI31" s="411"/>
      <c r="AJ31" s="411"/>
      <c r="AK31" s="411"/>
      <c r="AL31" s="411"/>
      <c r="AM31" s="411"/>
      <c r="AN31" s="411"/>
      <c r="AO31" s="411"/>
      <c r="AP31" s="411"/>
      <c r="AQ31" s="411"/>
      <c r="AR31" s="411"/>
      <c r="AS31" s="412"/>
      <c r="AT31" s="83"/>
      <c r="AU31" s="83"/>
    </row>
    <row r="32" spans="1:47" x14ac:dyDescent="0.35">
      <c r="A32" s="87"/>
      <c r="B32" s="96" t="s">
        <v>631</v>
      </c>
      <c r="C32" s="97" t="s">
        <v>620</v>
      </c>
      <c r="D32" s="98"/>
      <c r="E32" s="98"/>
      <c r="F32" s="100"/>
      <c r="G32" s="83"/>
      <c r="H32" s="410"/>
      <c r="I32" s="411"/>
      <c r="J32" s="411"/>
      <c r="K32" s="411"/>
      <c r="L32" s="411"/>
      <c r="M32" s="411"/>
      <c r="N32" s="411"/>
      <c r="O32" s="411"/>
      <c r="P32" s="411"/>
      <c r="Q32" s="411"/>
      <c r="R32" s="411"/>
      <c r="S32" s="412"/>
      <c r="T32" s="83"/>
      <c r="U32" s="410"/>
      <c r="V32" s="411"/>
      <c r="W32" s="411"/>
      <c r="X32" s="411"/>
      <c r="Y32" s="411"/>
      <c r="Z32" s="411"/>
      <c r="AA32" s="411"/>
      <c r="AB32" s="411"/>
      <c r="AC32" s="411"/>
      <c r="AD32" s="411"/>
      <c r="AE32" s="411"/>
      <c r="AF32" s="412"/>
      <c r="AG32" s="83"/>
      <c r="AH32" s="410"/>
      <c r="AI32" s="411"/>
      <c r="AJ32" s="411"/>
      <c r="AK32" s="411"/>
      <c r="AL32" s="411"/>
      <c r="AM32" s="411"/>
      <c r="AN32" s="411"/>
      <c r="AO32" s="411"/>
      <c r="AP32" s="411"/>
      <c r="AQ32" s="411"/>
      <c r="AR32" s="411"/>
      <c r="AS32" s="412"/>
      <c r="AT32" s="83"/>
      <c r="AU32" s="83"/>
    </row>
    <row r="33" spans="1:47" ht="174" x14ac:dyDescent="0.35">
      <c r="A33" s="87"/>
      <c r="B33" s="96" t="s">
        <v>632</v>
      </c>
      <c r="C33" s="97" t="s">
        <v>633</v>
      </c>
      <c r="D33" s="98"/>
      <c r="E33" s="238" t="s">
        <v>622</v>
      </c>
      <c r="F33" s="100"/>
      <c r="G33" s="83"/>
      <c r="H33" s="410"/>
      <c r="I33" s="411"/>
      <c r="J33" s="411"/>
      <c r="K33" s="411"/>
      <c r="L33" s="411"/>
      <c r="M33" s="411"/>
      <c r="N33" s="411"/>
      <c r="O33" s="411"/>
      <c r="P33" s="411"/>
      <c r="Q33" s="411"/>
      <c r="R33" s="411"/>
      <c r="S33" s="412"/>
      <c r="T33" s="83"/>
      <c r="U33" s="410"/>
      <c r="V33" s="411"/>
      <c r="W33" s="411"/>
      <c r="X33" s="411"/>
      <c r="Y33" s="411"/>
      <c r="Z33" s="411"/>
      <c r="AA33" s="411"/>
      <c r="AB33" s="411"/>
      <c r="AC33" s="411"/>
      <c r="AD33" s="411"/>
      <c r="AE33" s="411"/>
      <c r="AF33" s="412"/>
      <c r="AG33" s="83"/>
      <c r="AH33" s="410"/>
      <c r="AI33" s="411"/>
      <c r="AJ33" s="411"/>
      <c r="AK33" s="411"/>
      <c r="AL33" s="411"/>
      <c r="AM33" s="411"/>
      <c r="AN33" s="411"/>
      <c r="AO33" s="411"/>
      <c r="AP33" s="411"/>
      <c r="AQ33" s="411"/>
      <c r="AR33" s="411"/>
      <c r="AS33" s="412"/>
      <c r="AT33" s="83"/>
      <c r="AU33" s="83"/>
    </row>
    <row r="34" spans="1:47" ht="145" x14ac:dyDescent="0.35">
      <c r="A34" s="87"/>
      <c r="B34" s="101" t="s">
        <v>430</v>
      </c>
      <c r="C34" s="129" t="s">
        <v>549</v>
      </c>
      <c r="D34" s="102" t="s">
        <v>618</v>
      </c>
      <c r="E34" s="103" t="s">
        <v>619</v>
      </c>
      <c r="F34" s="104"/>
      <c r="G34" s="83"/>
      <c r="H34" s="410"/>
      <c r="I34" s="411"/>
      <c r="J34" s="411"/>
      <c r="K34" s="411"/>
      <c r="L34" s="411"/>
      <c r="M34" s="411"/>
      <c r="N34" s="411"/>
      <c r="O34" s="411"/>
      <c r="P34" s="411"/>
      <c r="Q34" s="411"/>
      <c r="R34" s="411"/>
      <c r="S34" s="412"/>
      <c r="T34" s="83"/>
      <c r="U34" s="410"/>
      <c r="V34" s="411"/>
      <c r="W34" s="411"/>
      <c r="X34" s="411"/>
      <c r="Y34" s="411"/>
      <c r="Z34" s="411"/>
      <c r="AA34" s="411"/>
      <c r="AB34" s="411"/>
      <c r="AC34" s="411"/>
      <c r="AD34" s="411"/>
      <c r="AE34" s="411"/>
      <c r="AF34" s="412"/>
      <c r="AG34" s="83"/>
      <c r="AH34" s="410"/>
      <c r="AI34" s="411"/>
      <c r="AJ34" s="411"/>
      <c r="AK34" s="411"/>
      <c r="AL34" s="411"/>
      <c r="AM34" s="411"/>
      <c r="AN34" s="411"/>
      <c r="AO34" s="411"/>
      <c r="AP34" s="411"/>
      <c r="AQ34" s="411"/>
      <c r="AR34" s="411"/>
      <c r="AS34" s="412"/>
      <c r="AT34" s="83"/>
      <c r="AU34" s="83"/>
    </row>
    <row r="35" spans="1:47" ht="45" customHeight="1" x14ac:dyDescent="0.35">
      <c r="A35" s="87"/>
      <c r="B35" s="101" t="s">
        <v>430</v>
      </c>
      <c r="C35" s="129" t="s">
        <v>549</v>
      </c>
      <c r="D35" s="102" t="s">
        <v>612</v>
      </c>
      <c r="E35" s="103" t="s">
        <v>613</v>
      </c>
      <c r="F35" s="104"/>
      <c r="G35" s="83"/>
      <c r="H35" s="410"/>
      <c r="I35" s="411"/>
      <c r="J35" s="411"/>
      <c r="K35" s="411"/>
      <c r="L35" s="411"/>
      <c r="M35" s="411"/>
      <c r="N35" s="411"/>
      <c r="O35" s="411"/>
      <c r="P35" s="411"/>
      <c r="Q35" s="411"/>
      <c r="R35" s="411"/>
      <c r="S35" s="412"/>
      <c r="T35" s="83"/>
      <c r="U35" s="410"/>
      <c r="V35" s="411"/>
      <c r="W35" s="411"/>
      <c r="X35" s="411"/>
      <c r="Y35" s="411"/>
      <c r="Z35" s="411"/>
      <c r="AA35" s="411"/>
      <c r="AB35" s="411"/>
      <c r="AC35" s="411"/>
      <c r="AD35" s="411"/>
      <c r="AE35" s="411"/>
      <c r="AF35" s="412"/>
      <c r="AG35" s="83"/>
      <c r="AH35" s="410"/>
      <c r="AI35" s="411"/>
      <c r="AJ35" s="411"/>
      <c r="AK35" s="411"/>
      <c r="AL35" s="411"/>
      <c r="AM35" s="411"/>
      <c r="AN35" s="411"/>
      <c r="AO35" s="411"/>
      <c r="AP35" s="411"/>
      <c r="AQ35" s="411"/>
      <c r="AR35" s="411"/>
      <c r="AS35" s="412"/>
      <c r="AT35" s="83"/>
      <c r="AU35" s="83"/>
    </row>
    <row r="36" spans="1:47" ht="15.5" x14ac:dyDescent="0.35">
      <c r="A36" s="87"/>
      <c r="B36" s="92" t="s">
        <v>565</v>
      </c>
      <c r="C36" s="413" t="s">
        <v>634</v>
      </c>
      <c r="D36" s="414"/>
      <c r="E36" s="414"/>
      <c r="F36" s="415"/>
      <c r="G36" s="83"/>
      <c r="H36" s="410"/>
      <c r="I36" s="411"/>
      <c r="J36" s="411"/>
      <c r="K36" s="411"/>
      <c r="L36" s="411"/>
      <c r="M36" s="411"/>
      <c r="N36" s="411"/>
      <c r="O36" s="411"/>
      <c r="P36" s="411"/>
      <c r="Q36" s="411"/>
      <c r="R36" s="411"/>
      <c r="S36" s="412"/>
      <c r="T36" s="83"/>
      <c r="U36" s="410"/>
      <c r="V36" s="411"/>
      <c r="W36" s="411"/>
      <c r="X36" s="411"/>
      <c r="Y36" s="411"/>
      <c r="Z36" s="411"/>
      <c r="AA36" s="411"/>
      <c r="AB36" s="411"/>
      <c r="AC36" s="411"/>
      <c r="AD36" s="411"/>
      <c r="AE36" s="411"/>
      <c r="AF36" s="412"/>
      <c r="AG36" s="83"/>
      <c r="AH36" s="410"/>
      <c r="AI36" s="411"/>
      <c r="AJ36" s="411"/>
      <c r="AK36" s="411"/>
      <c r="AL36" s="411"/>
      <c r="AM36" s="411"/>
      <c r="AN36" s="411"/>
      <c r="AO36" s="411"/>
      <c r="AP36" s="411"/>
      <c r="AQ36" s="411"/>
      <c r="AR36" s="411"/>
      <c r="AS36" s="412"/>
      <c r="AT36" s="83"/>
      <c r="AU36" s="83"/>
    </row>
    <row r="37" spans="1:47" x14ac:dyDescent="0.35">
      <c r="A37" s="87"/>
      <c r="B37" s="95" t="s">
        <v>545</v>
      </c>
      <c r="C37" s="416" t="s">
        <v>605</v>
      </c>
      <c r="D37" s="417"/>
      <c r="E37" s="417"/>
      <c r="F37" s="418"/>
      <c r="G37" s="83"/>
      <c r="H37" s="410"/>
      <c r="I37" s="411"/>
      <c r="J37" s="411"/>
      <c r="K37" s="411"/>
      <c r="L37" s="411"/>
      <c r="M37" s="411"/>
      <c r="N37" s="411"/>
      <c r="O37" s="411"/>
      <c r="P37" s="411"/>
      <c r="Q37" s="411"/>
      <c r="R37" s="411"/>
      <c r="S37" s="412"/>
      <c r="T37" s="83"/>
      <c r="U37" s="410"/>
      <c r="V37" s="411"/>
      <c r="W37" s="411"/>
      <c r="X37" s="411"/>
      <c r="Y37" s="411"/>
      <c r="Z37" s="411"/>
      <c r="AA37" s="411"/>
      <c r="AB37" s="411"/>
      <c r="AC37" s="411"/>
      <c r="AD37" s="411"/>
      <c r="AE37" s="411"/>
      <c r="AF37" s="412"/>
      <c r="AG37" s="83"/>
      <c r="AH37" s="410"/>
      <c r="AI37" s="411"/>
      <c r="AJ37" s="411"/>
      <c r="AK37" s="411"/>
      <c r="AL37" s="411"/>
      <c r="AM37" s="411"/>
      <c r="AN37" s="411"/>
      <c r="AO37" s="411"/>
      <c r="AP37" s="411"/>
      <c r="AQ37" s="411"/>
      <c r="AR37" s="411"/>
      <c r="AS37" s="412"/>
      <c r="AT37" s="83"/>
      <c r="AU37" s="83"/>
    </row>
    <row r="38" spans="1:47" ht="174" x14ac:dyDescent="0.35">
      <c r="A38" s="87"/>
      <c r="B38" s="96" t="s">
        <v>568</v>
      </c>
      <c r="C38" s="97" t="s">
        <v>635</v>
      </c>
      <c r="D38" s="98"/>
      <c r="E38" s="234" t="s">
        <v>607</v>
      </c>
      <c r="F38" s="100"/>
      <c r="G38" s="83"/>
      <c r="H38" s="410"/>
      <c r="I38" s="411"/>
      <c r="J38" s="411"/>
      <c r="K38" s="411"/>
      <c r="L38" s="411"/>
      <c r="M38" s="411"/>
      <c r="N38" s="411"/>
      <c r="O38" s="411"/>
      <c r="P38" s="411"/>
      <c r="Q38" s="411"/>
      <c r="R38" s="411"/>
      <c r="S38" s="412"/>
      <c r="T38" s="83"/>
      <c r="U38" s="410"/>
      <c r="V38" s="411"/>
      <c r="W38" s="411"/>
      <c r="X38" s="411"/>
      <c r="Y38" s="411"/>
      <c r="Z38" s="411"/>
      <c r="AA38" s="411"/>
      <c r="AB38" s="411"/>
      <c r="AC38" s="411"/>
      <c r="AD38" s="411"/>
      <c r="AE38" s="411"/>
      <c r="AF38" s="412"/>
      <c r="AG38" s="83"/>
      <c r="AH38" s="410"/>
      <c r="AI38" s="411"/>
      <c r="AJ38" s="411"/>
      <c r="AK38" s="411"/>
      <c r="AL38" s="411"/>
      <c r="AM38" s="411"/>
      <c r="AN38" s="411"/>
      <c r="AO38" s="411"/>
      <c r="AP38" s="411"/>
      <c r="AQ38" s="411"/>
      <c r="AR38" s="411"/>
      <c r="AS38" s="412"/>
      <c r="AT38" s="83"/>
      <c r="AU38" s="83"/>
    </row>
    <row r="39" spans="1:47" ht="145.5" thickBot="1" x14ac:dyDescent="0.4">
      <c r="A39" s="105"/>
      <c r="B39" s="101" t="s">
        <v>433</v>
      </c>
      <c r="C39" s="129" t="s">
        <v>549</v>
      </c>
      <c r="D39" s="102" t="s">
        <v>636</v>
      </c>
      <c r="E39" s="103" t="s">
        <v>637</v>
      </c>
      <c r="F39" s="104"/>
      <c r="G39" s="88"/>
      <c r="H39" s="421"/>
      <c r="I39" s="422"/>
      <c r="J39" s="422"/>
      <c r="K39" s="422"/>
      <c r="L39" s="422"/>
      <c r="M39" s="422"/>
      <c r="N39" s="422"/>
      <c r="O39" s="422"/>
      <c r="P39" s="422"/>
      <c r="Q39" s="422"/>
      <c r="R39" s="422"/>
      <c r="S39" s="423"/>
      <c r="T39" s="83"/>
      <c r="U39" s="421"/>
      <c r="V39" s="422"/>
      <c r="W39" s="422"/>
      <c r="X39" s="422"/>
      <c r="Y39" s="422"/>
      <c r="Z39" s="422"/>
      <c r="AA39" s="422"/>
      <c r="AB39" s="422"/>
      <c r="AC39" s="422"/>
      <c r="AD39" s="422"/>
      <c r="AE39" s="422"/>
      <c r="AF39" s="423"/>
      <c r="AG39" s="83"/>
      <c r="AH39" s="421"/>
      <c r="AI39" s="422"/>
      <c r="AJ39" s="422"/>
      <c r="AK39" s="422"/>
      <c r="AL39" s="422"/>
      <c r="AM39" s="422"/>
      <c r="AN39" s="422"/>
      <c r="AO39" s="422"/>
      <c r="AP39" s="422"/>
      <c r="AQ39" s="422"/>
      <c r="AR39" s="422"/>
      <c r="AS39" s="423"/>
      <c r="AT39" s="83"/>
      <c r="AU39" s="83"/>
    </row>
    <row r="40" spans="1:47" x14ac:dyDescent="0.35">
      <c r="A40" s="105"/>
      <c r="B40" s="96" t="s">
        <v>571</v>
      </c>
      <c r="C40" s="97" t="s">
        <v>638</v>
      </c>
      <c r="D40" s="98"/>
      <c r="E40" s="234"/>
      <c r="F40" s="100"/>
      <c r="G40" s="88"/>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row>
    <row r="41" spans="1:47" ht="174" x14ac:dyDescent="0.35">
      <c r="A41" s="105"/>
      <c r="B41" s="96" t="s">
        <v>639</v>
      </c>
      <c r="C41" s="97" t="s">
        <v>640</v>
      </c>
      <c r="D41" s="98"/>
      <c r="E41" s="238" t="s">
        <v>622</v>
      </c>
      <c r="F41" s="100"/>
      <c r="G41" s="88"/>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row>
    <row r="42" spans="1:47" ht="102" thickBot="1" x14ac:dyDescent="0.4">
      <c r="A42" s="105"/>
      <c r="B42" s="101" t="s">
        <v>433</v>
      </c>
      <c r="C42" s="129" t="s">
        <v>549</v>
      </c>
      <c r="D42" s="102" t="s">
        <v>641</v>
      </c>
      <c r="E42" s="103" t="s">
        <v>642</v>
      </c>
      <c r="F42" s="104"/>
      <c r="G42" s="88"/>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row>
    <row r="43" spans="1:47" ht="30.75" customHeight="1" thickBot="1" x14ac:dyDescent="0.4">
      <c r="A43" s="105"/>
      <c r="B43" s="96" t="s">
        <v>643</v>
      </c>
      <c r="C43" s="97" t="s">
        <v>644</v>
      </c>
      <c r="D43" s="98"/>
      <c r="E43" s="234" t="s">
        <v>645</v>
      </c>
      <c r="F43" s="100"/>
      <c r="G43" s="88"/>
      <c r="H43" s="394" t="s">
        <v>535</v>
      </c>
      <c r="I43" s="395"/>
      <c r="J43" s="395"/>
      <c r="K43" s="395"/>
      <c r="L43" s="395"/>
      <c r="M43" s="395"/>
      <c r="N43" s="395"/>
      <c r="O43" s="395"/>
      <c r="P43" s="395"/>
      <c r="Q43" s="395"/>
      <c r="R43" s="395"/>
      <c r="S43" s="396"/>
      <c r="T43" s="83"/>
      <c r="U43" s="394" t="s">
        <v>535</v>
      </c>
      <c r="V43" s="395"/>
      <c r="W43" s="395"/>
      <c r="X43" s="395"/>
      <c r="Y43" s="395"/>
      <c r="Z43" s="395"/>
      <c r="AA43" s="395"/>
      <c r="AB43" s="395"/>
      <c r="AC43" s="395"/>
      <c r="AD43" s="395"/>
      <c r="AE43" s="395"/>
      <c r="AF43" s="396"/>
      <c r="AG43" s="83"/>
      <c r="AH43" s="394" t="s">
        <v>535</v>
      </c>
      <c r="AI43" s="395"/>
      <c r="AJ43" s="395"/>
      <c r="AK43" s="395"/>
      <c r="AL43" s="395"/>
      <c r="AM43" s="395"/>
      <c r="AN43" s="395"/>
      <c r="AO43" s="395"/>
      <c r="AP43" s="395"/>
      <c r="AQ43" s="395"/>
      <c r="AR43" s="395"/>
      <c r="AS43" s="396"/>
      <c r="AT43" s="83"/>
      <c r="AU43" s="83"/>
    </row>
    <row r="44" spans="1:47" ht="44" thickBot="1" x14ac:dyDescent="0.4">
      <c r="A44" s="105"/>
      <c r="B44" s="101" t="s">
        <v>433</v>
      </c>
      <c r="C44" s="129" t="s">
        <v>549</v>
      </c>
      <c r="D44" s="102" t="s">
        <v>646</v>
      </c>
      <c r="E44" s="103" t="s">
        <v>647</v>
      </c>
      <c r="F44" s="104"/>
      <c r="G44" s="88"/>
      <c r="H44" s="404" t="s">
        <v>648</v>
      </c>
      <c r="I44" s="405"/>
      <c r="J44" s="405"/>
      <c r="K44" s="405"/>
      <c r="L44" s="405"/>
      <c r="M44" s="405"/>
      <c r="N44" s="405"/>
      <c r="O44" s="405"/>
      <c r="P44" s="405"/>
      <c r="Q44" s="405"/>
      <c r="R44" s="405"/>
      <c r="S44" s="406"/>
      <c r="T44" s="83"/>
      <c r="U44" s="404" t="s">
        <v>649</v>
      </c>
      <c r="V44" s="405"/>
      <c r="W44" s="405"/>
      <c r="X44" s="405"/>
      <c r="Y44" s="405"/>
      <c r="Z44" s="405"/>
      <c r="AA44" s="405"/>
      <c r="AB44" s="405"/>
      <c r="AC44" s="405"/>
      <c r="AD44" s="405"/>
      <c r="AE44" s="405"/>
      <c r="AF44" s="406"/>
      <c r="AG44" s="83"/>
      <c r="AH44" s="404" t="s">
        <v>650</v>
      </c>
      <c r="AI44" s="405"/>
      <c r="AJ44" s="405"/>
      <c r="AK44" s="405"/>
      <c r="AL44" s="405"/>
      <c r="AM44" s="405"/>
      <c r="AN44" s="405"/>
      <c r="AO44" s="405"/>
      <c r="AP44" s="405"/>
      <c r="AQ44" s="405"/>
      <c r="AR44" s="405"/>
      <c r="AS44" s="406"/>
      <c r="AT44" s="83"/>
      <c r="AU44" s="83"/>
    </row>
    <row r="45" spans="1:47" ht="15" thickBot="1" x14ac:dyDescent="0.4">
      <c r="A45" s="105"/>
      <c r="B45" s="96" t="s">
        <v>651</v>
      </c>
      <c r="C45" s="97" t="s">
        <v>638</v>
      </c>
      <c r="D45" s="98"/>
      <c r="E45" s="234"/>
      <c r="F45" s="100"/>
      <c r="G45" s="88"/>
      <c r="H45" s="231"/>
      <c r="I45" s="232"/>
      <c r="J45" s="232"/>
      <c r="K45" s="232"/>
      <c r="L45" s="232"/>
      <c r="M45" s="232"/>
      <c r="N45" s="232"/>
      <c r="O45" s="232"/>
      <c r="P45" s="232"/>
      <c r="Q45" s="232"/>
      <c r="R45" s="232"/>
      <c r="S45" s="233"/>
      <c r="T45" s="83"/>
      <c r="U45" s="231"/>
      <c r="V45" s="232"/>
      <c r="W45" s="232"/>
      <c r="X45" s="232"/>
      <c r="Y45" s="232"/>
      <c r="Z45" s="232"/>
      <c r="AA45" s="232"/>
      <c r="AB45" s="232"/>
      <c r="AC45" s="232"/>
      <c r="AD45" s="232"/>
      <c r="AE45" s="232"/>
      <c r="AF45" s="233"/>
      <c r="AG45" s="83"/>
      <c r="AH45" s="231"/>
      <c r="AI45" s="232"/>
      <c r="AJ45" s="232"/>
      <c r="AK45" s="232"/>
      <c r="AL45" s="232"/>
      <c r="AM45" s="232"/>
      <c r="AN45" s="232"/>
      <c r="AO45" s="232"/>
      <c r="AP45" s="232"/>
      <c r="AQ45" s="232"/>
      <c r="AR45" s="232"/>
      <c r="AS45" s="233"/>
      <c r="AT45" s="83"/>
      <c r="AU45" s="83"/>
    </row>
    <row r="46" spans="1:47" ht="174" x14ac:dyDescent="0.35">
      <c r="A46" s="105"/>
      <c r="B46" s="96" t="s">
        <v>652</v>
      </c>
      <c r="C46" s="97" t="s">
        <v>653</v>
      </c>
      <c r="D46" s="98"/>
      <c r="E46" s="234" t="s">
        <v>607</v>
      </c>
      <c r="F46" s="100"/>
      <c r="G46" s="88"/>
      <c r="H46" s="407"/>
      <c r="I46" s="408"/>
      <c r="J46" s="408"/>
      <c r="K46" s="408"/>
      <c r="L46" s="408"/>
      <c r="M46" s="408"/>
      <c r="N46" s="408"/>
      <c r="O46" s="408"/>
      <c r="P46" s="408"/>
      <c r="Q46" s="408"/>
      <c r="R46" s="408"/>
      <c r="S46" s="409"/>
      <c r="T46" s="83"/>
      <c r="U46" s="407"/>
      <c r="V46" s="408"/>
      <c r="W46" s="408"/>
      <c r="X46" s="408"/>
      <c r="Y46" s="408"/>
      <c r="Z46" s="408"/>
      <c r="AA46" s="408"/>
      <c r="AB46" s="408"/>
      <c r="AC46" s="408"/>
      <c r="AD46" s="408"/>
      <c r="AE46" s="408"/>
      <c r="AF46" s="409"/>
      <c r="AG46" s="83"/>
      <c r="AH46" s="407"/>
      <c r="AI46" s="408"/>
      <c r="AJ46" s="408"/>
      <c r="AK46" s="408"/>
      <c r="AL46" s="408"/>
      <c r="AM46" s="408"/>
      <c r="AN46" s="408"/>
      <c r="AO46" s="408"/>
      <c r="AP46" s="408"/>
      <c r="AQ46" s="408"/>
      <c r="AR46" s="408"/>
      <c r="AS46" s="409"/>
      <c r="AT46" s="83"/>
      <c r="AU46" s="83"/>
    </row>
    <row r="47" spans="1:47" ht="145" x14ac:dyDescent="0.35">
      <c r="A47" s="105"/>
      <c r="B47" s="101" t="s">
        <v>433</v>
      </c>
      <c r="C47" s="129" t="s">
        <v>549</v>
      </c>
      <c r="D47" s="102" t="s">
        <v>636</v>
      </c>
      <c r="E47" s="103" t="s">
        <v>637</v>
      </c>
      <c r="F47" s="104"/>
      <c r="G47" s="88"/>
      <c r="H47" s="410"/>
      <c r="I47" s="411"/>
      <c r="J47" s="411"/>
      <c r="K47" s="411"/>
      <c r="L47" s="411"/>
      <c r="M47" s="411"/>
      <c r="N47" s="411"/>
      <c r="O47" s="411"/>
      <c r="P47" s="411"/>
      <c r="Q47" s="411"/>
      <c r="R47" s="411"/>
      <c r="S47" s="412"/>
      <c r="T47" s="83"/>
      <c r="U47" s="410"/>
      <c r="V47" s="411"/>
      <c r="W47" s="411"/>
      <c r="X47" s="411"/>
      <c r="Y47" s="411"/>
      <c r="Z47" s="411"/>
      <c r="AA47" s="411"/>
      <c r="AB47" s="411"/>
      <c r="AC47" s="411"/>
      <c r="AD47" s="411"/>
      <c r="AE47" s="411"/>
      <c r="AF47" s="412"/>
      <c r="AG47" s="83"/>
      <c r="AH47" s="410"/>
      <c r="AI47" s="411"/>
      <c r="AJ47" s="411"/>
      <c r="AK47" s="411"/>
      <c r="AL47" s="411"/>
      <c r="AM47" s="411"/>
      <c r="AN47" s="411"/>
      <c r="AO47" s="411"/>
      <c r="AP47" s="411"/>
      <c r="AQ47" s="411"/>
      <c r="AR47" s="411"/>
      <c r="AS47" s="412"/>
      <c r="AT47" s="83"/>
      <c r="AU47" s="83"/>
    </row>
    <row r="48" spans="1:47" x14ac:dyDescent="0.35">
      <c r="A48" s="105"/>
      <c r="B48" s="96" t="s">
        <v>654</v>
      </c>
      <c r="C48" s="97" t="s">
        <v>638</v>
      </c>
      <c r="D48" s="98"/>
      <c r="E48" s="234"/>
      <c r="F48" s="100"/>
      <c r="G48" s="88"/>
      <c r="H48" s="410"/>
      <c r="I48" s="411"/>
      <c r="J48" s="411"/>
      <c r="K48" s="411"/>
      <c r="L48" s="411"/>
      <c r="M48" s="411"/>
      <c r="N48" s="411"/>
      <c r="O48" s="411"/>
      <c r="P48" s="411"/>
      <c r="Q48" s="411"/>
      <c r="R48" s="411"/>
      <c r="S48" s="412"/>
      <c r="T48" s="83"/>
      <c r="U48" s="410"/>
      <c r="V48" s="411"/>
      <c r="W48" s="411"/>
      <c r="X48" s="411"/>
      <c r="Y48" s="411"/>
      <c r="Z48" s="411"/>
      <c r="AA48" s="411"/>
      <c r="AB48" s="411"/>
      <c r="AC48" s="411"/>
      <c r="AD48" s="411"/>
      <c r="AE48" s="411"/>
      <c r="AF48" s="412"/>
      <c r="AG48" s="83"/>
      <c r="AH48" s="410"/>
      <c r="AI48" s="411"/>
      <c r="AJ48" s="411"/>
      <c r="AK48" s="411"/>
      <c r="AL48" s="411"/>
      <c r="AM48" s="411"/>
      <c r="AN48" s="411"/>
      <c r="AO48" s="411"/>
      <c r="AP48" s="411"/>
      <c r="AQ48" s="411"/>
      <c r="AR48" s="411"/>
      <c r="AS48" s="412"/>
      <c r="AT48" s="83"/>
      <c r="AU48" s="83"/>
    </row>
    <row r="49" spans="1:47" ht="174" x14ac:dyDescent="0.35">
      <c r="A49" s="105"/>
      <c r="B49" s="96" t="s">
        <v>655</v>
      </c>
      <c r="C49" s="97" t="s">
        <v>656</v>
      </c>
      <c r="D49" s="98"/>
      <c r="E49" s="238" t="s">
        <v>622</v>
      </c>
      <c r="F49" s="100"/>
      <c r="G49" s="88"/>
      <c r="H49" s="410"/>
      <c r="I49" s="411"/>
      <c r="J49" s="411"/>
      <c r="K49" s="411"/>
      <c r="L49" s="411"/>
      <c r="M49" s="411"/>
      <c r="N49" s="411"/>
      <c r="O49" s="411"/>
      <c r="P49" s="411"/>
      <c r="Q49" s="411"/>
      <c r="R49" s="411"/>
      <c r="S49" s="412"/>
      <c r="T49" s="83"/>
      <c r="U49" s="410"/>
      <c r="V49" s="411"/>
      <c r="W49" s="411"/>
      <c r="X49" s="411"/>
      <c r="Y49" s="411"/>
      <c r="Z49" s="411"/>
      <c r="AA49" s="411"/>
      <c r="AB49" s="411"/>
      <c r="AC49" s="411"/>
      <c r="AD49" s="411"/>
      <c r="AE49" s="411"/>
      <c r="AF49" s="412"/>
      <c r="AG49" s="83"/>
      <c r="AH49" s="410"/>
      <c r="AI49" s="411"/>
      <c r="AJ49" s="411"/>
      <c r="AK49" s="411"/>
      <c r="AL49" s="411"/>
      <c r="AM49" s="411"/>
      <c r="AN49" s="411"/>
      <c r="AO49" s="411"/>
      <c r="AP49" s="411"/>
      <c r="AQ49" s="411"/>
      <c r="AR49" s="411"/>
      <c r="AS49" s="412"/>
      <c r="AT49" s="83"/>
      <c r="AU49" s="83"/>
    </row>
    <row r="50" spans="1:47" ht="101.5" x14ac:dyDescent="0.35">
      <c r="A50" s="105"/>
      <c r="B50" s="101" t="s">
        <v>433</v>
      </c>
      <c r="C50" s="129" t="s">
        <v>549</v>
      </c>
      <c r="D50" s="102" t="s">
        <v>657</v>
      </c>
      <c r="E50" s="103" t="s">
        <v>642</v>
      </c>
      <c r="F50" s="104"/>
      <c r="G50" s="88"/>
      <c r="H50" s="410"/>
      <c r="I50" s="411"/>
      <c r="J50" s="411"/>
      <c r="K50" s="411"/>
      <c r="L50" s="411"/>
      <c r="M50" s="411"/>
      <c r="N50" s="411"/>
      <c r="O50" s="411"/>
      <c r="P50" s="411"/>
      <c r="Q50" s="411"/>
      <c r="R50" s="411"/>
      <c r="S50" s="412"/>
      <c r="T50" s="83"/>
      <c r="U50" s="410"/>
      <c r="V50" s="411"/>
      <c r="W50" s="411"/>
      <c r="X50" s="411"/>
      <c r="Y50" s="411"/>
      <c r="Z50" s="411"/>
      <c r="AA50" s="411"/>
      <c r="AB50" s="411"/>
      <c r="AC50" s="411"/>
      <c r="AD50" s="411"/>
      <c r="AE50" s="411"/>
      <c r="AF50" s="412"/>
      <c r="AG50" s="83"/>
      <c r="AH50" s="410"/>
      <c r="AI50" s="411"/>
      <c r="AJ50" s="411"/>
      <c r="AK50" s="411"/>
      <c r="AL50" s="411"/>
      <c r="AM50" s="411"/>
      <c r="AN50" s="411"/>
      <c r="AO50" s="411"/>
      <c r="AP50" s="411"/>
      <c r="AQ50" s="411"/>
      <c r="AR50" s="411"/>
      <c r="AS50" s="412"/>
      <c r="AT50" s="83"/>
      <c r="AU50" s="83"/>
    </row>
    <row r="51" spans="1:47" x14ac:dyDescent="0.35">
      <c r="A51" s="105"/>
      <c r="B51" s="96" t="s">
        <v>658</v>
      </c>
      <c r="C51" s="97" t="s">
        <v>644</v>
      </c>
      <c r="D51" s="98"/>
      <c r="E51" s="234" t="s">
        <v>659</v>
      </c>
      <c r="F51" s="100"/>
      <c r="G51" s="88"/>
      <c r="H51" s="410"/>
      <c r="I51" s="411"/>
      <c r="J51" s="411"/>
      <c r="K51" s="411"/>
      <c r="L51" s="411"/>
      <c r="M51" s="411"/>
      <c r="N51" s="411"/>
      <c r="O51" s="411"/>
      <c r="P51" s="411"/>
      <c r="Q51" s="411"/>
      <c r="R51" s="411"/>
      <c r="S51" s="412"/>
      <c r="T51" s="83"/>
      <c r="U51" s="410"/>
      <c r="V51" s="411"/>
      <c r="W51" s="411"/>
      <c r="X51" s="411"/>
      <c r="Y51" s="411"/>
      <c r="Z51" s="411"/>
      <c r="AA51" s="411"/>
      <c r="AB51" s="411"/>
      <c r="AC51" s="411"/>
      <c r="AD51" s="411"/>
      <c r="AE51" s="411"/>
      <c r="AF51" s="412"/>
      <c r="AG51" s="83"/>
      <c r="AH51" s="410"/>
      <c r="AI51" s="411"/>
      <c r="AJ51" s="411"/>
      <c r="AK51" s="411"/>
      <c r="AL51" s="411"/>
      <c r="AM51" s="411"/>
      <c r="AN51" s="411"/>
      <c r="AO51" s="411"/>
      <c r="AP51" s="411"/>
      <c r="AQ51" s="411"/>
      <c r="AR51" s="411"/>
      <c r="AS51" s="412"/>
      <c r="AT51" s="83"/>
      <c r="AU51" s="83"/>
    </row>
    <row r="52" spans="1:47" ht="43.5" x14ac:dyDescent="0.35">
      <c r="A52" s="105"/>
      <c r="B52" s="101" t="s">
        <v>433</v>
      </c>
      <c r="C52" s="129" t="s">
        <v>549</v>
      </c>
      <c r="D52" s="102" t="s">
        <v>646</v>
      </c>
      <c r="E52" s="103" t="s">
        <v>647</v>
      </c>
      <c r="F52" s="104"/>
      <c r="G52" s="88"/>
      <c r="H52" s="410"/>
      <c r="I52" s="411"/>
      <c r="J52" s="411"/>
      <c r="K52" s="411"/>
      <c r="L52" s="411"/>
      <c r="M52" s="411"/>
      <c r="N52" s="411"/>
      <c r="O52" s="411"/>
      <c r="P52" s="411"/>
      <c r="Q52" s="411"/>
      <c r="R52" s="411"/>
      <c r="S52" s="412"/>
      <c r="T52" s="83"/>
      <c r="U52" s="410"/>
      <c r="V52" s="411"/>
      <c r="W52" s="411"/>
      <c r="X52" s="411"/>
      <c r="Y52" s="411"/>
      <c r="Z52" s="411"/>
      <c r="AA52" s="411"/>
      <c r="AB52" s="411"/>
      <c r="AC52" s="411"/>
      <c r="AD52" s="411"/>
      <c r="AE52" s="411"/>
      <c r="AF52" s="412"/>
      <c r="AG52" s="83"/>
      <c r="AH52" s="410"/>
      <c r="AI52" s="411"/>
      <c r="AJ52" s="411"/>
      <c r="AK52" s="411"/>
      <c r="AL52" s="411"/>
      <c r="AM52" s="411"/>
      <c r="AN52" s="411"/>
      <c r="AO52" s="411"/>
      <c r="AP52" s="411"/>
      <c r="AQ52" s="411"/>
      <c r="AR52" s="411"/>
      <c r="AS52" s="412"/>
      <c r="AT52" s="83"/>
      <c r="AU52" s="83"/>
    </row>
    <row r="53" spans="1:47" ht="15.5" x14ac:dyDescent="0.35">
      <c r="A53" s="105"/>
      <c r="B53" s="92" t="s">
        <v>573</v>
      </c>
      <c r="C53" s="413" t="s">
        <v>660</v>
      </c>
      <c r="D53" s="414"/>
      <c r="E53" s="414"/>
      <c r="F53" s="415"/>
      <c r="G53" s="88"/>
      <c r="H53" s="410"/>
      <c r="I53" s="411"/>
      <c r="J53" s="411"/>
      <c r="K53" s="411"/>
      <c r="L53" s="411"/>
      <c r="M53" s="411"/>
      <c r="N53" s="411"/>
      <c r="O53" s="411"/>
      <c r="P53" s="411"/>
      <c r="Q53" s="411"/>
      <c r="R53" s="411"/>
      <c r="S53" s="412"/>
      <c r="T53" s="83"/>
      <c r="U53" s="410"/>
      <c r="V53" s="411"/>
      <c r="W53" s="411"/>
      <c r="X53" s="411"/>
      <c r="Y53" s="411"/>
      <c r="Z53" s="411"/>
      <c r="AA53" s="411"/>
      <c r="AB53" s="411"/>
      <c r="AC53" s="411"/>
      <c r="AD53" s="411"/>
      <c r="AE53" s="411"/>
      <c r="AF53" s="412"/>
      <c r="AG53" s="83"/>
      <c r="AH53" s="410"/>
      <c r="AI53" s="411"/>
      <c r="AJ53" s="411"/>
      <c r="AK53" s="411"/>
      <c r="AL53" s="411"/>
      <c r="AM53" s="411"/>
      <c r="AN53" s="411"/>
      <c r="AO53" s="411"/>
      <c r="AP53" s="411"/>
      <c r="AQ53" s="411"/>
      <c r="AR53" s="411"/>
      <c r="AS53" s="412"/>
      <c r="AT53" s="83"/>
      <c r="AU53" s="83"/>
    </row>
    <row r="54" spans="1:47" x14ac:dyDescent="0.35">
      <c r="A54" s="105"/>
      <c r="B54" s="95" t="s">
        <v>545</v>
      </c>
      <c r="C54" s="416" t="s">
        <v>605</v>
      </c>
      <c r="D54" s="417"/>
      <c r="E54" s="417"/>
      <c r="F54" s="418"/>
      <c r="G54" s="88"/>
      <c r="H54" s="410"/>
      <c r="I54" s="411"/>
      <c r="J54" s="411"/>
      <c r="K54" s="411"/>
      <c r="L54" s="411"/>
      <c r="M54" s="411"/>
      <c r="N54" s="411"/>
      <c r="O54" s="411"/>
      <c r="P54" s="411"/>
      <c r="Q54" s="411"/>
      <c r="R54" s="411"/>
      <c r="S54" s="412"/>
      <c r="T54" s="83"/>
      <c r="U54" s="410"/>
      <c r="V54" s="411"/>
      <c r="W54" s="411"/>
      <c r="X54" s="411"/>
      <c r="Y54" s="411"/>
      <c r="Z54" s="411"/>
      <c r="AA54" s="411"/>
      <c r="AB54" s="411"/>
      <c r="AC54" s="411"/>
      <c r="AD54" s="411"/>
      <c r="AE54" s="411"/>
      <c r="AF54" s="412"/>
      <c r="AG54" s="83"/>
      <c r="AH54" s="410"/>
      <c r="AI54" s="411"/>
      <c r="AJ54" s="411"/>
      <c r="AK54" s="411"/>
      <c r="AL54" s="411"/>
      <c r="AM54" s="411"/>
      <c r="AN54" s="411"/>
      <c r="AO54" s="411"/>
      <c r="AP54" s="411"/>
      <c r="AQ54" s="411"/>
      <c r="AR54" s="411"/>
      <c r="AS54" s="412"/>
      <c r="AT54" s="83"/>
      <c r="AU54" s="83"/>
    </row>
    <row r="55" spans="1:47" ht="174" x14ac:dyDescent="0.35">
      <c r="A55" s="105"/>
      <c r="B55" s="96" t="s">
        <v>575</v>
      </c>
      <c r="C55" s="97" t="s">
        <v>661</v>
      </c>
      <c r="D55" s="98"/>
      <c r="E55" s="234" t="s">
        <v>607</v>
      </c>
      <c r="F55" s="100"/>
      <c r="G55" s="88"/>
      <c r="H55" s="410"/>
      <c r="I55" s="411"/>
      <c r="J55" s="411"/>
      <c r="K55" s="411"/>
      <c r="L55" s="411"/>
      <c r="M55" s="411"/>
      <c r="N55" s="411"/>
      <c r="O55" s="411"/>
      <c r="P55" s="411"/>
      <c r="Q55" s="411"/>
      <c r="R55" s="411"/>
      <c r="S55" s="412"/>
      <c r="T55" s="83"/>
      <c r="U55" s="410"/>
      <c r="V55" s="411"/>
      <c r="W55" s="411"/>
      <c r="X55" s="411"/>
      <c r="Y55" s="411"/>
      <c r="Z55" s="411"/>
      <c r="AA55" s="411"/>
      <c r="AB55" s="411"/>
      <c r="AC55" s="411"/>
      <c r="AD55" s="411"/>
      <c r="AE55" s="411"/>
      <c r="AF55" s="412"/>
      <c r="AG55" s="83"/>
      <c r="AH55" s="410"/>
      <c r="AI55" s="411"/>
      <c r="AJ55" s="411"/>
      <c r="AK55" s="411"/>
      <c r="AL55" s="411"/>
      <c r="AM55" s="411"/>
      <c r="AN55" s="411"/>
      <c r="AO55" s="411"/>
      <c r="AP55" s="411"/>
      <c r="AQ55" s="411"/>
      <c r="AR55" s="411"/>
      <c r="AS55" s="412"/>
      <c r="AT55" s="83"/>
      <c r="AU55" s="83"/>
    </row>
    <row r="56" spans="1:47" ht="101.5" x14ac:dyDescent="0.35">
      <c r="A56" s="105"/>
      <c r="B56" s="101" t="s">
        <v>434</v>
      </c>
      <c r="C56" s="129" t="s">
        <v>549</v>
      </c>
      <c r="D56" s="102" t="s">
        <v>662</v>
      </c>
      <c r="E56" s="103" t="s">
        <v>663</v>
      </c>
      <c r="F56" s="104"/>
      <c r="G56" s="88"/>
      <c r="H56" s="410"/>
      <c r="I56" s="411"/>
      <c r="J56" s="411"/>
      <c r="K56" s="411"/>
      <c r="L56" s="411"/>
      <c r="M56" s="411"/>
      <c r="N56" s="411"/>
      <c r="O56" s="411"/>
      <c r="P56" s="411"/>
      <c r="Q56" s="411"/>
      <c r="R56" s="411"/>
      <c r="S56" s="412"/>
      <c r="T56" s="83"/>
      <c r="U56" s="410"/>
      <c r="V56" s="411"/>
      <c r="W56" s="411"/>
      <c r="X56" s="411"/>
      <c r="Y56" s="411"/>
      <c r="Z56" s="411"/>
      <c r="AA56" s="411"/>
      <c r="AB56" s="411"/>
      <c r="AC56" s="411"/>
      <c r="AD56" s="411"/>
      <c r="AE56" s="411"/>
      <c r="AF56" s="412"/>
      <c r="AG56" s="83"/>
      <c r="AH56" s="410"/>
      <c r="AI56" s="411"/>
      <c r="AJ56" s="411"/>
      <c r="AK56" s="411"/>
      <c r="AL56" s="411"/>
      <c r="AM56" s="411"/>
      <c r="AN56" s="411"/>
      <c r="AO56" s="411"/>
      <c r="AP56" s="411"/>
      <c r="AQ56" s="411"/>
      <c r="AR56" s="411"/>
      <c r="AS56" s="412"/>
      <c r="AT56" s="83"/>
      <c r="AU56" s="83"/>
    </row>
    <row r="57" spans="1:47" ht="58" x14ac:dyDescent="0.35">
      <c r="A57" s="105"/>
      <c r="B57" s="101" t="s">
        <v>434</v>
      </c>
      <c r="C57" s="129" t="s">
        <v>549</v>
      </c>
      <c r="D57" s="102" t="s">
        <v>664</v>
      </c>
      <c r="E57" s="103" t="s">
        <v>665</v>
      </c>
      <c r="F57" s="104"/>
      <c r="G57" s="88"/>
      <c r="H57" s="410"/>
      <c r="I57" s="411"/>
      <c r="J57" s="411"/>
      <c r="K57" s="411"/>
      <c r="L57" s="411"/>
      <c r="M57" s="411"/>
      <c r="N57" s="411"/>
      <c r="O57" s="411"/>
      <c r="P57" s="411"/>
      <c r="Q57" s="411"/>
      <c r="R57" s="411"/>
      <c r="S57" s="412"/>
      <c r="T57" s="83"/>
      <c r="U57" s="410"/>
      <c r="V57" s="411"/>
      <c r="W57" s="411"/>
      <c r="X57" s="411"/>
      <c r="Y57" s="411"/>
      <c r="Z57" s="411"/>
      <c r="AA57" s="411"/>
      <c r="AB57" s="411"/>
      <c r="AC57" s="411"/>
      <c r="AD57" s="411"/>
      <c r="AE57" s="411"/>
      <c r="AF57" s="412"/>
      <c r="AG57" s="83"/>
      <c r="AH57" s="410"/>
      <c r="AI57" s="411"/>
      <c r="AJ57" s="411"/>
      <c r="AK57" s="411"/>
      <c r="AL57" s="411"/>
      <c r="AM57" s="411"/>
      <c r="AN57" s="411"/>
      <c r="AO57" s="411"/>
      <c r="AP57" s="411"/>
      <c r="AQ57" s="411"/>
      <c r="AR57" s="411"/>
      <c r="AS57" s="412"/>
      <c r="AT57" s="83"/>
      <c r="AU57" s="83"/>
    </row>
    <row r="58" spans="1:47" ht="29" x14ac:dyDescent="0.35">
      <c r="A58" s="105"/>
      <c r="B58" s="101" t="s">
        <v>434</v>
      </c>
      <c r="C58" s="129" t="s">
        <v>549</v>
      </c>
      <c r="D58" s="102" t="s">
        <v>666</v>
      </c>
      <c r="E58" s="103" t="s">
        <v>667</v>
      </c>
      <c r="F58" s="104"/>
      <c r="G58" s="88"/>
      <c r="H58" s="410"/>
      <c r="I58" s="411"/>
      <c r="J58" s="411"/>
      <c r="K58" s="411"/>
      <c r="L58" s="411"/>
      <c r="M58" s="411"/>
      <c r="N58" s="411"/>
      <c r="O58" s="411"/>
      <c r="P58" s="411"/>
      <c r="Q58" s="411"/>
      <c r="R58" s="411"/>
      <c r="S58" s="412"/>
      <c r="T58" s="83"/>
      <c r="U58" s="410"/>
      <c r="V58" s="411"/>
      <c r="W58" s="411"/>
      <c r="X58" s="411"/>
      <c r="Y58" s="411"/>
      <c r="Z58" s="411"/>
      <c r="AA58" s="411"/>
      <c r="AB58" s="411"/>
      <c r="AC58" s="411"/>
      <c r="AD58" s="411"/>
      <c r="AE58" s="411"/>
      <c r="AF58" s="412"/>
      <c r="AG58" s="83"/>
      <c r="AH58" s="410"/>
      <c r="AI58" s="411"/>
      <c r="AJ58" s="411"/>
      <c r="AK58" s="411"/>
      <c r="AL58" s="411"/>
      <c r="AM58" s="411"/>
      <c r="AN58" s="411"/>
      <c r="AO58" s="411"/>
      <c r="AP58" s="411"/>
      <c r="AQ58" s="411"/>
      <c r="AR58" s="411"/>
      <c r="AS58" s="412"/>
      <c r="AT58" s="83"/>
      <c r="AU58" s="83"/>
    </row>
    <row r="59" spans="1:47" x14ac:dyDescent="0.35">
      <c r="A59" s="105"/>
      <c r="B59" s="96" t="s">
        <v>576</v>
      </c>
      <c r="C59" s="97" t="s">
        <v>668</v>
      </c>
      <c r="D59" s="98"/>
      <c r="E59" s="234"/>
      <c r="F59" s="100"/>
      <c r="G59" s="88"/>
      <c r="H59" s="410"/>
      <c r="I59" s="411"/>
      <c r="J59" s="411"/>
      <c r="K59" s="411"/>
      <c r="L59" s="411"/>
      <c r="M59" s="411"/>
      <c r="N59" s="411"/>
      <c r="O59" s="411"/>
      <c r="P59" s="411"/>
      <c r="Q59" s="411"/>
      <c r="R59" s="411"/>
      <c r="S59" s="412"/>
      <c r="T59" s="83"/>
      <c r="U59" s="410"/>
      <c r="V59" s="411"/>
      <c r="W59" s="411"/>
      <c r="X59" s="411"/>
      <c r="Y59" s="411"/>
      <c r="Z59" s="411"/>
      <c r="AA59" s="411"/>
      <c r="AB59" s="411"/>
      <c r="AC59" s="411"/>
      <c r="AD59" s="411"/>
      <c r="AE59" s="411"/>
      <c r="AF59" s="412"/>
      <c r="AG59" s="83"/>
      <c r="AH59" s="410"/>
      <c r="AI59" s="411"/>
      <c r="AJ59" s="411"/>
      <c r="AK59" s="411"/>
      <c r="AL59" s="411"/>
      <c r="AM59" s="411"/>
      <c r="AN59" s="411"/>
      <c r="AO59" s="411"/>
      <c r="AP59" s="411"/>
      <c r="AQ59" s="411"/>
      <c r="AR59" s="411"/>
      <c r="AS59" s="412"/>
      <c r="AT59" s="83"/>
      <c r="AU59" s="83"/>
    </row>
    <row r="60" spans="1:47" ht="72.5" x14ac:dyDescent="0.35">
      <c r="A60" s="105"/>
      <c r="B60" s="101" t="s">
        <v>434</v>
      </c>
      <c r="C60" s="129" t="s">
        <v>549</v>
      </c>
      <c r="D60" s="102" t="s">
        <v>669</v>
      </c>
      <c r="E60" s="103" t="s">
        <v>670</v>
      </c>
      <c r="F60" s="104"/>
      <c r="G60" s="88"/>
      <c r="H60" s="410"/>
      <c r="I60" s="411"/>
      <c r="J60" s="411"/>
      <c r="K60" s="411"/>
      <c r="L60" s="411"/>
      <c r="M60" s="411"/>
      <c r="N60" s="411"/>
      <c r="O60" s="411"/>
      <c r="P60" s="411"/>
      <c r="Q60" s="411"/>
      <c r="R60" s="411"/>
      <c r="S60" s="412"/>
      <c r="T60" s="83"/>
      <c r="U60" s="410"/>
      <c r="V60" s="411"/>
      <c r="W60" s="411"/>
      <c r="X60" s="411"/>
      <c r="Y60" s="411"/>
      <c r="Z60" s="411"/>
      <c r="AA60" s="411"/>
      <c r="AB60" s="411"/>
      <c r="AC60" s="411"/>
      <c r="AD60" s="411"/>
      <c r="AE60" s="411"/>
      <c r="AF60" s="412"/>
      <c r="AG60" s="83"/>
      <c r="AH60" s="410"/>
      <c r="AI60" s="411"/>
      <c r="AJ60" s="411"/>
      <c r="AK60" s="411"/>
      <c r="AL60" s="411"/>
      <c r="AM60" s="411"/>
      <c r="AN60" s="411"/>
      <c r="AO60" s="411"/>
      <c r="AP60" s="411"/>
      <c r="AQ60" s="411"/>
      <c r="AR60" s="411"/>
      <c r="AS60" s="412"/>
      <c r="AT60" s="83"/>
      <c r="AU60" s="83"/>
    </row>
    <row r="61" spans="1:47" x14ac:dyDescent="0.35">
      <c r="A61" s="105"/>
      <c r="B61" s="96" t="s">
        <v>577</v>
      </c>
      <c r="C61" s="97" t="s">
        <v>644</v>
      </c>
      <c r="D61" s="98"/>
      <c r="E61" s="234" t="s">
        <v>645</v>
      </c>
      <c r="F61" s="100"/>
      <c r="G61" s="88"/>
      <c r="H61" s="410"/>
      <c r="I61" s="411"/>
      <c r="J61" s="411"/>
      <c r="K61" s="411"/>
      <c r="L61" s="411"/>
      <c r="M61" s="411"/>
      <c r="N61" s="411"/>
      <c r="O61" s="411"/>
      <c r="P61" s="411"/>
      <c r="Q61" s="411"/>
      <c r="R61" s="411"/>
      <c r="S61" s="412"/>
      <c r="T61" s="83"/>
      <c r="U61" s="410"/>
      <c r="V61" s="411"/>
      <c r="W61" s="411"/>
      <c r="X61" s="411"/>
      <c r="Y61" s="411"/>
      <c r="Z61" s="411"/>
      <c r="AA61" s="411"/>
      <c r="AB61" s="411"/>
      <c r="AC61" s="411"/>
      <c r="AD61" s="411"/>
      <c r="AE61" s="411"/>
      <c r="AF61" s="412"/>
      <c r="AG61" s="83"/>
      <c r="AH61" s="410"/>
      <c r="AI61" s="411"/>
      <c r="AJ61" s="411"/>
      <c r="AK61" s="411"/>
      <c r="AL61" s="411"/>
      <c r="AM61" s="411"/>
      <c r="AN61" s="411"/>
      <c r="AO61" s="411"/>
      <c r="AP61" s="411"/>
      <c r="AQ61" s="411"/>
      <c r="AR61" s="411"/>
      <c r="AS61" s="412"/>
      <c r="AT61" s="83"/>
      <c r="AU61" s="83"/>
    </row>
    <row r="62" spans="1:47" ht="43.5" x14ac:dyDescent="0.35">
      <c r="A62" s="105"/>
      <c r="B62" s="101" t="s">
        <v>434</v>
      </c>
      <c r="C62" s="129" t="s">
        <v>549</v>
      </c>
      <c r="D62" s="102" t="s">
        <v>646</v>
      </c>
      <c r="E62" s="103" t="s">
        <v>647</v>
      </c>
      <c r="F62" s="104"/>
      <c r="G62" s="88"/>
      <c r="H62" s="410"/>
      <c r="I62" s="411"/>
      <c r="J62" s="411"/>
      <c r="K62" s="411"/>
      <c r="L62" s="411"/>
      <c r="M62" s="411"/>
      <c r="N62" s="411"/>
      <c r="O62" s="411"/>
      <c r="P62" s="411"/>
      <c r="Q62" s="411"/>
      <c r="R62" s="411"/>
      <c r="S62" s="412"/>
      <c r="T62" s="83"/>
      <c r="U62" s="410"/>
      <c r="V62" s="411"/>
      <c r="W62" s="411"/>
      <c r="X62" s="411"/>
      <c r="Y62" s="411"/>
      <c r="Z62" s="411"/>
      <c r="AA62" s="411"/>
      <c r="AB62" s="411"/>
      <c r="AC62" s="411"/>
      <c r="AD62" s="411"/>
      <c r="AE62" s="411"/>
      <c r="AF62" s="412"/>
      <c r="AG62" s="83"/>
      <c r="AH62" s="410"/>
      <c r="AI62" s="411"/>
      <c r="AJ62" s="411"/>
      <c r="AK62" s="411"/>
      <c r="AL62" s="411"/>
      <c r="AM62" s="411"/>
      <c r="AN62" s="411"/>
      <c r="AO62" s="411"/>
      <c r="AP62" s="411"/>
      <c r="AQ62" s="411"/>
      <c r="AR62" s="411"/>
      <c r="AS62" s="412"/>
      <c r="AT62" s="83"/>
      <c r="AU62" s="83"/>
    </row>
    <row r="63" spans="1:47" ht="58" x14ac:dyDescent="0.35">
      <c r="A63" s="105"/>
      <c r="B63" s="101" t="s">
        <v>434</v>
      </c>
      <c r="C63" s="129" t="s">
        <v>549</v>
      </c>
      <c r="D63" s="102" t="s">
        <v>671</v>
      </c>
      <c r="E63" s="103" t="s">
        <v>665</v>
      </c>
      <c r="F63" s="104"/>
      <c r="G63" s="88"/>
      <c r="H63" s="410"/>
      <c r="I63" s="411"/>
      <c r="J63" s="411"/>
      <c r="K63" s="411"/>
      <c r="L63" s="411"/>
      <c r="M63" s="411"/>
      <c r="N63" s="411"/>
      <c r="O63" s="411"/>
      <c r="P63" s="411"/>
      <c r="Q63" s="411"/>
      <c r="R63" s="411"/>
      <c r="S63" s="412"/>
      <c r="T63" s="83"/>
      <c r="U63" s="410"/>
      <c r="V63" s="411"/>
      <c r="W63" s="411"/>
      <c r="X63" s="411"/>
      <c r="Y63" s="411"/>
      <c r="Z63" s="411"/>
      <c r="AA63" s="411"/>
      <c r="AB63" s="411"/>
      <c r="AC63" s="411"/>
      <c r="AD63" s="411"/>
      <c r="AE63" s="411"/>
      <c r="AF63" s="412"/>
      <c r="AG63" s="83"/>
      <c r="AH63" s="410"/>
      <c r="AI63" s="411"/>
      <c r="AJ63" s="411"/>
      <c r="AK63" s="411"/>
      <c r="AL63" s="411"/>
      <c r="AM63" s="411"/>
      <c r="AN63" s="411"/>
      <c r="AO63" s="411"/>
      <c r="AP63" s="411"/>
      <c r="AQ63" s="411"/>
      <c r="AR63" s="411"/>
      <c r="AS63" s="412"/>
      <c r="AT63" s="83"/>
      <c r="AU63" s="83"/>
    </row>
    <row r="64" spans="1:47" ht="29" x14ac:dyDescent="0.35">
      <c r="A64" s="105"/>
      <c r="B64" s="101" t="s">
        <v>434</v>
      </c>
      <c r="C64" s="129" t="s">
        <v>549</v>
      </c>
      <c r="D64" s="102" t="s">
        <v>672</v>
      </c>
      <c r="E64" s="103" t="s">
        <v>673</v>
      </c>
      <c r="F64" s="104"/>
      <c r="G64" s="88"/>
      <c r="H64" s="410"/>
      <c r="I64" s="411"/>
      <c r="J64" s="411"/>
      <c r="K64" s="411"/>
      <c r="L64" s="411"/>
      <c r="M64" s="411"/>
      <c r="N64" s="411"/>
      <c r="O64" s="411"/>
      <c r="P64" s="411"/>
      <c r="Q64" s="411"/>
      <c r="R64" s="411"/>
      <c r="S64" s="412"/>
      <c r="T64" s="83"/>
      <c r="U64" s="410"/>
      <c r="V64" s="411"/>
      <c r="W64" s="411"/>
      <c r="X64" s="411"/>
      <c r="Y64" s="411"/>
      <c r="Z64" s="411"/>
      <c r="AA64" s="411"/>
      <c r="AB64" s="411"/>
      <c r="AC64" s="411"/>
      <c r="AD64" s="411"/>
      <c r="AE64" s="411"/>
      <c r="AF64" s="412"/>
      <c r="AG64" s="83"/>
      <c r="AH64" s="410"/>
      <c r="AI64" s="411"/>
      <c r="AJ64" s="411"/>
      <c r="AK64" s="411"/>
      <c r="AL64" s="411"/>
      <c r="AM64" s="411"/>
      <c r="AN64" s="411"/>
      <c r="AO64" s="411"/>
      <c r="AP64" s="411"/>
      <c r="AQ64" s="411"/>
      <c r="AR64" s="411"/>
      <c r="AS64" s="412"/>
      <c r="AT64" s="83"/>
      <c r="AU64" s="83"/>
    </row>
    <row r="65" spans="1:47" x14ac:dyDescent="0.35">
      <c r="A65" s="105"/>
      <c r="B65" s="96" t="s">
        <v>674</v>
      </c>
      <c r="C65" s="97" t="s">
        <v>675</v>
      </c>
      <c r="D65" s="98"/>
      <c r="E65" s="234"/>
      <c r="F65" s="100"/>
      <c r="G65" s="88"/>
      <c r="H65" s="410"/>
      <c r="I65" s="411"/>
      <c r="J65" s="411"/>
      <c r="K65" s="411"/>
      <c r="L65" s="411"/>
      <c r="M65" s="411"/>
      <c r="N65" s="411"/>
      <c r="O65" s="411"/>
      <c r="P65" s="411"/>
      <c r="Q65" s="411"/>
      <c r="R65" s="411"/>
      <c r="S65" s="412"/>
      <c r="T65" s="83"/>
      <c r="U65" s="410"/>
      <c r="V65" s="411"/>
      <c r="W65" s="411"/>
      <c r="X65" s="411"/>
      <c r="Y65" s="411"/>
      <c r="Z65" s="411"/>
      <c r="AA65" s="411"/>
      <c r="AB65" s="411"/>
      <c r="AC65" s="411"/>
      <c r="AD65" s="411"/>
      <c r="AE65" s="411"/>
      <c r="AF65" s="412"/>
      <c r="AG65" s="83"/>
      <c r="AH65" s="410"/>
      <c r="AI65" s="411"/>
      <c r="AJ65" s="411"/>
      <c r="AK65" s="411"/>
      <c r="AL65" s="411"/>
      <c r="AM65" s="411"/>
      <c r="AN65" s="411"/>
      <c r="AO65" s="411"/>
      <c r="AP65" s="411"/>
      <c r="AQ65" s="411"/>
      <c r="AR65" s="411"/>
      <c r="AS65" s="412"/>
      <c r="AT65" s="83"/>
      <c r="AU65" s="83"/>
    </row>
    <row r="66" spans="1:47" ht="194.25" customHeight="1" x14ac:dyDescent="0.35">
      <c r="A66" s="105"/>
      <c r="B66" s="96" t="s">
        <v>676</v>
      </c>
      <c r="C66" s="97" t="s">
        <v>677</v>
      </c>
      <c r="D66" s="98"/>
      <c r="E66" s="238" t="s">
        <v>622</v>
      </c>
      <c r="F66" s="100"/>
      <c r="G66" s="88"/>
      <c r="H66" s="410"/>
      <c r="I66" s="411"/>
      <c r="J66" s="411"/>
      <c r="K66" s="411"/>
      <c r="L66" s="411"/>
      <c r="M66" s="411"/>
      <c r="N66" s="411"/>
      <c r="O66" s="411"/>
      <c r="P66" s="411"/>
      <c r="Q66" s="411"/>
      <c r="R66" s="411"/>
      <c r="S66" s="412"/>
      <c r="T66" s="83"/>
      <c r="U66" s="410"/>
      <c r="V66" s="411"/>
      <c r="W66" s="411"/>
      <c r="X66" s="411"/>
      <c r="Y66" s="411"/>
      <c r="Z66" s="411"/>
      <c r="AA66" s="411"/>
      <c r="AB66" s="411"/>
      <c r="AC66" s="411"/>
      <c r="AD66" s="411"/>
      <c r="AE66" s="411"/>
      <c r="AF66" s="412"/>
      <c r="AG66" s="83"/>
      <c r="AH66" s="410"/>
      <c r="AI66" s="411"/>
      <c r="AJ66" s="411"/>
      <c r="AK66" s="411"/>
      <c r="AL66" s="411"/>
      <c r="AM66" s="411"/>
      <c r="AN66" s="411"/>
      <c r="AO66" s="411"/>
      <c r="AP66" s="411"/>
      <c r="AQ66" s="411"/>
      <c r="AR66" s="411"/>
      <c r="AS66" s="412"/>
      <c r="AT66" s="83"/>
      <c r="AU66" s="83"/>
    </row>
    <row r="67" spans="1:47" ht="122.25" customHeight="1" x14ac:dyDescent="0.35">
      <c r="A67" s="105"/>
      <c r="B67" s="101" t="s">
        <v>434</v>
      </c>
      <c r="C67" s="129" t="s">
        <v>549</v>
      </c>
      <c r="D67" s="102" t="s">
        <v>662</v>
      </c>
      <c r="E67" s="103" t="s">
        <v>663</v>
      </c>
      <c r="F67" s="104"/>
      <c r="G67" s="88"/>
      <c r="H67" s="410"/>
      <c r="I67" s="411"/>
      <c r="J67" s="411"/>
      <c r="K67" s="411"/>
      <c r="L67" s="411"/>
      <c r="M67" s="411"/>
      <c r="N67" s="411"/>
      <c r="O67" s="411"/>
      <c r="P67" s="411"/>
      <c r="Q67" s="411"/>
      <c r="R67" s="411"/>
      <c r="S67" s="412"/>
      <c r="T67" s="83"/>
      <c r="U67" s="410"/>
      <c r="V67" s="411"/>
      <c r="W67" s="411"/>
      <c r="X67" s="411"/>
      <c r="Y67" s="411"/>
      <c r="Z67" s="411"/>
      <c r="AA67" s="411"/>
      <c r="AB67" s="411"/>
      <c r="AC67" s="411"/>
      <c r="AD67" s="411"/>
      <c r="AE67" s="411"/>
      <c r="AF67" s="412"/>
      <c r="AG67" s="83"/>
      <c r="AH67" s="410"/>
      <c r="AI67" s="411"/>
      <c r="AJ67" s="411"/>
      <c r="AK67" s="411"/>
      <c r="AL67" s="411"/>
      <c r="AM67" s="411"/>
      <c r="AN67" s="411"/>
      <c r="AO67" s="411"/>
      <c r="AP67" s="411"/>
      <c r="AQ67" s="411"/>
      <c r="AR67" s="411"/>
      <c r="AS67" s="412"/>
      <c r="AT67" s="83"/>
      <c r="AU67" s="83"/>
    </row>
    <row r="68" spans="1:47" ht="74.25" customHeight="1" x14ac:dyDescent="0.35">
      <c r="A68" s="105"/>
      <c r="B68" s="101" t="s">
        <v>434</v>
      </c>
      <c r="C68" s="129" t="s">
        <v>549</v>
      </c>
      <c r="D68" s="102" t="s">
        <v>664</v>
      </c>
      <c r="E68" s="103" t="s">
        <v>665</v>
      </c>
      <c r="F68" s="104"/>
      <c r="G68" s="88"/>
      <c r="H68" s="410"/>
      <c r="I68" s="411"/>
      <c r="J68" s="411"/>
      <c r="K68" s="411"/>
      <c r="L68" s="411"/>
      <c r="M68" s="411"/>
      <c r="N68" s="411"/>
      <c r="O68" s="411"/>
      <c r="P68" s="411"/>
      <c r="Q68" s="411"/>
      <c r="R68" s="411"/>
      <c r="S68" s="412"/>
      <c r="T68" s="83"/>
      <c r="U68" s="410"/>
      <c r="V68" s="411"/>
      <c r="W68" s="411"/>
      <c r="X68" s="411"/>
      <c r="Y68" s="411"/>
      <c r="Z68" s="411"/>
      <c r="AA68" s="411"/>
      <c r="AB68" s="411"/>
      <c r="AC68" s="411"/>
      <c r="AD68" s="411"/>
      <c r="AE68" s="411"/>
      <c r="AF68" s="412"/>
      <c r="AG68" s="83"/>
      <c r="AH68" s="410"/>
      <c r="AI68" s="411"/>
      <c r="AJ68" s="411"/>
      <c r="AK68" s="411"/>
      <c r="AL68" s="411"/>
      <c r="AM68" s="411"/>
      <c r="AN68" s="411"/>
      <c r="AO68" s="411"/>
      <c r="AP68" s="411"/>
      <c r="AQ68" s="411"/>
      <c r="AR68" s="411"/>
      <c r="AS68" s="412"/>
      <c r="AT68" s="83"/>
      <c r="AU68" s="83"/>
    </row>
    <row r="69" spans="1:47" ht="45.75" customHeight="1" x14ac:dyDescent="0.35">
      <c r="A69" s="105"/>
      <c r="B69" s="101" t="s">
        <v>434</v>
      </c>
      <c r="C69" s="129" t="s">
        <v>549</v>
      </c>
      <c r="D69" s="102" t="s">
        <v>666</v>
      </c>
      <c r="E69" s="103" t="s">
        <v>667</v>
      </c>
      <c r="F69" s="104"/>
      <c r="G69" s="88"/>
      <c r="H69" s="410"/>
      <c r="I69" s="411"/>
      <c r="J69" s="411"/>
      <c r="K69" s="411"/>
      <c r="L69" s="411"/>
      <c r="M69" s="411"/>
      <c r="N69" s="411"/>
      <c r="O69" s="411"/>
      <c r="P69" s="411"/>
      <c r="Q69" s="411"/>
      <c r="R69" s="411"/>
      <c r="S69" s="412"/>
      <c r="T69" s="83"/>
      <c r="U69" s="410"/>
      <c r="V69" s="411"/>
      <c r="W69" s="411"/>
      <c r="X69" s="411"/>
      <c r="Y69" s="411"/>
      <c r="Z69" s="411"/>
      <c r="AA69" s="411"/>
      <c r="AB69" s="411"/>
      <c r="AC69" s="411"/>
      <c r="AD69" s="411"/>
      <c r="AE69" s="411"/>
      <c r="AF69" s="412"/>
      <c r="AG69" s="83"/>
      <c r="AH69" s="410"/>
      <c r="AI69" s="411"/>
      <c r="AJ69" s="411"/>
      <c r="AK69" s="411"/>
      <c r="AL69" s="411"/>
      <c r="AM69" s="411"/>
      <c r="AN69" s="411"/>
      <c r="AO69" s="411"/>
      <c r="AP69" s="411"/>
      <c r="AQ69" s="411"/>
      <c r="AR69" s="411"/>
      <c r="AS69" s="412"/>
      <c r="AT69" s="83"/>
      <c r="AU69" s="83"/>
    </row>
    <row r="70" spans="1:47" x14ac:dyDescent="0.35">
      <c r="A70" s="105"/>
      <c r="B70" s="96" t="s">
        <v>678</v>
      </c>
      <c r="C70" s="97" t="s">
        <v>668</v>
      </c>
      <c r="D70" s="98"/>
      <c r="E70" s="234"/>
      <c r="F70" s="100"/>
      <c r="G70" s="88"/>
      <c r="H70" s="410"/>
      <c r="I70" s="411"/>
      <c r="J70" s="411"/>
      <c r="K70" s="411"/>
      <c r="L70" s="411"/>
      <c r="M70" s="411"/>
      <c r="N70" s="411"/>
      <c r="O70" s="411"/>
      <c r="P70" s="411"/>
      <c r="Q70" s="411"/>
      <c r="R70" s="411"/>
      <c r="S70" s="412"/>
      <c r="T70" s="83"/>
      <c r="U70" s="410"/>
      <c r="V70" s="411"/>
      <c r="W70" s="411"/>
      <c r="X70" s="411"/>
      <c r="Y70" s="411"/>
      <c r="Z70" s="411"/>
      <c r="AA70" s="411"/>
      <c r="AB70" s="411"/>
      <c r="AC70" s="411"/>
      <c r="AD70" s="411"/>
      <c r="AE70" s="411"/>
      <c r="AF70" s="412"/>
      <c r="AG70" s="83"/>
      <c r="AH70" s="410"/>
      <c r="AI70" s="411"/>
      <c r="AJ70" s="411"/>
      <c r="AK70" s="411"/>
      <c r="AL70" s="411"/>
      <c r="AM70" s="411"/>
      <c r="AN70" s="411"/>
      <c r="AO70" s="411"/>
      <c r="AP70" s="411"/>
      <c r="AQ70" s="411"/>
      <c r="AR70" s="411"/>
      <c r="AS70" s="412"/>
      <c r="AT70" s="83"/>
      <c r="AU70" s="83"/>
    </row>
    <row r="71" spans="1:47" ht="72.5" x14ac:dyDescent="0.35">
      <c r="A71" s="105"/>
      <c r="B71" s="101" t="s">
        <v>434</v>
      </c>
      <c r="C71" s="129" t="s">
        <v>549</v>
      </c>
      <c r="D71" s="102" t="s">
        <v>669</v>
      </c>
      <c r="E71" s="103" t="s">
        <v>670</v>
      </c>
      <c r="F71" s="104"/>
      <c r="G71" s="88"/>
      <c r="H71" s="410"/>
      <c r="I71" s="411"/>
      <c r="J71" s="411"/>
      <c r="K71" s="411"/>
      <c r="L71" s="411"/>
      <c r="M71" s="411"/>
      <c r="N71" s="411"/>
      <c r="O71" s="411"/>
      <c r="P71" s="411"/>
      <c r="Q71" s="411"/>
      <c r="R71" s="411"/>
      <c r="S71" s="412"/>
      <c r="T71" s="83"/>
      <c r="U71" s="410"/>
      <c r="V71" s="411"/>
      <c r="W71" s="411"/>
      <c r="X71" s="411"/>
      <c r="Y71" s="411"/>
      <c r="Z71" s="411"/>
      <c r="AA71" s="411"/>
      <c r="AB71" s="411"/>
      <c r="AC71" s="411"/>
      <c r="AD71" s="411"/>
      <c r="AE71" s="411"/>
      <c r="AF71" s="412"/>
      <c r="AG71" s="83"/>
      <c r="AH71" s="410"/>
      <c r="AI71" s="411"/>
      <c r="AJ71" s="411"/>
      <c r="AK71" s="411"/>
      <c r="AL71" s="411"/>
      <c r="AM71" s="411"/>
      <c r="AN71" s="411"/>
      <c r="AO71" s="411"/>
      <c r="AP71" s="411"/>
      <c r="AQ71" s="411"/>
      <c r="AR71" s="411"/>
      <c r="AS71" s="412"/>
      <c r="AT71" s="83"/>
      <c r="AU71" s="83"/>
    </row>
    <row r="72" spans="1:47" x14ac:dyDescent="0.35">
      <c r="A72" s="105"/>
      <c r="B72" s="96" t="s">
        <v>679</v>
      </c>
      <c r="C72" s="97" t="s">
        <v>644</v>
      </c>
      <c r="D72" s="98"/>
      <c r="E72" s="234" t="s">
        <v>645</v>
      </c>
      <c r="F72" s="100"/>
      <c r="G72" s="88"/>
      <c r="H72" s="410"/>
      <c r="I72" s="411"/>
      <c r="J72" s="411"/>
      <c r="K72" s="411"/>
      <c r="L72" s="411"/>
      <c r="M72" s="411"/>
      <c r="N72" s="411"/>
      <c r="O72" s="411"/>
      <c r="P72" s="411"/>
      <c r="Q72" s="411"/>
      <c r="R72" s="411"/>
      <c r="S72" s="412"/>
      <c r="T72" s="83"/>
      <c r="U72" s="410"/>
      <c r="V72" s="411"/>
      <c r="W72" s="411"/>
      <c r="X72" s="411"/>
      <c r="Y72" s="411"/>
      <c r="Z72" s="411"/>
      <c r="AA72" s="411"/>
      <c r="AB72" s="411"/>
      <c r="AC72" s="411"/>
      <c r="AD72" s="411"/>
      <c r="AE72" s="411"/>
      <c r="AF72" s="412"/>
      <c r="AG72" s="83"/>
      <c r="AH72" s="410"/>
      <c r="AI72" s="411"/>
      <c r="AJ72" s="411"/>
      <c r="AK72" s="411"/>
      <c r="AL72" s="411"/>
      <c r="AM72" s="411"/>
      <c r="AN72" s="411"/>
      <c r="AO72" s="411"/>
      <c r="AP72" s="411"/>
      <c r="AQ72" s="411"/>
      <c r="AR72" s="411"/>
      <c r="AS72" s="412"/>
      <c r="AT72" s="83"/>
      <c r="AU72" s="83"/>
    </row>
    <row r="73" spans="1:47" ht="43.5" x14ac:dyDescent="0.35">
      <c r="A73" s="105"/>
      <c r="B73" s="101" t="s">
        <v>434</v>
      </c>
      <c r="C73" s="129" t="s">
        <v>549</v>
      </c>
      <c r="D73" s="102" t="s">
        <v>646</v>
      </c>
      <c r="E73" s="103" t="s">
        <v>647</v>
      </c>
      <c r="F73" s="104"/>
      <c r="G73" s="88"/>
      <c r="H73" s="410"/>
      <c r="I73" s="411"/>
      <c r="J73" s="411"/>
      <c r="K73" s="411"/>
      <c r="L73" s="411"/>
      <c r="M73" s="411"/>
      <c r="N73" s="411"/>
      <c r="O73" s="411"/>
      <c r="P73" s="411"/>
      <c r="Q73" s="411"/>
      <c r="R73" s="411"/>
      <c r="S73" s="412"/>
      <c r="T73" s="83"/>
      <c r="U73" s="410"/>
      <c r="V73" s="411"/>
      <c r="W73" s="411"/>
      <c r="X73" s="411"/>
      <c r="Y73" s="411"/>
      <c r="Z73" s="411"/>
      <c r="AA73" s="411"/>
      <c r="AB73" s="411"/>
      <c r="AC73" s="411"/>
      <c r="AD73" s="411"/>
      <c r="AE73" s="411"/>
      <c r="AF73" s="412"/>
      <c r="AG73" s="83"/>
      <c r="AH73" s="410"/>
      <c r="AI73" s="411"/>
      <c r="AJ73" s="411"/>
      <c r="AK73" s="411"/>
      <c r="AL73" s="411"/>
      <c r="AM73" s="411"/>
      <c r="AN73" s="411"/>
      <c r="AO73" s="411"/>
      <c r="AP73" s="411"/>
      <c r="AQ73" s="411"/>
      <c r="AR73" s="411"/>
      <c r="AS73" s="412"/>
      <c r="AT73" s="83"/>
      <c r="AU73" s="83"/>
    </row>
    <row r="74" spans="1:47" ht="58" x14ac:dyDescent="0.35">
      <c r="A74" s="105"/>
      <c r="B74" s="101" t="s">
        <v>434</v>
      </c>
      <c r="C74" s="129" t="s">
        <v>549</v>
      </c>
      <c r="D74" s="102" t="s">
        <v>671</v>
      </c>
      <c r="E74" s="103" t="s">
        <v>665</v>
      </c>
      <c r="F74" s="104"/>
      <c r="G74" s="88"/>
      <c r="H74" s="410"/>
      <c r="I74" s="411"/>
      <c r="J74" s="411"/>
      <c r="K74" s="411"/>
      <c r="L74" s="411"/>
      <c r="M74" s="411"/>
      <c r="N74" s="411"/>
      <c r="O74" s="411"/>
      <c r="P74" s="411"/>
      <c r="Q74" s="411"/>
      <c r="R74" s="411"/>
      <c r="S74" s="412"/>
      <c r="T74" s="83"/>
      <c r="U74" s="410"/>
      <c r="V74" s="411"/>
      <c r="W74" s="411"/>
      <c r="X74" s="411"/>
      <c r="Y74" s="411"/>
      <c r="Z74" s="411"/>
      <c r="AA74" s="411"/>
      <c r="AB74" s="411"/>
      <c r="AC74" s="411"/>
      <c r="AD74" s="411"/>
      <c r="AE74" s="411"/>
      <c r="AF74" s="412"/>
      <c r="AG74" s="83"/>
      <c r="AH74" s="410"/>
      <c r="AI74" s="411"/>
      <c r="AJ74" s="411"/>
      <c r="AK74" s="411"/>
      <c r="AL74" s="411"/>
      <c r="AM74" s="411"/>
      <c r="AN74" s="411"/>
      <c r="AO74" s="411"/>
      <c r="AP74" s="411"/>
      <c r="AQ74" s="411"/>
      <c r="AR74" s="411"/>
      <c r="AS74" s="412"/>
      <c r="AT74" s="83"/>
      <c r="AU74" s="83"/>
    </row>
    <row r="75" spans="1:47" ht="29" x14ac:dyDescent="0.35">
      <c r="A75" s="105"/>
      <c r="B75" s="101" t="s">
        <v>434</v>
      </c>
      <c r="C75" s="129" t="s">
        <v>549</v>
      </c>
      <c r="D75" s="102" t="s">
        <v>672</v>
      </c>
      <c r="E75" s="103" t="s">
        <v>673</v>
      </c>
      <c r="F75" s="104"/>
      <c r="G75" s="88"/>
      <c r="H75" s="410"/>
      <c r="I75" s="411"/>
      <c r="J75" s="411"/>
      <c r="K75" s="411"/>
      <c r="L75" s="411"/>
      <c r="M75" s="411"/>
      <c r="N75" s="411"/>
      <c r="O75" s="411"/>
      <c r="P75" s="411"/>
      <c r="Q75" s="411"/>
      <c r="R75" s="411"/>
      <c r="S75" s="412"/>
      <c r="T75" s="83"/>
      <c r="U75" s="410"/>
      <c r="V75" s="411"/>
      <c r="W75" s="411"/>
      <c r="X75" s="411"/>
      <c r="Y75" s="411"/>
      <c r="Z75" s="411"/>
      <c r="AA75" s="411"/>
      <c r="AB75" s="411"/>
      <c r="AC75" s="411"/>
      <c r="AD75" s="411"/>
      <c r="AE75" s="411"/>
      <c r="AF75" s="412"/>
      <c r="AG75" s="83"/>
      <c r="AH75" s="410"/>
      <c r="AI75" s="411"/>
      <c r="AJ75" s="411"/>
      <c r="AK75" s="411"/>
      <c r="AL75" s="411"/>
      <c r="AM75" s="411"/>
      <c r="AN75" s="411"/>
      <c r="AO75" s="411"/>
      <c r="AP75" s="411"/>
      <c r="AQ75" s="411"/>
      <c r="AR75" s="411"/>
      <c r="AS75" s="412"/>
      <c r="AT75" s="83"/>
      <c r="AU75" s="83"/>
    </row>
    <row r="76" spans="1:47" x14ac:dyDescent="0.35">
      <c r="A76" s="105"/>
      <c r="B76" s="96" t="s">
        <v>680</v>
      </c>
      <c r="C76" s="97" t="s">
        <v>675</v>
      </c>
      <c r="D76" s="98"/>
      <c r="E76" s="234"/>
      <c r="F76" s="100"/>
      <c r="G76" s="88"/>
      <c r="H76" s="410"/>
      <c r="I76" s="411"/>
      <c r="J76" s="411"/>
      <c r="K76" s="411"/>
      <c r="L76" s="411"/>
      <c r="M76" s="411"/>
      <c r="N76" s="411"/>
      <c r="O76" s="411"/>
      <c r="P76" s="411"/>
      <c r="Q76" s="411"/>
      <c r="R76" s="411"/>
      <c r="S76" s="412"/>
      <c r="T76" s="83"/>
      <c r="U76" s="410"/>
      <c r="V76" s="411"/>
      <c r="W76" s="411"/>
      <c r="X76" s="411"/>
      <c r="Y76" s="411"/>
      <c r="Z76" s="411"/>
      <c r="AA76" s="411"/>
      <c r="AB76" s="411"/>
      <c r="AC76" s="411"/>
      <c r="AD76" s="411"/>
      <c r="AE76" s="411"/>
      <c r="AF76" s="412"/>
      <c r="AG76" s="83"/>
      <c r="AH76" s="410"/>
      <c r="AI76" s="411"/>
      <c r="AJ76" s="411"/>
      <c r="AK76" s="411"/>
      <c r="AL76" s="411"/>
      <c r="AM76" s="411"/>
      <c r="AN76" s="411"/>
      <c r="AO76" s="411"/>
      <c r="AP76" s="411"/>
      <c r="AQ76" s="411"/>
      <c r="AR76" s="411"/>
      <c r="AS76" s="412"/>
      <c r="AT76" s="83"/>
      <c r="AU76" s="83"/>
    </row>
    <row r="77" spans="1:47" ht="174" x14ac:dyDescent="0.35">
      <c r="A77" s="105"/>
      <c r="B77" s="96" t="s">
        <v>681</v>
      </c>
      <c r="C77" s="97" t="s">
        <v>682</v>
      </c>
      <c r="D77" s="98"/>
      <c r="E77" s="234" t="s">
        <v>607</v>
      </c>
      <c r="F77" s="100"/>
      <c r="G77" s="88"/>
      <c r="H77" s="410"/>
      <c r="I77" s="411"/>
      <c r="J77" s="411"/>
      <c r="K77" s="411"/>
      <c r="L77" s="411"/>
      <c r="M77" s="411"/>
      <c r="N77" s="411"/>
      <c r="O77" s="411"/>
      <c r="P77" s="411"/>
      <c r="Q77" s="411"/>
      <c r="R77" s="411"/>
      <c r="S77" s="412"/>
      <c r="T77" s="83"/>
      <c r="U77" s="410"/>
      <c r="V77" s="411"/>
      <c r="W77" s="411"/>
      <c r="X77" s="411"/>
      <c r="Y77" s="411"/>
      <c r="Z77" s="411"/>
      <c r="AA77" s="411"/>
      <c r="AB77" s="411"/>
      <c r="AC77" s="411"/>
      <c r="AD77" s="411"/>
      <c r="AE77" s="411"/>
      <c r="AF77" s="412"/>
      <c r="AG77" s="83"/>
      <c r="AH77" s="410"/>
      <c r="AI77" s="411"/>
      <c r="AJ77" s="411"/>
      <c r="AK77" s="411"/>
      <c r="AL77" s="411"/>
      <c r="AM77" s="411"/>
      <c r="AN77" s="411"/>
      <c r="AO77" s="411"/>
      <c r="AP77" s="411"/>
      <c r="AQ77" s="411"/>
      <c r="AR77" s="411"/>
      <c r="AS77" s="412"/>
      <c r="AT77" s="83"/>
      <c r="AU77" s="83"/>
    </row>
    <row r="78" spans="1:47" ht="101.5" x14ac:dyDescent="0.35">
      <c r="A78" s="105"/>
      <c r="B78" s="101" t="s">
        <v>434</v>
      </c>
      <c r="C78" s="129" t="s">
        <v>549</v>
      </c>
      <c r="D78" s="102" t="s">
        <v>662</v>
      </c>
      <c r="E78" s="103" t="s">
        <v>663</v>
      </c>
      <c r="F78" s="104"/>
      <c r="G78" s="88"/>
      <c r="H78" s="410"/>
      <c r="I78" s="411"/>
      <c r="J78" s="411"/>
      <c r="K78" s="411"/>
      <c r="L78" s="411"/>
      <c r="M78" s="411"/>
      <c r="N78" s="411"/>
      <c r="O78" s="411"/>
      <c r="P78" s="411"/>
      <c r="Q78" s="411"/>
      <c r="R78" s="411"/>
      <c r="S78" s="412"/>
      <c r="T78" s="83"/>
      <c r="U78" s="410"/>
      <c r="V78" s="411"/>
      <c r="W78" s="411"/>
      <c r="X78" s="411"/>
      <c r="Y78" s="411"/>
      <c r="Z78" s="411"/>
      <c r="AA78" s="411"/>
      <c r="AB78" s="411"/>
      <c r="AC78" s="411"/>
      <c r="AD78" s="411"/>
      <c r="AE78" s="411"/>
      <c r="AF78" s="412"/>
      <c r="AG78" s="83"/>
      <c r="AH78" s="410"/>
      <c r="AI78" s="411"/>
      <c r="AJ78" s="411"/>
      <c r="AK78" s="411"/>
      <c r="AL78" s="411"/>
      <c r="AM78" s="411"/>
      <c r="AN78" s="411"/>
      <c r="AO78" s="411"/>
      <c r="AP78" s="411"/>
      <c r="AQ78" s="411"/>
      <c r="AR78" s="411"/>
      <c r="AS78" s="412"/>
      <c r="AT78" s="83"/>
      <c r="AU78" s="83"/>
    </row>
    <row r="79" spans="1:47" ht="58" x14ac:dyDescent="0.35">
      <c r="A79" s="105"/>
      <c r="B79" s="101" t="s">
        <v>434</v>
      </c>
      <c r="C79" s="129" t="s">
        <v>549</v>
      </c>
      <c r="D79" s="102" t="s">
        <v>664</v>
      </c>
      <c r="E79" s="103" t="s">
        <v>665</v>
      </c>
      <c r="F79" s="104"/>
      <c r="G79" s="88"/>
      <c r="H79" s="410"/>
      <c r="I79" s="411"/>
      <c r="J79" s="411"/>
      <c r="K79" s="411"/>
      <c r="L79" s="411"/>
      <c r="M79" s="411"/>
      <c r="N79" s="411"/>
      <c r="O79" s="411"/>
      <c r="P79" s="411"/>
      <c r="Q79" s="411"/>
      <c r="R79" s="411"/>
      <c r="S79" s="412"/>
      <c r="T79" s="83"/>
      <c r="U79" s="410"/>
      <c r="V79" s="411"/>
      <c r="W79" s="411"/>
      <c r="X79" s="411"/>
      <c r="Y79" s="411"/>
      <c r="Z79" s="411"/>
      <c r="AA79" s="411"/>
      <c r="AB79" s="411"/>
      <c r="AC79" s="411"/>
      <c r="AD79" s="411"/>
      <c r="AE79" s="411"/>
      <c r="AF79" s="412"/>
      <c r="AG79" s="83"/>
      <c r="AH79" s="410"/>
      <c r="AI79" s="411"/>
      <c r="AJ79" s="411"/>
      <c r="AK79" s="411"/>
      <c r="AL79" s="411"/>
      <c r="AM79" s="411"/>
      <c r="AN79" s="411"/>
      <c r="AO79" s="411"/>
      <c r="AP79" s="411"/>
      <c r="AQ79" s="411"/>
      <c r="AR79" s="411"/>
      <c r="AS79" s="412"/>
      <c r="AT79" s="83"/>
      <c r="AU79" s="83"/>
    </row>
    <row r="80" spans="1:47" ht="29" x14ac:dyDescent="0.35">
      <c r="A80" s="105"/>
      <c r="B80" s="101" t="s">
        <v>434</v>
      </c>
      <c r="C80" s="129" t="s">
        <v>549</v>
      </c>
      <c r="D80" s="102" t="s">
        <v>666</v>
      </c>
      <c r="E80" s="103" t="s">
        <v>667</v>
      </c>
      <c r="F80" s="104"/>
      <c r="G80" s="88"/>
      <c r="H80" s="410"/>
      <c r="I80" s="411"/>
      <c r="J80" s="411"/>
      <c r="K80" s="411"/>
      <c r="L80" s="411"/>
      <c r="M80" s="411"/>
      <c r="N80" s="411"/>
      <c r="O80" s="411"/>
      <c r="P80" s="411"/>
      <c r="Q80" s="411"/>
      <c r="R80" s="411"/>
      <c r="S80" s="412"/>
      <c r="T80" s="83"/>
      <c r="U80" s="410"/>
      <c r="V80" s="411"/>
      <c r="W80" s="411"/>
      <c r="X80" s="411"/>
      <c r="Y80" s="411"/>
      <c r="Z80" s="411"/>
      <c r="AA80" s="411"/>
      <c r="AB80" s="411"/>
      <c r="AC80" s="411"/>
      <c r="AD80" s="411"/>
      <c r="AE80" s="411"/>
      <c r="AF80" s="412"/>
      <c r="AG80" s="83"/>
      <c r="AH80" s="410"/>
      <c r="AI80" s="411"/>
      <c r="AJ80" s="411"/>
      <c r="AK80" s="411"/>
      <c r="AL80" s="411"/>
      <c r="AM80" s="411"/>
      <c r="AN80" s="411"/>
      <c r="AO80" s="411"/>
      <c r="AP80" s="411"/>
      <c r="AQ80" s="411"/>
      <c r="AR80" s="411"/>
      <c r="AS80" s="412"/>
      <c r="AT80" s="83"/>
      <c r="AU80" s="83"/>
    </row>
    <row r="81" spans="1:47" ht="15" thickBot="1" x14ac:dyDescent="0.4">
      <c r="A81" s="105"/>
      <c r="B81" s="96" t="s">
        <v>683</v>
      </c>
      <c r="C81" s="97" t="s">
        <v>668</v>
      </c>
      <c r="D81" s="98"/>
      <c r="E81" s="234"/>
      <c r="F81" s="100"/>
      <c r="G81" s="88"/>
      <c r="H81" s="421"/>
      <c r="I81" s="422"/>
      <c r="J81" s="422"/>
      <c r="K81" s="422"/>
      <c r="L81" s="422"/>
      <c r="M81" s="422"/>
      <c r="N81" s="422"/>
      <c r="O81" s="422"/>
      <c r="P81" s="422"/>
      <c r="Q81" s="422"/>
      <c r="R81" s="422"/>
      <c r="S81" s="423"/>
      <c r="T81" s="83"/>
      <c r="U81" s="421"/>
      <c r="V81" s="422"/>
      <c r="W81" s="422"/>
      <c r="X81" s="422"/>
      <c r="Y81" s="422"/>
      <c r="Z81" s="422"/>
      <c r="AA81" s="422"/>
      <c r="AB81" s="422"/>
      <c r="AC81" s="422"/>
      <c r="AD81" s="422"/>
      <c r="AE81" s="422"/>
      <c r="AF81" s="423"/>
      <c r="AG81" s="83"/>
      <c r="AH81" s="421"/>
      <c r="AI81" s="422"/>
      <c r="AJ81" s="422"/>
      <c r="AK81" s="422"/>
      <c r="AL81" s="422"/>
      <c r="AM81" s="422"/>
      <c r="AN81" s="422"/>
      <c r="AO81" s="422"/>
      <c r="AP81" s="422"/>
      <c r="AQ81" s="422"/>
      <c r="AR81" s="422"/>
      <c r="AS81" s="423"/>
      <c r="AT81" s="83"/>
      <c r="AU81" s="83"/>
    </row>
    <row r="82" spans="1:47" ht="72.5" x14ac:dyDescent="0.35">
      <c r="A82" s="105"/>
      <c r="B82" s="101" t="s">
        <v>434</v>
      </c>
      <c r="C82" s="129" t="s">
        <v>549</v>
      </c>
      <c r="D82" s="102" t="s">
        <v>669</v>
      </c>
      <c r="E82" s="103" t="s">
        <v>670</v>
      </c>
      <c r="F82" s="104"/>
      <c r="G82" s="88"/>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row>
    <row r="83" spans="1:47" ht="15" thickBot="1" x14ac:dyDescent="0.4">
      <c r="A83" s="105"/>
      <c r="B83" s="96" t="s">
        <v>684</v>
      </c>
      <c r="C83" s="97" t="s">
        <v>644</v>
      </c>
      <c r="D83" s="98"/>
      <c r="E83" s="234" t="s">
        <v>645</v>
      </c>
      <c r="F83" s="100"/>
      <c r="G83" s="88"/>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row>
    <row r="84" spans="1:47" ht="44" thickBot="1" x14ac:dyDescent="0.4">
      <c r="A84" s="105"/>
      <c r="B84" s="101" t="s">
        <v>434</v>
      </c>
      <c r="C84" s="129" t="s">
        <v>549</v>
      </c>
      <c r="D84" s="102" t="s">
        <v>646</v>
      </c>
      <c r="E84" s="103" t="s">
        <v>647</v>
      </c>
      <c r="F84" s="104"/>
      <c r="G84" s="88"/>
      <c r="H84" s="394" t="s">
        <v>535</v>
      </c>
      <c r="I84" s="395"/>
      <c r="J84" s="395"/>
      <c r="K84" s="395"/>
      <c r="L84" s="395"/>
      <c r="M84" s="395"/>
      <c r="N84" s="395"/>
      <c r="O84" s="395"/>
      <c r="P84" s="395"/>
      <c r="Q84" s="395"/>
      <c r="R84" s="395"/>
      <c r="S84" s="396"/>
      <c r="T84" s="83"/>
      <c r="U84" s="394" t="s">
        <v>535</v>
      </c>
      <c r="V84" s="395"/>
      <c r="W84" s="395"/>
      <c r="X84" s="395"/>
      <c r="Y84" s="395"/>
      <c r="Z84" s="395"/>
      <c r="AA84" s="395"/>
      <c r="AB84" s="395"/>
      <c r="AC84" s="395"/>
      <c r="AD84" s="395"/>
      <c r="AE84" s="395"/>
      <c r="AF84" s="396"/>
      <c r="AG84" s="83"/>
      <c r="AH84" s="394" t="s">
        <v>535</v>
      </c>
      <c r="AI84" s="395"/>
      <c r="AJ84" s="395"/>
      <c r="AK84" s="395"/>
      <c r="AL84" s="395"/>
      <c r="AM84" s="395"/>
      <c r="AN84" s="395"/>
      <c r="AO84" s="395"/>
      <c r="AP84" s="395"/>
      <c r="AQ84" s="395"/>
      <c r="AR84" s="395"/>
      <c r="AS84" s="396"/>
      <c r="AT84" s="83"/>
      <c r="AU84" s="83"/>
    </row>
    <row r="85" spans="1:47" ht="44" thickBot="1" x14ac:dyDescent="0.4">
      <c r="A85" s="105"/>
      <c r="B85" s="101" t="s">
        <v>434</v>
      </c>
      <c r="C85" s="129" t="s">
        <v>549</v>
      </c>
      <c r="D85" s="102" t="s">
        <v>671</v>
      </c>
      <c r="E85" s="103" t="s">
        <v>685</v>
      </c>
      <c r="F85" s="104"/>
      <c r="G85" s="88"/>
      <c r="H85" s="404" t="s">
        <v>686</v>
      </c>
      <c r="I85" s="405"/>
      <c r="J85" s="405"/>
      <c r="K85" s="405"/>
      <c r="L85" s="405"/>
      <c r="M85" s="405"/>
      <c r="N85" s="405"/>
      <c r="O85" s="405"/>
      <c r="P85" s="405"/>
      <c r="Q85" s="405"/>
      <c r="R85" s="405"/>
      <c r="S85" s="406"/>
      <c r="T85" s="83"/>
      <c r="U85" s="404" t="s">
        <v>687</v>
      </c>
      <c r="V85" s="405"/>
      <c r="W85" s="405"/>
      <c r="X85" s="405"/>
      <c r="Y85" s="405"/>
      <c r="Z85" s="405"/>
      <c r="AA85" s="405"/>
      <c r="AB85" s="405"/>
      <c r="AC85" s="405"/>
      <c r="AD85" s="405"/>
      <c r="AE85" s="405"/>
      <c r="AF85" s="406"/>
      <c r="AG85" s="83"/>
      <c r="AH85" s="404" t="s">
        <v>688</v>
      </c>
      <c r="AI85" s="405"/>
      <c r="AJ85" s="405"/>
      <c r="AK85" s="405"/>
      <c r="AL85" s="405"/>
      <c r="AM85" s="405"/>
      <c r="AN85" s="405"/>
      <c r="AO85" s="405"/>
      <c r="AP85" s="405"/>
      <c r="AQ85" s="405"/>
      <c r="AR85" s="405"/>
      <c r="AS85" s="406"/>
      <c r="AT85" s="83"/>
      <c r="AU85" s="83"/>
    </row>
    <row r="86" spans="1:47" ht="29.5" thickBot="1" x14ac:dyDescent="0.4">
      <c r="A86" s="105"/>
      <c r="B86" s="101" t="s">
        <v>434</v>
      </c>
      <c r="C86" s="129" t="s">
        <v>549</v>
      </c>
      <c r="D86" s="102" t="s">
        <v>672</v>
      </c>
      <c r="E86" s="103" t="s">
        <v>673</v>
      </c>
      <c r="F86" s="104"/>
      <c r="G86" s="88"/>
      <c r="H86" s="231"/>
      <c r="I86" s="232"/>
      <c r="J86" s="232"/>
      <c r="K86" s="232"/>
      <c r="L86" s="232"/>
      <c r="M86" s="232"/>
      <c r="N86" s="232"/>
      <c r="O86" s="232"/>
      <c r="P86" s="232"/>
      <c r="Q86" s="232"/>
      <c r="R86" s="232"/>
      <c r="S86" s="233"/>
      <c r="T86" s="83"/>
      <c r="U86" s="231"/>
      <c r="V86" s="232"/>
      <c r="W86" s="232"/>
      <c r="X86" s="232"/>
      <c r="Y86" s="232"/>
      <c r="Z86" s="232"/>
      <c r="AA86" s="232"/>
      <c r="AB86" s="232"/>
      <c r="AC86" s="232"/>
      <c r="AD86" s="232"/>
      <c r="AE86" s="232"/>
      <c r="AF86" s="233"/>
      <c r="AG86" s="83"/>
      <c r="AH86" s="231"/>
      <c r="AI86" s="232"/>
      <c r="AJ86" s="232"/>
      <c r="AK86" s="232"/>
      <c r="AL86" s="232"/>
      <c r="AM86" s="232"/>
      <c r="AN86" s="232"/>
      <c r="AO86" s="232"/>
      <c r="AP86" s="232"/>
      <c r="AQ86" s="232"/>
      <c r="AR86" s="232"/>
      <c r="AS86" s="233"/>
      <c r="AT86" s="83"/>
      <c r="AU86" s="83"/>
    </row>
    <row r="87" spans="1:47" x14ac:dyDescent="0.35">
      <c r="A87" s="105"/>
      <c r="B87" s="96" t="s">
        <v>689</v>
      </c>
      <c r="C87" s="97" t="s">
        <v>675</v>
      </c>
      <c r="D87" s="98"/>
      <c r="E87" s="234"/>
      <c r="F87" s="100"/>
      <c r="G87" s="88"/>
      <c r="H87" s="407"/>
      <c r="I87" s="408"/>
      <c r="J87" s="408"/>
      <c r="K87" s="408"/>
      <c r="L87" s="408"/>
      <c r="M87" s="408"/>
      <c r="N87" s="408"/>
      <c r="O87" s="408"/>
      <c r="P87" s="408"/>
      <c r="Q87" s="408"/>
      <c r="R87" s="408"/>
      <c r="S87" s="409"/>
      <c r="T87" s="83"/>
      <c r="U87" s="407"/>
      <c r="V87" s="408"/>
      <c r="W87" s="408"/>
      <c r="X87" s="408"/>
      <c r="Y87" s="408"/>
      <c r="Z87" s="408"/>
      <c r="AA87" s="408"/>
      <c r="AB87" s="408"/>
      <c r="AC87" s="408"/>
      <c r="AD87" s="408"/>
      <c r="AE87" s="408"/>
      <c r="AF87" s="409"/>
      <c r="AG87" s="83"/>
      <c r="AH87" s="407"/>
      <c r="AI87" s="408"/>
      <c r="AJ87" s="408"/>
      <c r="AK87" s="408"/>
      <c r="AL87" s="408"/>
      <c r="AM87" s="408"/>
      <c r="AN87" s="408"/>
      <c r="AO87" s="408"/>
      <c r="AP87" s="408"/>
      <c r="AQ87" s="408"/>
      <c r="AR87" s="408"/>
      <c r="AS87" s="409"/>
      <c r="AT87" s="83"/>
      <c r="AU87" s="83"/>
    </row>
    <row r="88" spans="1:47" ht="174" x14ac:dyDescent="0.35">
      <c r="A88" s="105"/>
      <c r="B88" s="96" t="s">
        <v>690</v>
      </c>
      <c r="C88" s="97" t="s">
        <v>691</v>
      </c>
      <c r="D88" s="98"/>
      <c r="E88" s="238" t="s">
        <v>622</v>
      </c>
      <c r="F88" s="100"/>
      <c r="G88" s="88"/>
      <c r="H88" s="410"/>
      <c r="I88" s="411"/>
      <c r="J88" s="411"/>
      <c r="K88" s="411"/>
      <c r="L88" s="411"/>
      <c r="M88" s="411"/>
      <c r="N88" s="411"/>
      <c r="O88" s="411"/>
      <c r="P88" s="411"/>
      <c r="Q88" s="411"/>
      <c r="R88" s="411"/>
      <c r="S88" s="412"/>
      <c r="T88" s="83"/>
      <c r="U88" s="410"/>
      <c r="V88" s="411"/>
      <c r="W88" s="411"/>
      <c r="X88" s="411"/>
      <c r="Y88" s="411"/>
      <c r="Z88" s="411"/>
      <c r="AA88" s="411"/>
      <c r="AB88" s="411"/>
      <c r="AC88" s="411"/>
      <c r="AD88" s="411"/>
      <c r="AE88" s="411"/>
      <c r="AF88" s="412"/>
      <c r="AG88" s="83"/>
      <c r="AH88" s="410"/>
      <c r="AI88" s="411"/>
      <c r="AJ88" s="411"/>
      <c r="AK88" s="411"/>
      <c r="AL88" s="411"/>
      <c r="AM88" s="411"/>
      <c r="AN88" s="411"/>
      <c r="AO88" s="411"/>
      <c r="AP88" s="411"/>
      <c r="AQ88" s="411"/>
      <c r="AR88" s="411"/>
      <c r="AS88" s="412"/>
      <c r="AT88" s="83"/>
      <c r="AU88" s="83"/>
    </row>
    <row r="89" spans="1:47" ht="101.5" x14ac:dyDescent="0.35">
      <c r="A89" s="105"/>
      <c r="B89" s="101" t="s">
        <v>434</v>
      </c>
      <c r="C89" s="129" t="s">
        <v>549</v>
      </c>
      <c r="D89" s="102" t="s">
        <v>657</v>
      </c>
      <c r="E89" s="103" t="s">
        <v>642</v>
      </c>
      <c r="F89" s="104"/>
      <c r="G89" s="88"/>
      <c r="H89" s="410"/>
      <c r="I89" s="411"/>
      <c r="J89" s="411"/>
      <c r="K89" s="411"/>
      <c r="L89" s="411"/>
      <c r="M89" s="411"/>
      <c r="N89" s="411"/>
      <c r="O89" s="411"/>
      <c r="P89" s="411"/>
      <c r="Q89" s="411"/>
      <c r="R89" s="411"/>
      <c r="S89" s="412"/>
      <c r="T89" s="83"/>
      <c r="U89" s="410"/>
      <c r="V89" s="411"/>
      <c r="W89" s="411"/>
      <c r="X89" s="411"/>
      <c r="Y89" s="411"/>
      <c r="Z89" s="411"/>
      <c r="AA89" s="411"/>
      <c r="AB89" s="411"/>
      <c r="AC89" s="411"/>
      <c r="AD89" s="411"/>
      <c r="AE89" s="411"/>
      <c r="AF89" s="412"/>
      <c r="AG89" s="83"/>
      <c r="AH89" s="410"/>
      <c r="AI89" s="411"/>
      <c r="AJ89" s="411"/>
      <c r="AK89" s="411"/>
      <c r="AL89" s="411"/>
      <c r="AM89" s="411"/>
      <c r="AN89" s="411"/>
      <c r="AO89" s="411"/>
      <c r="AP89" s="411"/>
      <c r="AQ89" s="411"/>
      <c r="AR89" s="411"/>
      <c r="AS89" s="412"/>
      <c r="AT89" s="83"/>
      <c r="AU89" s="83"/>
    </row>
    <row r="90" spans="1:47" x14ac:dyDescent="0.35">
      <c r="A90" s="105"/>
      <c r="B90" s="96" t="s">
        <v>692</v>
      </c>
      <c r="C90" s="97" t="s">
        <v>644</v>
      </c>
      <c r="D90" s="98"/>
      <c r="E90" s="234" t="s">
        <v>659</v>
      </c>
      <c r="F90" s="100"/>
      <c r="G90" s="88"/>
      <c r="H90" s="410"/>
      <c r="I90" s="411"/>
      <c r="J90" s="411"/>
      <c r="K90" s="411"/>
      <c r="L90" s="411"/>
      <c r="M90" s="411"/>
      <c r="N90" s="411"/>
      <c r="O90" s="411"/>
      <c r="P90" s="411"/>
      <c r="Q90" s="411"/>
      <c r="R90" s="411"/>
      <c r="S90" s="412"/>
      <c r="T90" s="83"/>
      <c r="U90" s="410"/>
      <c r="V90" s="411"/>
      <c r="W90" s="411"/>
      <c r="X90" s="411"/>
      <c r="Y90" s="411"/>
      <c r="Z90" s="411"/>
      <c r="AA90" s="411"/>
      <c r="AB90" s="411"/>
      <c r="AC90" s="411"/>
      <c r="AD90" s="411"/>
      <c r="AE90" s="411"/>
      <c r="AF90" s="412"/>
      <c r="AG90" s="83"/>
      <c r="AH90" s="410"/>
      <c r="AI90" s="411"/>
      <c r="AJ90" s="411"/>
      <c r="AK90" s="411"/>
      <c r="AL90" s="411"/>
      <c r="AM90" s="411"/>
      <c r="AN90" s="411"/>
      <c r="AO90" s="411"/>
      <c r="AP90" s="411"/>
      <c r="AQ90" s="411"/>
      <c r="AR90" s="411"/>
      <c r="AS90" s="412"/>
      <c r="AT90" s="83"/>
      <c r="AU90" s="83"/>
    </row>
    <row r="91" spans="1:47" ht="43.5" x14ac:dyDescent="0.35">
      <c r="A91" s="105"/>
      <c r="B91" s="101" t="s">
        <v>434</v>
      </c>
      <c r="C91" s="129" t="s">
        <v>549</v>
      </c>
      <c r="D91" s="102" t="s">
        <v>646</v>
      </c>
      <c r="E91" s="103" t="s">
        <v>647</v>
      </c>
      <c r="F91" s="104"/>
      <c r="G91" s="88"/>
      <c r="H91" s="410"/>
      <c r="I91" s="411"/>
      <c r="J91" s="411"/>
      <c r="K91" s="411"/>
      <c r="L91" s="411"/>
      <c r="M91" s="411"/>
      <c r="N91" s="411"/>
      <c r="O91" s="411"/>
      <c r="P91" s="411"/>
      <c r="Q91" s="411"/>
      <c r="R91" s="411"/>
      <c r="S91" s="412"/>
      <c r="T91" s="83"/>
      <c r="U91" s="410"/>
      <c r="V91" s="411"/>
      <c r="W91" s="411"/>
      <c r="X91" s="411"/>
      <c r="Y91" s="411"/>
      <c r="Z91" s="411"/>
      <c r="AA91" s="411"/>
      <c r="AB91" s="411"/>
      <c r="AC91" s="411"/>
      <c r="AD91" s="411"/>
      <c r="AE91" s="411"/>
      <c r="AF91" s="412"/>
      <c r="AG91" s="83"/>
      <c r="AH91" s="410"/>
      <c r="AI91" s="411"/>
      <c r="AJ91" s="411"/>
      <c r="AK91" s="411"/>
      <c r="AL91" s="411"/>
      <c r="AM91" s="411"/>
      <c r="AN91" s="411"/>
      <c r="AO91" s="411"/>
      <c r="AP91" s="411"/>
      <c r="AQ91" s="411"/>
      <c r="AR91" s="411"/>
      <c r="AS91" s="412"/>
      <c r="AT91" s="83"/>
      <c r="AU91" s="83"/>
    </row>
    <row r="92" spans="1:47" ht="15.5" x14ac:dyDescent="0.35">
      <c r="A92" s="105"/>
      <c r="B92" s="92" t="s">
        <v>693</v>
      </c>
      <c r="C92" s="413" t="s">
        <v>694</v>
      </c>
      <c r="D92" s="414"/>
      <c r="E92" s="414"/>
      <c r="F92" s="415"/>
      <c r="G92" s="88"/>
      <c r="H92" s="410"/>
      <c r="I92" s="411"/>
      <c r="J92" s="411"/>
      <c r="K92" s="411"/>
      <c r="L92" s="411"/>
      <c r="M92" s="411"/>
      <c r="N92" s="411"/>
      <c r="O92" s="411"/>
      <c r="P92" s="411"/>
      <c r="Q92" s="411"/>
      <c r="R92" s="411"/>
      <c r="S92" s="412"/>
      <c r="T92" s="83"/>
      <c r="U92" s="410"/>
      <c r="V92" s="411"/>
      <c r="W92" s="411"/>
      <c r="X92" s="411"/>
      <c r="Y92" s="411"/>
      <c r="Z92" s="411"/>
      <c r="AA92" s="411"/>
      <c r="AB92" s="411"/>
      <c r="AC92" s="411"/>
      <c r="AD92" s="411"/>
      <c r="AE92" s="411"/>
      <c r="AF92" s="412"/>
      <c r="AG92" s="83"/>
      <c r="AH92" s="410"/>
      <c r="AI92" s="411"/>
      <c r="AJ92" s="411"/>
      <c r="AK92" s="411"/>
      <c r="AL92" s="411"/>
      <c r="AM92" s="411"/>
      <c r="AN92" s="411"/>
      <c r="AO92" s="411"/>
      <c r="AP92" s="411"/>
      <c r="AQ92" s="411"/>
      <c r="AR92" s="411"/>
      <c r="AS92" s="412"/>
      <c r="AT92" s="83"/>
      <c r="AU92" s="83"/>
    </row>
    <row r="93" spans="1:47" x14ac:dyDescent="0.35">
      <c r="A93" s="105"/>
      <c r="B93" s="95" t="s">
        <v>545</v>
      </c>
      <c r="C93" s="416" t="s">
        <v>605</v>
      </c>
      <c r="D93" s="417"/>
      <c r="E93" s="417"/>
      <c r="F93" s="418"/>
      <c r="G93" s="88"/>
      <c r="H93" s="410"/>
      <c r="I93" s="411"/>
      <c r="J93" s="411"/>
      <c r="K93" s="411"/>
      <c r="L93" s="411"/>
      <c r="M93" s="411"/>
      <c r="N93" s="411"/>
      <c r="O93" s="411"/>
      <c r="P93" s="411"/>
      <c r="Q93" s="411"/>
      <c r="R93" s="411"/>
      <c r="S93" s="412"/>
      <c r="T93" s="83"/>
      <c r="U93" s="410"/>
      <c r="V93" s="411"/>
      <c r="W93" s="411"/>
      <c r="X93" s="411"/>
      <c r="Y93" s="411"/>
      <c r="Z93" s="411"/>
      <c r="AA93" s="411"/>
      <c r="AB93" s="411"/>
      <c r="AC93" s="411"/>
      <c r="AD93" s="411"/>
      <c r="AE93" s="411"/>
      <c r="AF93" s="412"/>
      <c r="AG93" s="83"/>
      <c r="AH93" s="410"/>
      <c r="AI93" s="411"/>
      <c r="AJ93" s="411"/>
      <c r="AK93" s="411"/>
      <c r="AL93" s="411"/>
      <c r="AM93" s="411"/>
      <c r="AN93" s="411"/>
      <c r="AO93" s="411"/>
      <c r="AP93" s="411"/>
      <c r="AQ93" s="411"/>
      <c r="AR93" s="411"/>
      <c r="AS93" s="412"/>
      <c r="AT93" s="83"/>
      <c r="AU93" s="83"/>
    </row>
    <row r="94" spans="1:47" ht="174" x14ac:dyDescent="0.35">
      <c r="A94" s="105"/>
      <c r="B94" s="96" t="s">
        <v>695</v>
      </c>
      <c r="C94" s="97" t="s">
        <v>661</v>
      </c>
      <c r="D94" s="98"/>
      <c r="E94" s="234" t="s">
        <v>607</v>
      </c>
      <c r="F94" s="100"/>
      <c r="G94" s="88"/>
      <c r="H94" s="410"/>
      <c r="I94" s="411"/>
      <c r="J94" s="411"/>
      <c r="K94" s="411"/>
      <c r="L94" s="411"/>
      <c r="M94" s="411"/>
      <c r="N94" s="411"/>
      <c r="O94" s="411"/>
      <c r="P94" s="411"/>
      <c r="Q94" s="411"/>
      <c r="R94" s="411"/>
      <c r="S94" s="412"/>
      <c r="T94" s="83"/>
      <c r="U94" s="410"/>
      <c r="V94" s="411"/>
      <c r="W94" s="411"/>
      <c r="X94" s="411"/>
      <c r="Y94" s="411"/>
      <c r="Z94" s="411"/>
      <c r="AA94" s="411"/>
      <c r="AB94" s="411"/>
      <c r="AC94" s="411"/>
      <c r="AD94" s="411"/>
      <c r="AE94" s="411"/>
      <c r="AF94" s="412"/>
      <c r="AG94" s="83"/>
      <c r="AH94" s="410"/>
      <c r="AI94" s="411"/>
      <c r="AJ94" s="411"/>
      <c r="AK94" s="411"/>
      <c r="AL94" s="411"/>
      <c r="AM94" s="411"/>
      <c r="AN94" s="411"/>
      <c r="AO94" s="411"/>
      <c r="AP94" s="411"/>
      <c r="AQ94" s="411"/>
      <c r="AR94" s="411"/>
      <c r="AS94" s="412"/>
      <c r="AT94" s="83"/>
      <c r="AU94" s="83"/>
    </row>
    <row r="95" spans="1:47" ht="101.5" x14ac:dyDescent="0.35">
      <c r="A95" s="105"/>
      <c r="B95" s="101" t="s">
        <v>435</v>
      </c>
      <c r="C95" s="129" t="s">
        <v>549</v>
      </c>
      <c r="D95" s="102" t="s">
        <v>662</v>
      </c>
      <c r="E95" s="103" t="s">
        <v>663</v>
      </c>
      <c r="F95" s="104"/>
      <c r="G95" s="88"/>
      <c r="H95" s="410"/>
      <c r="I95" s="411"/>
      <c r="J95" s="411"/>
      <c r="K95" s="411"/>
      <c r="L95" s="411"/>
      <c r="M95" s="411"/>
      <c r="N95" s="411"/>
      <c r="O95" s="411"/>
      <c r="P95" s="411"/>
      <c r="Q95" s="411"/>
      <c r="R95" s="411"/>
      <c r="S95" s="412"/>
      <c r="T95" s="83"/>
      <c r="U95" s="410"/>
      <c r="V95" s="411"/>
      <c r="W95" s="411"/>
      <c r="X95" s="411"/>
      <c r="Y95" s="411"/>
      <c r="Z95" s="411"/>
      <c r="AA95" s="411"/>
      <c r="AB95" s="411"/>
      <c r="AC95" s="411"/>
      <c r="AD95" s="411"/>
      <c r="AE95" s="411"/>
      <c r="AF95" s="412"/>
      <c r="AG95" s="83"/>
      <c r="AH95" s="410"/>
      <c r="AI95" s="411"/>
      <c r="AJ95" s="411"/>
      <c r="AK95" s="411"/>
      <c r="AL95" s="411"/>
      <c r="AM95" s="411"/>
      <c r="AN95" s="411"/>
      <c r="AO95" s="411"/>
      <c r="AP95" s="411"/>
      <c r="AQ95" s="411"/>
      <c r="AR95" s="411"/>
      <c r="AS95" s="412"/>
      <c r="AT95" s="83"/>
      <c r="AU95" s="83"/>
    </row>
    <row r="96" spans="1:47" ht="58" x14ac:dyDescent="0.35">
      <c r="A96" s="105"/>
      <c r="B96" s="101" t="s">
        <v>435</v>
      </c>
      <c r="C96" s="129" t="s">
        <v>549</v>
      </c>
      <c r="D96" s="102" t="s">
        <v>664</v>
      </c>
      <c r="E96" s="103" t="s">
        <v>665</v>
      </c>
      <c r="F96" s="104"/>
      <c r="G96" s="88"/>
      <c r="H96" s="410"/>
      <c r="I96" s="411"/>
      <c r="J96" s="411"/>
      <c r="K96" s="411"/>
      <c r="L96" s="411"/>
      <c r="M96" s="411"/>
      <c r="N96" s="411"/>
      <c r="O96" s="411"/>
      <c r="P96" s="411"/>
      <c r="Q96" s="411"/>
      <c r="R96" s="411"/>
      <c r="S96" s="412"/>
      <c r="T96" s="83"/>
      <c r="U96" s="410"/>
      <c r="V96" s="411"/>
      <c r="W96" s="411"/>
      <c r="X96" s="411"/>
      <c r="Y96" s="411"/>
      <c r="Z96" s="411"/>
      <c r="AA96" s="411"/>
      <c r="AB96" s="411"/>
      <c r="AC96" s="411"/>
      <c r="AD96" s="411"/>
      <c r="AE96" s="411"/>
      <c r="AF96" s="412"/>
      <c r="AG96" s="83"/>
      <c r="AH96" s="410"/>
      <c r="AI96" s="411"/>
      <c r="AJ96" s="411"/>
      <c r="AK96" s="411"/>
      <c r="AL96" s="411"/>
      <c r="AM96" s="411"/>
      <c r="AN96" s="411"/>
      <c r="AO96" s="411"/>
      <c r="AP96" s="411"/>
      <c r="AQ96" s="411"/>
      <c r="AR96" s="411"/>
      <c r="AS96" s="412"/>
      <c r="AT96" s="83"/>
      <c r="AU96" s="83"/>
    </row>
    <row r="97" spans="1:47" ht="29" x14ac:dyDescent="0.35">
      <c r="A97" s="105"/>
      <c r="B97" s="101" t="s">
        <v>435</v>
      </c>
      <c r="C97" s="129" t="s">
        <v>549</v>
      </c>
      <c r="D97" s="102" t="s">
        <v>666</v>
      </c>
      <c r="E97" s="103" t="s">
        <v>667</v>
      </c>
      <c r="F97" s="104"/>
      <c r="G97" s="88"/>
      <c r="H97" s="410"/>
      <c r="I97" s="411"/>
      <c r="J97" s="411"/>
      <c r="K97" s="411"/>
      <c r="L97" s="411"/>
      <c r="M97" s="411"/>
      <c r="N97" s="411"/>
      <c r="O97" s="411"/>
      <c r="P97" s="411"/>
      <c r="Q97" s="411"/>
      <c r="R97" s="411"/>
      <c r="S97" s="412"/>
      <c r="T97" s="83"/>
      <c r="U97" s="410"/>
      <c r="V97" s="411"/>
      <c r="W97" s="411"/>
      <c r="X97" s="411"/>
      <c r="Y97" s="411"/>
      <c r="Z97" s="411"/>
      <c r="AA97" s="411"/>
      <c r="AB97" s="411"/>
      <c r="AC97" s="411"/>
      <c r="AD97" s="411"/>
      <c r="AE97" s="411"/>
      <c r="AF97" s="412"/>
      <c r="AG97" s="83"/>
      <c r="AH97" s="410"/>
      <c r="AI97" s="411"/>
      <c r="AJ97" s="411"/>
      <c r="AK97" s="411"/>
      <c r="AL97" s="411"/>
      <c r="AM97" s="411"/>
      <c r="AN97" s="411"/>
      <c r="AO97" s="411"/>
      <c r="AP97" s="411"/>
      <c r="AQ97" s="411"/>
      <c r="AR97" s="411"/>
      <c r="AS97" s="412"/>
      <c r="AT97" s="83"/>
      <c r="AU97" s="83"/>
    </row>
    <row r="98" spans="1:47" x14ac:dyDescent="0.35">
      <c r="A98" s="105"/>
      <c r="B98" s="96" t="s">
        <v>696</v>
      </c>
      <c r="C98" s="97" t="s">
        <v>668</v>
      </c>
      <c r="D98" s="98"/>
      <c r="E98" s="234"/>
      <c r="F98" s="100"/>
      <c r="G98" s="88"/>
      <c r="H98" s="410"/>
      <c r="I98" s="411"/>
      <c r="J98" s="411"/>
      <c r="K98" s="411"/>
      <c r="L98" s="411"/>
      <c r="M98" s="411"/>
      <c r="N98" s="411"/>
      <c r="O98" s="411"/>
      <c r="P98" s="411"/>
      <c r="Q98" s="411"/>
      <c r="R98" s="411"/>
      <c r="S98" s="412"/>
      <c r="T98" s="83"/>
      <c r="U98" s="410"/>
      <c r="V98" s="411"/>
      <c r="W98" s="411"/>
      <c r="X98" s="411"/>
      <c r="Y98" s="411"/>
      <c r="Z98" s="411"/>
      <c r="AA98" s="411"/>
      <c r="AB98" s="411"/>
      <c r="AC98" s="411"/>
      <c r="AD98" s="411"/>
      <c r="AE98" s="411"/>
      <c r="AF98" s="412"/>
      <c r="AG98" s="83"/>
      <c r="AH98" s="410"/>
      <c r="AI98" s="411"/>
      <c r="AJ98" s="411"/>
      <c r="AK98" s="411"/>
      <c r="AL98" s="411"/>
      <c r="AM98" s="411"/>
      <c r="AN98" s="411"/>
      <c r="AO98" s="411"/>
      <c r="AP98" s="411"/>
      <c r="AQ98" s="411"/>
      <c r="AR98" s="411"/>
      <c r="AS98" s="412"/>
      <c r="AT98" s="83"/>
      <c r="AU98" s="83"/>
    </row>
    <row r="99" spans="1:47" ht="72.5" x14ac:dyDescent="0.35">
      <c r="A99" s="105"/>
      <c r="B99" s="101" t="s">
        <v>435</v>
      </c>
      <c r="C99" s="129" t="s">
        <v>549</v>
      </c>
      <c r="D99" s="102" t="s">
        <v>669</v>
      </c>
      <c r="E99" s="103" t="s">
        <v>670</v>
      </c>
      <c r="F99" s="104"/>
      <c r="G99" s="88"/>
      <c r="H99" s="410"/>
      <c r="I99" s="411"/>
      <c r="J99" s="411"/>
      <c r="K99" s="411"/>
      <c r="L99" s="411"/>
      <c r="M99" s="411"/>
      <c r="N99" s="411"/>
      <c r="O99" s="411"/>
      <c r="P99" s="411"/>
      <c r="Q99" s="411"/>
      <c r="R99" s="411"/>
      <c r="S99" s="412"/>
      <c r="T99" s="83"/>
      <c r="U99" s="410"/>
      <c r="V99" s="411"/>
      <c r="W99" s="411"/>
      <c r="X99" s="411"/>
      <c r="Y99" s="411"/>
      <c r="Z99" s="411"/>
      <c r="AA99" s="411"/>
      <c r="AB99" s="411"/>
      <c r="AC99" s="411"/>
      <c r="AD99" s="411"/>
      <c r="AE99" s="411"/>
      <c r="AF99" s="412"/>
      <c r="AG99" s="83"/>
      <c r="AH99" s="410"/>
      <c r="AI99" s="411"/>
      <c r="AJ99" s="411"/>
      <c r="AK99" s="411"/>
      <c r="AL99" s="411"/>
      <c r="AM99" s="411"/>
      <c r="AN99" s="411"/>
      <c r="AO99" s="411"/>
      <c r="AP99" s="411"/>
      <c r="AQ99" s="411"/>
      <c r="AR99" s="411"/>
      <c r="AS99" s="412"/>
      <c r="AT99" s="83"/>
      <c r="AU99" s="83"/>
    </row>
    <row r="100" spans="1:47" x14ac:dyDescent="0.35">
      <c r="A100" s="105"/>
      <c r="B100" s="96" t="s">
        <v>697</v>
      </c>
      <c r="C100" s="97" t="s">
        <v>644</v>
      </c>
      <c r="D100" s="98"/>
      <c r="E100" s="234" t="s">
        <v>645</v>
      </c>
      <c r="F100" s="100"/>
      <c r="G100" s="88"/>
      <c r="H100" s="410"/>
      <c r="I100" s="411"/>
      <c r="J100" s="411"/>
      <c r="K100" s="411"/>
      <c r="L100" s="411"/>
      <c r="M100" s="411"/>
      <c r="N100" s="411"/>
      <c r="O100" s="411"/>
      <c r="P100" s="411"/>
      <c r="Q100" s="411"/>
      <c r="R100" s="411"/>
      <c r="S100" s="412"/>
      <c r="T100" s="83"/>
      <c r="U100" s="410"/>
      <c r="V100" s="411"/>
      <c r="W100" s="411"/>
      <c r="X100" s="411"/>
      <c r="Y100" s="411"/>
      <c r="Z100" s="411"/>
      <c r="AA100" s="411"/>
      <c r="AB100" s="411"/>
      <c r="AC100" s="411"/>
      <c r="AD100" s="411"/>
      <c r="AE100" s="411"/>
      <c r="AF100" s="412"/>
      <c r="AG100" s="83"/>
      <c r="AH100" s="410"/>
      <c r="AI100" s="411"/>
      <c r="AJ100" s="411"/>
      <c r="AK100" s="411"/>
      <c r="AL100" s="411"/>
      <c r="AM100" s="411"/>
      <c r="AN100" s="411"/>
      <c r="AO100" s="411"/>
      <c r="AP100" s="411"/>
      <c r="AQ100" s="411"/>
      <c r="AR100" s="411"/>
      <c r="AS100" s="412"/>
      <c r="AT100" s="83"/>
      <c r="AU100" s="83"/>
    </row>
    <row r="101" spans="1:47" ht="43.5" x14ac:dyDescent="0.35">
      <c r="A101" s="105"/>
      <c r="B101" s="101" t="s">
        <v>435</v>
      </c>
      <c r="C101" s="129" t="s">
        <v>549</v>
      </c>
      <c r="D101" s="102" t="s">
        <v>646</v>
      </c>
      <c r="E101" s="103" t="s">
        <v>647</v>
      </c>
      <c r="F101" s="104"/>
      <c r="G101" s="88"/>
      <c r="H101" s="410"/>
      <c r="I101" s="411"/>
      <c r="J101" s="411"/>
      <c r="K101" s="411"/>
      <c r="L101" s="411"/>
      <c r="M101" s="411"/>
      <c r="N101" s="411"/>
      <c r="O101" s="411"/>
      <c r="P101" s="411"/>
      <c r="Q101" s="411"/>
      <c r="R101" s="411"/>
      <c r="S101" s="412"/>
      <c r="T101" s="83"/>
      <c r="U101" s="410"/>
      <c r="V101" s="411"/>
      <c r="W101" s="411"/>
      <c r="X101" s="411"/>
      <c r="Y101" s="411"/>
      <c r="Z101" s="411"/>
      <c r="AA101" s="411"/>
      <c r="AB101" s="411"/>
      <c r="AC101" s="411"/>
      <c r="AD101" s="411"/>
      <c r="AE101" s="411"/>
      <c r="AF101" s="412"/>
      <c r="AG101" s="83"/>
      <c r="AH101" s="410"/>
      <c r="AI101" s="411"/>
      <c r="AJ101" s="411"/>
      <c r="AK101" s="411"/>
      <c r="AL101" s="411"/>
      <c r="AM101" s="411"/>
      <c r="AN101" s="411"/>
      <c r="AO101" s="411"/>
      <c r="AP101" s="411"/>
      <c r="AQ101" s="411"/>
      <c r="AR101" s="411"/>
      <c r="AS101" s="412"/>
      <c r="AT101" s="83"/>
      <c r="AU101" s="83"/>
    </row>
    <row r="102" spans="1:47" ht="43.5" x14ac:dyDescent="0.35">
      <c r="A102" s="105"/>
      <c r="B102" s="101" t="s">
        <v>435</v>
      </c>
      <c r="C102" s="129" t="s">
        <v>549</v>
      </c>
      <c r="D102" s="102" t="s">
        <v>671</v>
      </c>
      <c r="E102" s="103" t="s">
        <v>685</v>
      </c>
      <c r="F102" s="104"/>
      <c r="G102" s="88"/>
      <c r="H102" s="410"/>
      <c r="I102" s="411"/>
      <c r="J102" s="411"/>
      <c r="K102" s="411"/>
      <c r="L102" s="411"/>
      <c r="M102" s="411"/>
      <c r="N102" s="411"/>
      <c r="O102" s="411"/>
      <c r="P102" s="411"/>
      <c r="Q102" s="411"/>
      <c r="R102" s="411"/>
      <c r="S102" s="412"/>
      <c r="T102" s="83"/>
      <c r="U102" s="410"/>
      <c r="V102" s="411"/>
      <c r="W102" s="411"/>
      <c r="X102" s="411"/>
      <c r="Y102" s="411"/>
      <c r="Z102" s="411"/>
      <c r="AA102" s="411"/>
      <c r="AB102" s="411"/>
      <c r="AC102" s="411"/>
      <c r="AD102" s="411"/>
      <c r="AE102" s="411"/>
      <c r="AF102" s="412"/>
      <c r="AG102" s="83"/>
      <c r="AH102" s="410"/>
      <c r="AI102" s="411"/>
      <c r="AJ102" s="411"/>
      <c r="AK102" s="411"/>
      <c r="AL102" s="411"/>
      <c r="AM102" s="411"/>
      <c r="AN102" s="411"/>
      <c r="AO102" s="411"/>
      <c r="AP102" s="411"/>
      <c r="AQ102" s="411"/>
      <c r="AR102" s="411"/>
      <c r="AS102" s="412"/>
      <c r="AT102" s="83"/>
      <c r="AU102" s="83"/>
    </row>
    <row r="103" spans="1:47" ht="29" x14ac:dyDescent="0.35">
      <c r="A103" s="105"/>
      <c r="B103" s="101" t="s">
        <v>435</v>
      </c>
      <c r="C103" s="129" t="s">
        <v>549</v>
      </c>
      <c r="D103" s="102" t="s">
        <v>672</v>
      </c>
      <c r="E103" s="103" t="s">
        <v>673</v>
      </c>
      <c r="F103" s="104"/>
      <c r="G103" s="88"/>
      <c r="H103" s="410"/>
      <c r="I103" s="411"/>
      <c r="J103" s="411"/>
      <c r="K103" s="411"/>
      <c r="L103" s="411"/>
      <c r="M103" s="411"/>
      <c r="N103" s="411"/>
      <c r="O103" s="411"/>
      <c r="P103" s="411"/>
      <c r="Q103" s="411"/>
      <c r="R103" s="411"/>
      <c r="S103" s="412"/>
      <c r="T103" s="83"/>
      <c r="U103" s="410"/>
      <c r="V103" s="411"/>
      <c r="W103" s="411"/>
      <c r="X103" s="411"/>
      <c r="Y103" s="411"/>
      <c r="Z103" s="411"/>
      <c r="AA103" s="411"/>
      <c r="AB103" s="411"/>
      <c r="AC103" s="411"/>
      <c r="AD103" s="411"/>
      <c r="AE103" s="411"/>
      <c r="AF103" s="412"/>
      <c r="AG103" s="83"/>
      <c r="AH103" s="410"/>
      <c r="AI103" s="411"/>
      <c r="AJ103" s="411"/>
      <c r="AK103" s="411"/>
      <c r="AL103" s="411"/>
      <c r="AM103" s="411"/>
      <c r="AN103" s="411"/>
      <c r="AO103" s="411"/>
      <c r="AP103" s="411"/>
      <c r="AQ103" s="411"/>
      <c r="AR103" s="411"/>
      <c r="AS103" s="412"/>
      <c r="AT103" s="83"/>
      <c r="AU103" s="83"/>
    </row>
    <row r="104" spans="1:47" x14ac:dyDescent="0.35">
      <c r="A104" s="105"/>
      <c r="B104" s="96" t="s">
        <v>698</v>
      </c>
      <c r="C104" s="97" t="s">
        <v>675</v>
      </c>
      <c r="D104" s="98"/>
      <c r="E104" s="234"/>
      <c r="F104" s="100"/>
      <c r="G104" s="88"/>
      <c r="H104" s="410"/>
      <c r="I104" s="411"/>
      <c r="J104" s="411"/>
      <c r="K104" s="411"/>
      <c r="L104" s="411"/>
      <c r="M104" s="411"/>
      <c r="N104" s="411"/>
      <c r="O104" s="411"/>
      <c r="P104" s="411"/>
      <c r="Q104" s="411"/>
      <c r="R104" s="411"/>
      <c r="S104" s="412"/>
      <c r="T104" s="83"/>
      <c r="U104" s="410"/>
      <c r="V104" s="411"/>
      <c r="W104" s="411"/>
      <c r="X104" s="411"/>
      <c r="Y104" s="411"/>
      <c r="Z104" s="411"/>
      <c r="AA104" s="411"/>
      <c r="AB104" s="411"/>
      <c r="AC104" s="411"/>
      <c r="AD104" s="411"/>
      <c r="AE104" s="411"/>
      <c r="AF104" s="412"/>
      <c r="AG104" s="83"/>
      <c r="AH104" s="410"/>
      <c r="AI104" s="411"/>
      <c r="AJ104" s="411"/>
      <c r="AK104" s="411"/>
      <c r="AL104" s="411"/>
      <c r="AM104" s="411"/>
      <c r="AN104" s="411"/>
      <c r="AO104" s="411"/>
      <c r="AP104" s="411"/>
      <c r="AQ104" s="411"/>
      <c r="AR104" s="411"/>
      <c r="AS104" s="412"/>
      <c r="AT104" s="83"/>
      <c r="AU104" s="83"/>
    </row>
    <row r="105" spans="1:47" ht="174" x14ac:dyDescent="0.35">
      <c r="A105" s="105"/>
      <c r="B105" s="96" t="s">
        <v>699</v>
      </c>
      <c r="C105" s="97" t="s">
        <v>677</v>
      </c>
      <c r="D105" s="98"/>
      <c r="E105" s="238" t="s">
        <v>622</v>
      </c>
      <c r="F105" s="100"/>
      <c r="G105" s="88"/>
      <c r="H105" s="410"/>
      <c r="I105" s="411"/>
      <c r="J105" s="411"/>
      <c r="K105" s="411"/>
      <c r="L105" s="411"/>
      <c r="M105" s="411"/>
      <c r="N105" s="411"/>
      <c r="O105" s="411"/>
      <c r="P105" s="411"/>
      <c r="Q105" s="411"/>
      <c r="R105" s="411"/>
      <c r="S105" s="412"/>
      <c r="T105" s="83"/>
      <c r="U105" s="410"/>
      <c r="V105" s="411"/>
      <c r="W105" s="411"/>
      <c r="X105" s="411"/>
      <c r="Y105" s="411"/>
      <c r="Z105" s="411"/>
      <c r="AA105" s="411"/>
      <c r="AB105" s="411"/>
      <c r="AC105" s="411"/>
      <c r="AD105" s="411"/>
      <c r="AE105" s="411"/>
      <c r="AF105" s="412"/>
      <c r="AG105" s="83"/>
      <c r="AH105" s="410"/>
      <c r="AI105" s="411"/>
      <c r="AJ105" s="411"/>
      <c r="AK105" s="411"/>
      <c r="AL105" s="411"/>
      <c r="AM105" s="411"/>
      <c r="AN105" s="411"/>
      <c r="AO105" s="411"/>
      <c r="AP105" s="411"/>
      <c r="AQ105" s="411"/>
      <c r="AR105" s="411"/>
      <c r="AS105" s="412"/>
      <c r="AT105" s="83"/>
      <c r="AU105" s="83"/>
    </row>
    <row r="106" spans="1:47" ht="101.5" x14ac:dyDescent="0.35">
      <c r="A106" s="105"/>
      <c r="B106" s="101" t="s">
        <v>435</v>
      </c>
      <c r="C106" s="129" t="s">
        <v>549</v>
      </c>
      <c r="D106" s="102" t="s">
        <v>662</v>
      </c>
      <c r="E106" s="103" t="s">
        <v>663</v>
      </c>
      <c r="F106" s="104"/>
      <c r="G106" s="88"/>
      <c r="H106" s="410"/>
      <c r="I106" s="411"/>
      <c r="J106" s="411"/>
      <c r="K106" s="411"/>
      <c r="L106" s="411"/>
      <c r="M106" s="411"/>
      <c r="N106" s="411"/>
      <c r="O106" s="411"/>
      <c r="P106" s="411"/>
      <c r="Q106" s="411"/>
      <c r="R106" s="411"/>
      <c r="S106" s="412"/>
      <c r="T106" s="83"/>
      <c r="U106" s="410"/>
      <c r="V106" s="411"/>
      <c r="W106" s="411"/>
      <c r="X106" s="411"/>
      <c r="Y106" s="411"/>
      <c r="Z106" s="411"/>
      <c r="AA106" s="411"/>
      <c r="AB106" s="411"/>
      <c r="AC106" s="411"/>
      <c r="AD106" s="411"/>
      <c r="AE106" s="411"/>
      <c r="AF106" s="412"/>
      <c r="AG106" s="83"/>
      <c r="AH106" s="410"/>
      <c r="AI106" s="411"/>
      <c r="AJ106" s="411"/>
      <c r="AK106" s="411"/>
      <c r="AL106" s="411"/>
      <c r="AM106" s="411"/>
      <c r="AN106" s="411"/>
      <c r="AO106" s="411"/>
      <c r="AP106" s="411"/>
      <c r="AQ106" s="411"/>
      <c r="AR106" s="411"/>
      <c r="AS106" s="412"/>
      <c r="AT106" s="83"/>
      <c r="AU106" s="83"/>
    </row>
    <row r="107" spans="1:47" ht="58" x14ac:dyDescent="0.35">
      <c r="A107" s="105"/>
      <c r="B107" s="101" t="s">
        <v>435</v>
      </c>
      <c r="C107" s="129" t="s">
        <v>549</v>
      </c>
      <c r="D107" s="102" t="s">
        <v>664</v>
      </c>
      <c r="E107" s="103" t="s">
        <v>665</v>
      </c>
      <c r="F107" s="104"/>
      <c r="G107" s="88"/>
      <c r="H107" s="410"/>
      <c r="I107" s="411"/>
      <c r="J107" s="411"/>
      <c r="K107" s="411"/>
      <c r="L107" s="411"/>
      <c r="M107" s="411"/>
      <c r="N107" s="411"/>
      <c r="O107" s="411"/>
      <c r="P107" s="411"/>
      <c r="Q107" s="411"/>
      <c r="R107" s="411"/>
      <c r="S107" s="412"/>
      <c r="T107" s="83"/>
      <c r="U107" s="410"/>
      <c r="V107" s="411"/>
      <c r="W107" s="411"/>
      <c r="X107" s="411"/>
      <c r="Y107" s="411"/>
      <c r="Z107" s="411"/>
      <c r="AA107" s="411"/>
      <c r="AB107" s="411"/>
      <c r="AC107" s="411"/>
      <c r="AD107" s="411"/>
      <c r="AE107" s="411"/>
      <c r="AF107" s="412"/>
      <c r="AG107" s="83"/>
      <c r="AH107" s="410"/>
      <c r="AI107" s="411"/>
      <c r="AJ107" s="411"/>
      <c r="AK107" s="411"/>
      <c r="AL107" s="411"/>
      <c r="AM107" s="411"/>
      <c r="AN107" s="411"/>
      <c r="AO107" s="411"/>
      <c r="AP107" s="411"/>
      <c r="AQ107" s="411"/>
      <c r="AR107" s="411"/>
      <c r="AS107" s="412"/>
      <c r="AT107" s="83"/>
      <c r="AU107" s="83"/>
    </row>
    <row r="108" spans="1:47" ht="29" x14ac:dyDescent="0.35">
      <c r="A108" s="105"/>
      <c r="B108" s="101" t="s">
        <v>435</v>
      </c>
      <c r="C108" s="129" t="s">
        <v>549</v>
      </c>
      <c r="D108" s="102" t="s">
        <v>666</v>
      </c>
      <c r="E108" s="103" t="s">
        <v>667</v>
      </c>
      <c r="F108" s="104"/>
      <c r="G108" s="88"/>
      <c r="H108" s="410"/>
      <c r="I108" s="411"/>
      <c r="J108" s="411"/>
      <c r="K108" s="411"/>
      <c r="L108" s="411"/>
      <c r="M108" s="411"/>
      <c r="N108" s="411"/>
      <c r="O108" s="411"/>
      <c r="P108" s="411"/>
      <c r="Q108" s="411"/>
      <c r="R108" s="411"/>
      <c r="S108" s="412"/>
      <c r="T108" s="83"/>
      <c r="U108" s="410"/>
      <c r="V108" s="411"/>
      <c r="W108" s="411"/>
      <c r="X108" s="411"/>
      <c r="Y108" s="411"/>
      <c r="Z108" s="411"/>
      <c r="AA108" s="411"/>
      <c r="AB108" s="411"/>
      <c r="AC108" s="411"/>
      <c r="AD108" s="411"/>
      <c r="AE108" s="411"/>
      <c r="AF108" s="412"/>
      <c r="AG108" s="83"/>
      <c r="AH108" s="410"/>
      <c r="AI108" s="411"/>
      <c r="AJ108" s="411"/>
      <c r="AK108" s="411"/>
      <c r="AL108" s="411"/>
      <c r="AM108" s="411"/>
      <c r="AN108" s="411"/>
      <c r="AO108" s="411"/>
      <c r="AP108" s="411"/>
      <c r="AQ108" s="411"/>
      <c r="AR108" s="411"/>
      <c r="AS108" s="412"/>
      <c r="AT108" s="83"/>
      <c r="AU108" s="83"/>
    </row>
    <row r="109" spans="1:47" x14ac:dyDescent="0.35">
      <c r="A109" s="105"/>
      <c r="B109" s="96" t="s">
        <v>700</v>
      </c>
      <c r="C109" s="97" t="s">
        <v>668</v>
      </c>
      <c r="D109" s="98"/>
      <c r="E109" s="234"/>
      <c r="F109" s="100"/>
      <c r="G109" s="88"/>
      <c r="H109" s="410"/>
      <c r="I109" s="411"/>
      <c r="J109" s="411"/>
      <c r="K109" s="411"/>
      <c r="L109" s="411"/>
      <c r="M109" s="411"/>
      <c r="N109" s="411"/>
      <c r="O109" s="411"/>
      <c r="P109" s="411"/>
      <c r="Q109" s="411"/>
      <c r="R109" s="411"/>
      <c r="S109" s="412"/>
      <c r="T109" s="83"/>
      <c r="U109" s="410"/>
      <c r="V109" s="411"/>
      <c r="W109" s="411"/>
      <c r="X109" s="411"/>
      <c r="Y109" s="411"/>
      <c r="Z109" s="411"/>
      <c r="AA109" s="411"/>
      <c r="AB109" s="411"/>
      <c r="AC109" s="411"/>
      <c r="AD109" s="411"/>
      <c r="AE109" s="411"/>
      <c r="AF109" s="412"/>
      <c r="AG109" s="83"/>
      <c r="AH109" s="410"/>
      <c r="AI109" s="411"/>
      <c r="AJ109" s="411"/>
      <c r="AK109" s="411"/>
      <c r="AL109" s="411"/>
      <c r="AM109" s="411"/>
      <c r="AN109" s="411"/>
      <c r="AO109" s="411"/>
      <c r="AP109" s="411"/>
      <c r="AQ109" s="411"/>
      <c r="AR109" s="411"/>
      <c r="AS109" s="412"/>
      <c r="AT109" s="83"/>
      <c r="AU109" s="83"/>
    </row>
    <row r="110" spans="1:47" ht="72.5" x14ac:dyDescent="0.35">
      <c r="A110" s="105"/>
      <c r="B110" s="101" t="s">
        <v>435</v>
      </c>
      <c r="C110" s="129" t="s">
        <v>549</v>
      </c>
      <c r="D110" s="102" t="s">
        <v>669</v>
      </c>
      <c r="E110" s="103" t="s">
        <v>670</v>
      </c>
      <c r="F110" s="104"/>
      <c r="G110" s="88"/>
      <c r="H110" s="410"/>
      <c r="I110" s="411"/>
      <c r="J110" s="411"/>
      <c r="K110" s="411"/>
      <c r="L110" s="411"/>
      <c r="M110" s="411"/>
      <c r="N110" s="411"/>
      <c r="O110" s="411"/>
      <c r="P110" s="411"/>
      <c r="Q110" s="411"/>
      <c r="R110" s="411"/>
      <c r="S110" s="412"/>
      <c r="T110" s="83"/>
      <c r="U110" s="410"/>
      <c r="V110" s="411"/>
      <c r="W110" s="411"/>
      <c r="X110" s="411"/>
      <c r="Y110" s="411"/>
      <c r="Z110" s="411"/>
      <c r="AA110" s="411"/>
      <c r="AB110" s="411"/>
      <c r="AC110" s="411"/>
      <c r="AD110" s="411"/>
      <c r="AE110" s="411"/>
      <c r="AF110" s="412"/>
      <c r="AG110" s="83"/>
      <c r="AH110" s="410"/>
      <c r="AI110" s="411"/>
      <c r="AJ110" s="411"/>
      <c r="AK110" s="411"/>
      <c r="AL110" s="411"/>
      <c r="AM110" s="411"/>
      <c r="AN110" s="411"/>
      <c r="AO110" s="411"/>
      <c r="AP110" s="411"/>
      <c r="AQ110" s="411"/>
      <c r="AR110" s="411"/>
      <c r="AS110" s="412"/>
      <c r="AT110" s="83"/>
      <c r="AU110" s="83"/>
    </row>
    <row r="111" spans="1:47" x14ac:dyDescent="0.35">
      <c r="A111" s="105"/>
      <c r="B111" s="96" t="s">
        <v>701</v>
      </c>
      <c r="C111" s="97" t="s">
        <v>644</v>
      </c>
      <c r="D111" s="98"/>
      <c r="E111" s="234" t="s">
        <v>645</v>
      </c>
      <c r="F111" s="100"/>
      <c r="G111" s="88"/>
      <c r="H111" s="410"/>
      <c r="I111" s="411"/>
      <c r="J111" s="411"/>
      <c r="K111" s="411"/>
      <c r="L111" s="411"/>
      <c r="M111" s="411"/>
      <c r="N111" s="411"/>
      <c r="O111" s="411"/>
      <c r="P111" s="411"/>
      <c r="Q111" s="411"/>
      <c r="R111" s="411"/>
      <c r="S111" s="412"/>
      <c r="T111" s="83"/>
      <c r="U111" s="410"/>
      <c r="V111" s="411"/>
      <c r="W111" s="411"/>
      <c r="X111" s="411"/>
      <c r="Y111" s="411"/>
      <c r="Z111" s="411"/>
      <c r="AA111" s="411"/>
      <c r="AB111" s="411"/>
      <c r="AC111" s="411"/>
      <c r="AD111" s="411"/>
      <c r="AE111" s="411"/>
      <c r="AF111" s="412"/>
      <c r="AG111" s="83"/>
      <c r="AH111" s="410"/>
      <c r="AI111" s="411"/>
      <c r="AJ111" s="411"/>
      <c r="AK111" s="411"/>
      <c r="AL111" s="411"/>
      <c r="AM111" s="411"/>
      <c r="AN111" s="411"/>
      <c r="AO111" s="411"/>
      <c r="AP111" s="411"/>
      <c r="AQ111" s="411"/>
      <c r="AR111" s="411"/>
      <c r="AS111" s="412"/>
      <c r="AT111" s="83"/>
      <c r="AU111" s="83"/>
    </row>
    <row r="112" spans="1:47" ht="43.5" x14ac:dyDescent="0.35">
      <c r="A112" s="105"/>
      <c r="B112" s="101" t="s">
        <v>435</v>
      </c>
      <c r="C112" s="129" t="s">
        <v>549</v>
      </c>
      <c r="D112" s="102" t="s">
        <v>646</v>
      </c>
      <c r="E112" s="103" t="s">
        <v>647</v>
      </c>
      <c r="F112" s="104"/>
      <c r="G112" s="88"/>
      <c r="H112" s="410"/>
      <c r="I112" s="411"/>
      <c r="J112" s="411"/>
      <c r="K112" s="411"/>
      <c r="L112" s="411"/>
      <c r="M112" s="411"/>
      <c r="N112" s="411"/>
      <c r="O112" s="411"/>
      <c r="P112" s="411"/>
      <c r="Q112" s="411"/>
      <c r="R112" s="411"/>
      <c r="S112" s="412"/>
      <c r="T112" s="83"/>
      <c r="U112" s="410"/>
      <c r="V112" s="411"/>
      <c r="W112" s="411"/>
      <c r="X112" s="411"/>
      <c r="Y112" s="411"/>
      <c r="Z112" s="411"/>
      <c r="AA112" s="411"/>
      <c r="AB112" s="411"/>
      <c r="AC112" s="411"/>
      <c r="AD112" s="411"/>
      <c r="AE112" s="411"/>
      <c r="AF112" s="412"/>
      <c r="AG112" s="83"/>
      <c r="AH112" s="410"/>
      <c r="AI112" s="411"/>
      <c r="AJ112" s="411"/>
      <c r="AK112" s="411"/>
      <c r="AL112" s="411"/>
      <c r="AM112" s="411"/>
      <c r="AN112" s="411"/>
      <c r="AO112" s="411"/>
      <c r="AP112" s="411"/>
      <c r="AQ112" s="411"/>
      <c r="AR112" s="411"/>
      <c r="AS112" s="412"/>
      <c r="AT112" s="83"/>
      <c r="AU112" s="83"/>
    </row>
    <row r="113" spans="1:47" ht="43.5" x14ac:dyDescent="0.35">
      <c r="A113" s="105"/>
      <c r="B113" s="101" t="s">
        <v>435</v>
      </c>
      <c r="C113" s="129" t="s">
        <v>549</v>
      </c>
      <c r="D113" s="102" t="s">
        <v>671</v>
      </c>
      <c r="E113" s="103" t="s">
        <v>685</v>
      </c>
      <c r="F113" s="104"/>
      <c r="G113" s="88"/>
      <c r="H113" s="410"/>
      <c r="I113" s="411"/>
      <c r="J113" s="411"/>
      <c r="K113" s="411"/>
      <c r="L113" s="411"/>
      <c r="M113" s="411"/>
      <c r="N113" s="411"/>
      <c r="O113" s="411"/>
      <c r="P113" s="411"/>
      <c r="Q113" s="411"/>
      <c r="R113" s="411"/>
      <c r="S113" s="412"/>
      <c r="T113" s="83"/>
      <c r="U113" s="410"/>
      <c r="V113" s="411"/>
      <c r="W113" s="411"/>
      <c r="X113" s="411"/>
      <c r="Y113" s="411"/>
      <c r="Z113" s="411"/>
      <c r="AA113" s="411"/>
      <c r="AB113" s="411"/>
      <c r="AC113" s="411"/>
      <c r="AD113" s="411"/>
      <c r="AE113" s="411"/>
      <c r="AF113" s="412"/>
      <c r="AG113" s="83"/>
      <c r="AH113" s="410"/>
      <c r="AI113" s="411"/>
      <c r="AJ113" s="411"/>
      <c r="AK113" s="411"/>
      <c r="AL113" s="411"/>
      <c r="AM113" s="411"/>
      <c r="AN113" s="411"/>
      <c r="AO113" s="411"/>
      <c r="AP113" s="411"/>
      <c r="AQ113" s="411"/>
      <c r="AR113" s="411"/>
      <c r="AS113" s="412"/>
      <c r="AT113" s="83"/>
      <c r="AU113" s="83"/>
    </row>
    <row r="114" spans="1:47" ht="29" x14ac:dyDescent="0.35">
      <c r="A114" s="105"/>
      <c r="B114" s="101" t="s">
        <v>435</v>
      </c>
      <c r="C114" s="129" t="s">
        <v>549</v>
      </c>
      <c r="D114" s="102" t="s">
        <v>672</v>
      </c>
      <c r="E114" s="103" t="s">
        <v>673</v>
      </c>
      <c r="F114" s="104"/>
      <c r="G114" s="88"/>
      <c r="H114" s="410"/>
      <c r="I114" s="411"/>
      <c r="J114" s="411"/>
      <c r="K114" s="411"/>
      <c r="L114" s="411"/>
      <c r="M114" s="411"/>
      <c r="N114" s="411"/>
      <c r="O114" s="411"/>
      <c r="P114" s="411"/>
      <c r="Q114" s="411"/>
      <c r="R114" s="411"/>
      <c r="S114" s="412"/>
      <c r="T114" s="83"/>
      <c r="U114" s="410"/>
      <c r="V114" s="411"/>
      <c r="W114" s="411"/>
      <c r="X114" s="411"/>
      <c r="Y114" s="411"/>
      <c r="Z114" s="411"/>
      <c r="AA114" s="411"/>
      <c r="AB114" s="411"/>
      <c r="AC114" s="411"/>
      <c r="AD114" s="411"/>
      <c r="AE114" s="411"/>
      <c r="AF114" s="412"/>
      <c r="AG114" s="83"/>
      <c r="AH114" s="410"/>
      <c r="AI114" s="411"/>
      <c r="AJ114" s="411"/>
      <c r="AK114" s="411"/>
      <c r="AL114" s="411"/>
      <c r="AM114" s="411"/>
      <c r="AN114" s="411"/>
      <c r="AO114" s="411"/>
      <c r="AP114" s="411"/>
      <c r="AQ114" s="411"/>
      <c r="AR114" s="411"/>
      <c r="AS114" s="412"/>
      <c r="AT114" s="83"/>
      <c r="AU114" s="83"/>
    </row>
    <row r="115" spans="1:47" x14ac:dyDescent="0.35">
      <c r="A115" s="105"/>
      <c r="B115" s="96" t="s">
        <v>702</v>
      </c>
      <c r="C115" s="97" t="s">
        <v>675</v>
      </c>
      <c r="D115" s="98"/>
      <c r="E115" s="234"/>
      <c r="F115" s="100"/>
      <c r="G115" s="88"/>
      <c r="H115" s="410"/>
      <c r="I115" s="411"/>
      <c r="J115" s="411"/>
      <c r="K115" s="411"/>
      <c r="L115" s="411"/>
      <c r="M115" s="411"/>
      <c r="N115" s="411"/>
      <c r="O115" s="411"/>
      <c r="P115" s="411"/>
      <c r="Q115" s="411"/>
      <c r="R115" s="411"/>
      <c r="S115" s="412"/>
      <c r="T115" s="83"/>
      <c r="U115" s="410"/>
      <c r="V115" s="411"/>
      <c r="W115" s="411"/>
      <c r="X115" s="411"/>
      <c r="Y115" s="411"/>
      <c r="Z115" s="411"/>
      <c r="AA115" s="411"/>
      <c r="AB115" s="411"/>
      <c r="AC115" s="411"/>
      <c r="AD115" s="411"/>
      <c r="AE115" s="411"/>
      <c r="AF115" s="412"/>
      <c r="AG115" s="83"/>
      <c r="AH115" s="410"/>
      <c r="AI115" s="411"/>
      <c r="AJ115" s="411"/>
      <c r="AK115" s="411"/>
      <c r="AL115" s="411"/>
      <c r="AM115" s="411"/>
      <c r="AN115" s="411"/>
      <c r="AO115" s="411"/>
      <c r="AP115" s="411"/>
      <c r="AQ115" s="411"/>
      <c r="AR115" s="411"/>
      <c r="AS115" s="412"/>
      <c r="AT115" s="83"/>
      <c r="AU115" s="83"/>
    </row>
    <row r="116" spans="1:47" ht="174" x14ac:dyDescent="0.35">
      <c r="A116" s="105"/>
      <c r="B116" s="96" t="s">
        <v>703</v>
      </c>
      <c r="C116" s="97" t="s">
        <v>682</v>
      </c>
      <c r="D116" s="98"/>
      <c r="E116" s="234" t="s">
        <v>607</v>
      </c>
      <c r="F116" s="100"/>
      <c r="G116" s="88"/>
      <c r="H116" s="410"/>
      <c r="I116" s="411"/>
      <c r="J116" s="411"/>
      <c r="K116" s="411"/>
      <c r="L116" s="411"/>
      <c r="M116" s="411"/>
      <c r="N116" s="411"/>
      <c r="O116" s="411"/>
      <c r="P116" s="411"/>
      <c r="Q116" s="411"/>
      <c r="R116" s="411"/>
      <c r="S116" s="412"/>
      <c r="T116" s="83"/>
      <c r="U116" s="410"/>
      <c r="V116" s="411"/>
      <c r="W116" s="411"/>
      <c r="X116" s="411"/>
      <c r="Y116" s="411"/>
      <c r="Z116" s="411"/>
      <c r="AA116" s="411"/>
      <c r="AB116" s="411"/>
      <c r="AC116" s="411"/>
      <c r="AD116" s="411"/>
      <c r="AE116" s="411"/>
      <c r="AF116" s="412"/>
      <c r="AG116" s="83"/>
      <c r="AH116" s="410"/>
      <c r="AI116" s="411"/>
      <c r="AJ116" s="411"/>
      <c r="AK116" s="411"/>
      <c r="AL116" s="411"/>
      <c r="AM116" s="411"/>
      <c r="AN116" s="411"/>
      <c r="AO116" s="411"/>
      <c r="AP116" s="411"/>
      <c r="AQ116" s="411"/>
      <c r="AR116" s="411"/>
      <c r="AS116" s="412"/>
      <c r="AT116" s="83"/>
      <c r="AU116" s="83"/>
    </row>
    <row r="117" spans="1:47" ht="101.5" x14ac:dyDescent="0.35">
      <c r="A117" s="105"/>
      <c r="B117" s="101" t="s">
        <v>435</v>
      </c>
      <c r="C117" s="129" t="s">
        <v>549</v>
      </c>
      <c r="D117" s="102" t="s">
        <v>662</v>
      </c>
      <c r="E117" s="103" t="s">
        <v>663</v>
      </c>
      <c r="F117" s="104"/>
      <c r="G117" s="88"/>
      <c r="H117" s="410"/>
      <c r="I117" s="411"/>
      <c r="J117" s="411"/>
      <c r="K117" s="411"/>
      <c r="L117" s="411"/>
      <c r="M117" s="411"/>
      <c r="N117" s="411"/>
      <c r="O117" s="411"/>
      <c r="P117" s="411"/>
      <c r="Q117" s="411"/>
      <c r="R117" s="411"/>
      <c r="S117" s="412"/>
      <c r="T117" s="83"/>
      <c r="U117" s="410"/>
      <c r="V117" s="411"/>
      <c r="W117" s="411"/>
      <c r="X117" s="411"/>
      <c r="Y117" s="411"/>
      <c r="Z117" s="411"/>
      <c r="AA117" s="411"/>
      <c r="AB117" s="411"/>
      <c r="AC117" s="411"/>
      <c r="AD117" s="411"/>
      <c r="AE117" s="411"/>
      <c r="AF117" s="412"/>
      <c r="AG117" s="83"/>
      <c r="AH117" s="410"/>
      <c r="AI117" s="411"/>
      <c r="AJ117" s="411"/>
      <c r="AK117" s="411"/>
      <c r="AL117" s="411"/>
      <c r="AM117" s="411"/>
      <c r="AN117" s="411"/>
      <c r="AO117" s="411"/>
      <c r="AP117" s="411"/>
      <c r="AQ117" s="411"/>
      <c r="AR117" s="411"/>
      <c r="AS117" s="412"/>
      <c r="AT117" s="83"/>
      <c r="AU117" s="83"/>
    </row>
    <row r="118" spans="1:47" ht="58" x14ac:dyDescent="0.35">
      <c r="A118" s="105"/>
      <c r="B118" s="101" t="s">
        <v>435</v>
      </c>
      <c r="C118" s="129" t="s">
        <v>549</v>
      </c>
      <c r="D118" s="102" t="s">
        <v>664</v>
      </c>
      <c r="E118" s="103" t="s">
        <v>665</v>
      </c>
      <c r="F118" s="104"/>
      <c r="G118" s="88"/>
      <c r="H118" s="410"/>
      <c r="I118" s="411"/>
      <c r="J118" s="411"/>
      <c r="K118" s="411"/>
      <c r="L118" s="411"/>
      <c r="M118" s="411"/>
      <c r="N118" s="411"/>
      <c r="O118" s="411"/>
      <c r="P118" s="411"/>
      <c r="Q118" s="411"/>
      <c r="R118" s="411"/>
      <c r="S118" s="412"/>
      <c r="T118" s="83"/>
      <c r="U118" s="410"/>
      <c r="V118" s="411"/>
      <c r="W118" s="411"/>
      <c r="X118" s="411"/>
      <c r="Y118" s="411"/>
      <c r="Z118" s="411"/>
      <c r="AA118" s="411"/>
      <c r="AB118" s="411"/>
      <c r="AC118" s="411"/>
      <c r="AD118" s="411"/>
      <c r="AE118" s="411"/>
      <c r="AF118" s="412"/>
      <c r="AG118" s="83"/>
      <c r="AH118" s="410"/>
      <c r="AI118" s="411"/>
      <c r="AJ118" s="411"/>
      <c r="AK118" s="411"/>
      <c r="AL118" s="411"/>
      <c r="AM118" s="411"/>
      <c r="AN118" s="411"/>
      <c r="AO118" s="411"/>
      <c r="AP118" s="411"/>
      <c r="AQ118" s="411"/>
      <c r="AR118" s="411"/>
      <c r="AS118" s="412"/>
      <c r="AT118" s="83"/>
      <c r="AU118" s="83"/>
    </row>
    <row r="119" spans="1:47" ht="29" x14ac:dyDescent="0.35">
      <c r="A119" s="105"/>
      <c r="B119" s="101" t="s">
        <v>435</v>
      </c>
      <c r="C119" s="129" t="s">
        <v>549</v>
      </c>
      <c r="D119" s="102" t="s">
        <v>666</v>
      </c>
      <c r="E119" s="103" t="s">
        <v>667</v>
      </c>
      <c r="F119" s="104"/>
      <c r="G119" s="88"/>
      <c r="H119" s="410"/>
      <c r="I119" s="411"/>
      <c r="J119" s="411"/>
      <c r="K119" s="411"/>
      <c r="L119" s="411"/>
      <c r="M119" s="411"/>
      <c r="N119" s="411"/>
      <c r="O119" s="411"/>
      <c r="P119" s="411"/>
      <c r="Q119" s="411"/>
      <c r="R119" s="411"/>
      <c r="S119" s="412"/>
      <c r="T119" s="83"/>
      <c r="U119" s="410"/>
      <c r="V119" s="411"/>
      <c r="W119" s="411"/>
      <c r="X119" s="411"/>
      <c r="Y119" s="411"/>
      <c r="Z119" s="411"/>
      <c r="AA119" s="411"/>
      <c r="AB119" s="411"/>
      <c r="AC119" s="411"/>
      <c r="AD119" s="411"/>
      <c r="AE119" s="411"/>
      <c r="AF119" s="412"/>
      <c r="AG119" s="83"/>
      <c r="AH119" s="410"/>
      <c r="AI119" s="411"/>
      <c r="AJ119" s="411"/>
      <c r="AK119" s="411"/>
      <c r="AL119" s="411"/>
      <c r="AM119" s="411"/>
      <c r="AN119" s="411"/>
      <c r="AO119" s="411"/>
      <c r="AP119" s="411"/>
      <c r="AQ119" s="411"/>
      <c r="AR119" s="411"/>
      <c r="AS119" s="412"/>
      <c r="AT119" s="83"/>
      <c r="AU119" s="83"/>
    </row>
    <row r="120" spans="1:47" x14ac:dyDescent="0.35">
      <c r="A120" s="105"/>
      <c r="B120" s="96" t="s">
        <v>704</v>
      </c>
      <c r="C120" s="97" t="s">
        <v>668</v>
      </c>
      <c r="D120" s="98"/>
      <c r="E120" s="234"/>
      <c r="F120" s="100"/>
      <c r="G120" s="88"/>
      <c r="H120" s="410"/>
      <c r="I120" s="411"/>
      <c r="J120" s="411"/>
      <c r="K120" s="411"/>
      <c r="L120" s="411"/>
      <c r="M120" s="411"/>
      <c r="N120" s="411"/>
      <c r="O120" s="411"/>
      <c r="P120" s="411"/>
      <c r="Q120" s="411"/>
      <c r="R120" s="411"/>
      <c r="S120" s="412"/>
      <c r="T120" s="83"/>
      <c r="U120" s="410"/>
      <c r="V120" s="411"/>
      <c r="W120" s="411"/>
      <c r="X120" s="411"/>
      <c r="Y120" s="411"/>
      <c r="Z120" s="411"/>
      <c r="AA120" s="411"/>
      <c r="AB120" s="411"/>
      <c r="AC120" s="411"/>
      <c r="AD120" s="411"/>
      <c r="AE120" s="411"/>
      <c r="AF120" s="412"/>
      <c r="AG120" s="83"/>
      <c r="AH120" s="410"/>
      <c r="AI120" s="411"/>
      <c r="AJ120" s="411"/>
      <c r="AK120" s="411"/>
      <c r="AL120" s="411"/>
      <c r="AM120" s="411"/>
      <c r="AN120" s="411"/>
      <c r="AO120" s="411"/>
      <c r="AP120" s="411"/>
      <c r="AQ120" s="411"/>
      <c r="AR120" s="411"/>
      <c r="AS120" s="412"/>
      <c r="AT120" s="83"/>
      <c r="AU120" s="83"/>
    </row>
    <row r="121" spans="1:47" ht="72.5" x14ac:dyDescent="0.35">
      <c r="A121" s="105"/>
      <c r="B121" s="101" t="s">
        <v>435</v>
      </c>
      <c r="C121" s="129" t="s">
        <v>549</v>
      </c>
      <c r="D121" s="102" t="s">
        <v>669</v>
      </c>
      <c r="E121" s="103" t="s">
        <v>670</v>
      </c>
      <c r="F121" s="104"/>
      <c r="G121" s="88"/>
      <c r="H121" s="410"/>
      <c r="I121" s="411"/>
      <c r="J121" s="411"/>
      <c r="K121" s="411"/>
      <c r="L121" s="411"/>
      <c r="M121" s="411"/>
      <c r="N121" s="411"/>
      <c r="O121" s="411"/>
      <c r="P121" s="411"/>
      <c r="Q121" s="411"/>
      <c r="R121" s="411"/>
      <c r="S121" s="412"/>
      <c r="T121" s="83"/>
      <c r="U121" s="410"/>
      <c r="V121" s="411"/>
      <c r="W121" s="411"/>
      <c r="X121" s="411"/>
      <c r="Y121" s="411"/>
      <c r="Z121" s="411"/>
      <c r="AA121" s="411"/>
      <c r="AB121" s="411"/>
      <c r="AC121" s="411"/>
      <c r="AD121" s="411"/>
      <c r="AE121" s="411"/>
      <c r="AF121" s="412"/>
      <c r="AG121" s="83"/>
      <c r="AH121" s="410"/>
      <c r="AI121" s="411"/>
      <c r="AJ121" s="411"/>
      <c r="AK121" s="411"/>
      <c r="AL121" s="411"/>
      <c r="AM121" s="411"/>
      <c r="AN121" s="411"/>
      <c r="AO121" s="411"/>
      <c r="AP121" s="411"/>
      <c r="AQ121" s="411"/>
      <c r="AR121" s="411"/>
      <c r="AS121" s="412"/>
      <c r="AT121" s="83"/>
      <c r="AU121" s="83"/>
    </row>
    <row r="122" spans="1:47" ht="15" thickBot="1" x14ac:dyDescent="0.4">
      <c r="A122" s="105"/>
      <c r="B122" s="96" t="s">
        <v>705</v>
      </c>
      <c r="C122" s="97" t="s">
        <v>644</v>
      </c>
      <c r="D122" s="98"/>
      <c r="E122" s="234" t="s">
        <v>645</v>
      </c>
      <c r="F122" s="100"/>
      <c r="G122" s="88"/>
      <c r="H122" s="421"/>
      <c r="I122" s="422"/>
      <c r="J122" s="422"/>
      <c r="K122" s="422"/>
      <c r="L122" s="422"/>
      <c r="M122" s="422"/>
      <c r="N122" s="422"/>
      <c r="O122" s="422"/>
      <c r="P122" s="422"/>
      <c r="Q122" s="422"/>
      <c r="R122" s="422"/>
      <c r="S122" s="423"/>
      <c r="T122" s="83"/>
      <c r="U122" s="421"/>
      <c r="V122" s="422"/>
      <c r="W122" s="422"/>
      <c r="X122" s="422"/>
      <c r="Y122" s="422"/>
      <c r="Z122" s="422"/>
      <c r="AA122" s="422"/>
      <c r="AB122" s="422"/>
      <c r="AC122" s="422"/>
      <c r="AD122" s="422"/>
      <c r="AE122" s="422"/>
      <c r="AF122" s="423"/>
      <c r="AG122" s="83"/>
      <c r="AH122" s="421"/>
      <c r="AI122" s="422"/>
      <c r="AJ122" s="422"/>
      <c r="AK122" s="422"/>
      <c r="AL122" s="422"/>
      <c r="AM122" s="422"/>
      <c r="AN122" s="422"/>
      <c r="AO122" s="422"/>
      <c r="AP122" s="422"/>
      <c r="AQ122" s="422"/>
      <c r="AR122" s="422"/>
      <c r="AS122" s="423"/>
      <c r="AT122" s="83"/>
      <c r="AU122" s="83"/>
    </row>
    <row r="123" spans="1:47" ht="43.5" x14ac:dyDescent="0.35">
      <c r="A123" s="105"/>
      <c r="B123" s="101" t="s">
        <v>435</v>
      </c>
      <c r="C123" s="129" t="s">
        <v>549</v>
      </c>
      <c r="D123" s="102" t="s">
        <v>646</v>
      </c>
      <c r="E123" s="103" t="s">
        <v>647</v>
      </c>
      <c r="F123" s="104"/>
      <c r="G123" s="88"/>
      <c r="H123" s="88"/>
      <c r="I123" s="88"/>
      <c r="J123" s="88"/>
      <c r="K123" s="88"/>
      <c r="L123" s="88"/>
      <c r="M123" s="88"/>
      <c r="N123" s="88"/>
      <c r="O123" s="88"/>
      <c r="P123" s="88"/>
      <c r="Q123" s="88"/>
      <c r="R123" s="88"/>
      <c r="S123" s="88"/>
      <c r="T123" s="83"/>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3"/>
      <c r="AU123" s="83"/>
    </row>
    <row r="124" spans="1:47" ht="43.5" x14ac:dyDescent="0.35">
      <c r="A124" s="105"/>
      <c r="B124" s="101" t="s">
        <v>435</v>
      </c>
      <c r="C124" s="129" t="s">
        <v>549</v>
      </c>
      <c r="D124" s="102" t="s">
        <v>671</v>
      </c>
      <c r="E124" s="103" t="s">
        <v>685</v>
      </c>
      <c r="F124" s="104"/>
      <c r="G124" s="88"/>
      <c r="H124" s="88"/>
      <c r="I124" s="88"/>
      <c r="J124" s="88"/>
      <c r="K124" s="88"/>
      <c r="L124" s="88"/>
      <c r="M124" s="88"/>
      <c r="N124" s="88"/>
      <c r="O124" s="88"/>
      <c r="P124" s="88"/>
      <c r="Q124" s="88"/>
      <c r="R124" s="88"/>
      <c r="S124" s="88"/>
      <c r="T124" s="83"/>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3"/>
      <c r="AU124" s="83"/>
    </row>
    <row r="125" spans="1:47" ht="29" x14ac:dyDescent="0.35">
      <c r="A125" s="105"/>
      <c r="B125" s="101" t="s">
        <v>435</v>
      </c>
      <c r="C125" s="129" t="s">
        <v>549</v>
      </c>
      <c r="D125" s="102" t="s">
        <v>672</v>
      </c>
      <c r="E125" s="103" t="s">
        <v>673</v>
      </c>
      <c r="F125" s="104"/>
      <c r="G125" s="88"/>
      <c r="H125" s="88"/>
      <c r="I125" s="88"/>
      <c r="J125" s="88"/>
      <c r="K125" s="88"/>
      <c r="L125" s="88"/>
      <c r="M125" s="88"/>
      <c r="N125" s="88"/>
      <c r="O125" s="88"/>
      <c r="P125" s="88"/>
      <c r="Q125" s="88"/>
      <c r="R125" s="88"/>
      <c r="S125" s="88"/>
      <c r="T125" s="83"/>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3"/>
      <c r="AU125" s="83"/>
    </row>
    <row r="126" spans="1:47" x14ac:dyDescent="0.35">
      <c r="A126" s="105"/>
      <c r="B126" s="96" t="s">
        <v>706</v>
      </c>
      <c r="C126" s="97" t="s">
        <v>675</v>
      </c>
      <c r="D126" s="98"/>
      <c r="E126" s="234"/>
      <c r="F126" s="100"/>
      <c r="G126" s="88"/>
      <c r="H126" s="88"/>
      <c r="I126" s="88"/>
      <c r="J126" s="88"/>
      <c r="K126" s="88"/>
      <c r="L126" s="88"/>
      <c r="M126" s="88"/>
      <c r="N126" s="88"/>
      <c r="O126" s="88"/>
      <c r="P126" s="88"/>
      <c r="Q126" s="88"/>
      <c r="R126" s="88"/>
      <c r="S126" s="88"/>
      <c r="T126" s="83"/>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3"/>
      <c r="AU126" s="83"/>
    </row>
    <row r="127" spans="1:47" ht="174" x14ac:dyDescent="0.35">
      <c r="A127" s="105"/>
      <c r="B127" s="96" t="s">
        <v>707</v>
      </c>
      <c r="C127" s="97" t="s">
        <v>691</v>
      </c>
      <c r="D127" s="98"/>
      <c r="E127" s="238" t="s">
        <v>622</v>
      </c>
      <c r="F127" s="100"/>
      <c r="G127" s="88"/>
      <c r="H127" s="88"/>
      <c r="I127" s="88"/>
      <c r="J127" s="88"/>
      <c r="K127" s="88"/>
      <c r="L127" s="88"/>
      <c r="M127" s="88"/>
      <c r="N127" s="88"/>
      <c r="O127" s="88"/>
      <c r="P127" s="88"/>
      <c r="Q127" s="88"/>
      <c r="R127" s="88"/>
      <c r="S127" s="88"/>
      <c r="T127" s="83"/>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3"/>
      <c r="AU127" s="83"/>
    </row>
    <row r="128" spans="1:47" ht="101.5" x14ac:dyDescent="0.35">
      <c r="A128" s="105"/>
      <c r="B128" s="101" t="s">
        <v>435</v>
      </c>
      <c r="C128" s="129" t="s">
        <v>549</v>
      </c>
      <c r="D128" s="102" t="s">
        <v>657</v>
      </c>
      <c r="E128" s="103" t="s">
        <v>642</v>
      </c>
      <c r="F128" s="104"/>
      <c r="G128" s="88"/>
      <c r="H128" s="88"/>
      <c r="I128" s="88"/>
      <c r="J128" s="88"/>
      <c r="K128" s="88"/>
      <c r="L128" s="88"/>
      <c r="M128" s="88"/>
      <c r="N128" s="88"/>
      <c r="O128" s="88"/>
      <c r="P128" s="88"/>
      <c r="Q128" s="88"/>
      <c r="R128" s="88"/>
      <c r="S128" s="88"/>
      <c r="T128" s="83"/>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c r="AQ128" s="88"/>
      <c r="AR128" s="88"/>
      <c r="AS128" s="88"/>
      <c r="AT128" s="83"/>
      <c r="AU128" s="83"/>
    </row>
    <row r="129" spans="1:47" x14ac:dyDescent="0.35">
      <c r="A129" s="105"/>
      <c r="B129" s="96" t="s">
        <v>708</v>
      </c>
      <c r="C129" s="97" t="s">
        <v>644</v>
      </c>
      <c r="D129" s="98"/>
      <c r="E129" s="234" t="s">
        <v>659</v>
      </c>
      <c r="F129" s="100"/>
      <c r="G129" s="88"/>
      <c r="H129" s="88"/>
      <c r="I129" s="88"/>
      <c r="J129" s="88"/>
      <c r="K129" s="88"/>
      <c r="L129" s="88"/>
      <c r="M129" s="88"/>
      <c r="N129" s="88"/>
      <c r="O129" s="88"/>
      <c r="P129" s="88"/>
      <c r="Q129" s="88"/>
      <c r="R129" s="88"/>
      <c r="S129" s="88"/>
      <c r="T129" s="83"/>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3"/>
      <c r="AU129" s="83"/>
    </row>
    <row r="130" spans="1:47" ht="43.5" x14ac:dyDescent="0.35">
      <c r="A130" s="105"/>
      <c r="B130" s="101" t="s">
        <v>435</v>
      </c>
      <c r="C130" s="129" t="s">
        <v>549</v>
      </c>
      <c r="D130" s="102" t="s">
        <v>646</v>
      </c>
      <c r="E130" s="103" t="s">
        <v>647</v>
      </c>
      <c r="F130" s="104"/>
      <c r="G130" s="88"/>
      <c r="H130" s="88"/>
      <c r="I130" s="88"/>
      <c r="J130" s="88"/>
      <c r="K130" s="88"/>
      <c r="L130" s="88"/>
      <c r="M130" s="88"/>
      <c r="N130" s="88"/>
      <c r="O130" s="88"/>
      <c r="P130" s="88"/>
      <c r="Q130" s="88"/>
      <c r="R130" s="88"/>
      <c r="S130" s="88"/>
      <c r="T130" s="83"/>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3"/>
      <c r="AU130" s="83"/>
    </row>
    <row r="131" spans="1:47" ht="15.5" x14ac:dyDescent="0.35">
      <c r="A131" s="105"/>
      <c r="B131" s="92" t="s">
        <v>709</v>
      </c>
      <c r="C131" s="413" t="s">
        <v>710</v>
      </c>
      <c r="D131" s="414"/>
      <c r="E131" s="414"/>
      <c r="F131" s="415"/>
      <c r="G131" s="88"/>
      <c r="H131" s="88"/>
      <c r="I131" s="88"/>
      <c r="J131" s="88"/>
      <c r="K131" s="88"/>
      <c r="L131" s="88"/>
      <c r="M131" s="88"/>
      <c r="N131" s="88"/>
      <c r="O131" s="88"/>
      <c r="P131" s="88"/>
      <c r="Q131" s="88"/>
      <c r="R131" s="88"/>
      <c r="S131" s="88"/>
      <c r="T131" s="83"/>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3"/>
      <c r="AU131" s="83"/>
    </row>
    <row r="132" spans="1:47" x14ac:dyDescent="0.35">
      <c r="A132" s="105"/>
      <c r="B132" s="95" t="s">
        <v>545</v>
      </c>
      <c r="C132" s="416" t="s">
        <v>605</v>
      </c>
      <c r="D132" s="417"/>
      <c r="E132" s="417"/>
      <c r="F132" s="418"/>
      <c r="G132" s="88"/>
      <c r="H132" s="88"/>
      <c r="I132" s="88"/>
      <c r="J132" s="88"/>
      <c r="K132" s="88"/>
      <c r="L132" s="88"/>
      <c r="M132" s="88"/>
      <c r="N132" s="88"/>
      <c r="O132" s="88"/>
      <c r="P132" s="88"/>
      <c r="Q132" s="88"/>
      <c r="R132" s="88"/>
      <c r="S132" s="88"/>
      <c r="T132" s="83"/>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3"/>
      <c r="AU132" s="83"/>
    </row>
    <row r="133" spans="1:47" ht="174" x14ac:dyDescent="0.35">
      <c r="A133" s="105"/>
      <c r="B133" s="96" t="s">
        <v>711</v>
      </c>
      <c r="C133" s="97" t="s">
        <v>712</v>
      </c>
      <c r="D133" s="98"/>
      <c r="E133" s="234" t="s">
        <v>607</v>
      </c>
      <c r="F133" s="100"/>
      <c r="G133" s="88"/>
      <c r="H133" s="88"/>
      <c r="I133" s="88"/>
      <c r="J133" s="88"/>
      <c r="K133" s="88"/>
      <c r="L133" s="88"/>
      <c r="M133" s="88"/>
      <c r="N133" s="88"/>
      <c r="O133" s="88"/>
      <c r="P133" s="88"/>
      <c r="Q133" s="88"/>
      <c r="R133" s="88"/>
      <c r="S133" s="88"/>
      <c r="T133" s="83"/>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3"/>
      <c r="AU133" s="83"/>
    </row>
    <row r="134" spans="1:47" ht="72.5" x14ac:dyDescent="0.35">
      <c r="A134" s="105"/>
      <c r="B134" s="101" t="s">
        <v>436</v>
      </c>
      <c r="C134" s="129" t="s">
        <v>549</v>
      </c>
      <c r="D134" s="102" t="s">
        <v>669</v>
      </c>
      <c r="E134" s="103" t="s">
        <v>670</v>
      </c>
      <c r="F134" s="104"/>
      <c r="G134" s="88"/>
      <c r="H134" s="88"/>
      <c r="I134" s="88"/>
      <c r="J134" s="88"/>
      <c r="K134" s="88"/>
      <c r="L134" s="88"/>
      <c r="M134" s="88"/>
      <c r="N134" s="88"/>
      <c r="O134" s="88"/>
      <c r="P134" s="88"/>
      <c r="Q134" s="88"/>
      <c r="R134" s="88"/>
      <c r="S134" s="88"/>
      <c r="T134" s="83"/>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3"/>
      <c r="AU134" s="83"/>
    </row>
    <row r="135" spans="1:47" x14ac:dyDescent="0.35">
      <c r="A135" s="105"/>
      <c r="B135" s="96" t="s">
        <v>713</v>
      </c>
      <c r="C135" s="97" t="s">
        <v>644</v>
      </c>
      <c r="D135" s="98"/>
      <c r="E135" s="234" t="s">
        <v>645</v>
      </c>
      <c r="F135" s="100"/>
      <c r="G135" s="88"/>
      <c r="H135" s="88"/>
      <c r="I135" s="88"/>
      <c r="J135" s="88"/>
      <c r="K135" s="88"/>
      <c r="L135" s="88"/>
      <c r="M135" s="88"/>
      <c r="N135" s="88"/>
      <c r="O135" s="88"/>
      <c r="P135" s="88"/>
      <c r="Q135" s="88"/>
      <c r="R135" s="88"/>
      <c r="S135" s="88"/>
      <c r="T135" s="83"/>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3"/>
      <c r="AU135" s="83"/>
    </row>
    <row r="136" spans="1:47" ht="43.5" x14ac:dyDescent="0.35">
      <c r="A136" s="105"/>
      <c r="B136" s="101" t="s">
        <v>436</v>
      </c>
      <c r="C136" s="129" t="s">
        <v>549</v>
      </c>
      <c r="D136" s="102" t="s">
        <v>646</v>
      </c>
      <c r="E136" s="103" t="s">
        <v>647</v>
      </c>
      <c r="F136" s="104"/>
      <c r="G136" s="88"/>
      <c r="H136" s="88"/>
      <c r="I136" s="88"/>
      <c r="J136" s="88"/>
      <c r="K136" s="88"/>
      <c r="L136" s="88"/>
      <c r="M136" s="88"/>
      <c r="N136" s="88"/>
      <c r="O136" s="88"/>
      <c r="P136" s="88"/>
      <c r="Q136" s="88"/>
      <c r="R136" s="88"/>
      <c r="S136" s="88"/>
      <c r="T136" s="83"/>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3"/>
      <c r="AU136" s="83"/>
    </row>
    <row r="137" spans="1:47" ht="43.5" x14ac:dyDescent="0.35">
      <c r="A137" s="105"/>
      <c r="B137" s="101" t="s">
        <v>436</v>
      </c>
      <c r="C137" s="129" t="s">
        <v>549</v>
      </c>
      <c r="D137" s="102" t="s">
        <v>671</v>
      </c>
      <c r="E137" s="103" t="s">
        <v>685</v>
      </c>
      <c r="F137" s="104"/>
      <c r="G137" s="88"/>
      <c r="H137" s="88"/>
      <c r="I137" s="88"/>
      <c r="J137" s="88"/>
      <c r="K137" s="88"/>
      <c r="L137" s="88"/>
      <c r="M137" s="88"/>
      <c r="N137" s="88"/>
      <c r="O137" s="88"/>
      <c r="P137" s="88"/>
      <c r="Q137" s="88"/>
      <c r="R137" s="88"/>
      <c r="S137" s="88"/>
      <c r="T137" s="83"/>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3"/>
      <c r="AU137" s="83"/>
    </row>
    <row r="138" spans="1:47" ht="29" x14ac:dyDescent="0.35">
      <c r="A138" s="105"/>
      <c r="B138" s="101" t="s">
        <v>436</v>
      </c>
      <c r="C138" s="129" t="s">
        <v>549</v>
      </c>
      <c r="D138" s="102" t="s">
        <v>666</v>
      </c>
      <c r="E138" s="103" t="s">
        <v>714</v>
      </c>
      <c r="F138" s="104"/>
      <c r="G138" s="88"/>
      <c r="H138" s="88"/>
      <c r="I138" s="88"/>
      <c r="J138" s="88"/>
      <c r="K138" s="88"/>
      <c r="L138" s="88"/>
      <c r="M138" s="88"/>
      <c r="N138" s="88"/>
      <c r="O138" s="88"/>
      <c r="P138" s="88"/>
      <c r="Q138" s="88"/>
      <c r="R138" s="88"/>
      <c r="S138" s="88"/>
      <c r="T138" s="83"/>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3"/>
      <c r="AU138" s="83"/>
    </row>
    <row r="139" spans="1:47" x14ac:dyDescent="0.35">
      <c r="A139" s="105"/>
      <c r="B139" s="96" t="s">
        <v>715</v>
      </c>
      <c r="C139" s="97" t="s">
        <v>675</v>
      </c>
      <c r="D139" s="98"/>
      <c r="E139" s="234"/>
      <c r="F139" s="100"/>
      <c r="G139" s="88"/>
      <c r="H139" s="88"/>
      <c r="I139" s="88"/>
      <c r="J139" s="88"/>
      <c r="K139" s="88"/>
      <c r="L139" s="88"/>
      <c r="M139" s="88"/>
      <c r="N139" s="88"/>
      <c r="O139" s="88"/>
      <c r="P139" s="88"/>
      <c r="Q139" s="88"/>
      <c r="R139" s="88"/>
      <c r="S139" s="88"/>
      <c r="T139" s="83"/>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3"/>
      <c r="AU139" s="83"/>
    </row>
    <row r="140" spans="1:47" ht="174" x14ac:dyDescent="0.35">
      <c r="A140" s="105"/>
      <c r="B140" s="96" t="s">
        <v>716</v>
      </c>
      <c r="C140" s="97" t="s">
        <v>717</v>
      </c>
      <c r="D140" s="98"/>
      <c r="E140" s="238" t="s">
        <v>622</v>
      </c>
      <c r="F140" s="100"/>
      <c r="G140" s="88"/>
      <c r="H140" s="88"/>
      <c r="I140" s="88"/>
      <c r="J140" s="88"/>
      <c r="K140" s="88"/>
      <c r="L140" s="88"/>
      <c r="M140" s="88"/>
      <c r="N140" s="88"/>
      <c r="O140" s="88"/>
      <c r="P140" s="88"/>
      <c r="Q140" s="88"/>
      <c r="R140" s="88"/>
      <c r="S140" s="88"/>
      <c r="T140" s="83"/>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3"/>
      <c r="AU140" s="83"/>
    </row>
    <row r="141" spans="1:47" ht="72.5" x14ac:dyDescent="0.35">
      <c r="A141" s="105"/>
      <c r="B141" s="101" t="s">
        <v>436</v>
      </c>
      <c r="C141" s="129" t="s">
        <v>549</v>
      </c>
      <c r="D141" s="102" t="s">
        <v>669</v>
      </c>
      <c r="E141" s="103" t="s">
        <v>670</v>
      </c>
      <c r="F141" s="104"/>
      <c r="G141" s="88"/>
      <c r="H141" s="88"/>
      <c r="I141" s="88"/>
      <c r="J141" s="88"/>
      <c r="K141" s="88"/>
      <c r="L141" s="88"/>
      <c r="M141" s="88"/>
      <c r="N141" s="88"/>
      <c r="O141" s="88"/>
      <c r="P141" s="88"/>
      <c r="Q141" s="88"/>
      <c r="R141" s="88"/>
      <c r="S141" s="88"/>
      <c r="T141" s="83"/>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3"/>
      <c r="AU141" s="83"/>
    </row>
    <row r="142" spans="1:47" x14ac:dyDescent="0.35">
      <c r="A142" s="105"/>
      <c r="B142" s="96" t="s">
        <v>718</v>
      </c>
      <c r="C142" s="97" t="s">
        <v>644</v>
      </c>
      <c r="D142" s="98"/>
      <c r="E142" s="234" t="s">
        <v>645</v>
      </c>
      <c r="F142" s="100"/>
      <c r="G142" s="88"/>
      <c r="H142" s="88"/>
      <c r="I142" s="88"/>
      <c r="J142" s="88"/>
      <c r="K142" s="88"/>
      <c r="L142" s="88"/>
      <c r="M142" s="88"/>
      <c r="N142" s="88"/>
      <c r="O142" s="88"/>
      <c r="P142" s="88"/>
      <c r="Q142" s="88"/>
      <c r="R142" s="88"/>
      <c r="S142" s="88"/>
      <c r="T142" s="83"/>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3"/>
      <c r="AU142" s="83"/>
    </row>
    <row r="143" spans="1:47" ht="43.5" x14ac:dyDescent="0.35">
      <c r="A143" s="105"/>
      <c r="B143" s="101" t="s">
        <v>436</v>
      </c>
      <c r="C143" s="129" t="s">
        <v>549</v>
      </c>
      <c r="D143" s="102" t="s">
        <v>646</v>
      </c>
      <c r="E143" s="103" t="s">
        <v>647</v>
      </c>
      <c r="F143" s="104"/>
      <c r="G143" s="88"/>
      <c r="H143" s="88"/>
      <c r="I143" s="88"/>
      <c r="J143" s="88"/>
      <c r="K143" s="88"/>
      <c r="L143" s="88"/>
      <c r="M143" s="88"/>
      <c r="N143" s="88"/>
      <c r="O143" s="88"/>
      <c r="P143" s="88"/>
      <c r="Q143" s="88"/>
      <c r="R143" s="88"/>
      <c r="S143" s="88"/>
      <c r="T143" s="83"/>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3"/>
      <c r="AU143" s="83"/>
    </row>
    <row r="144" spans="1:47" ht="43.5" x14ac:dyDescent="0.35">
      <c r="A144" s="105"/>
      <c r="B144" s="101" t="s">
        <v>436</v>
      </c>
      <c r="C144" s="129" t="s">
        <v>549</v>
      </c>
      <c r="D144" s="102" t="s">
        <v>671</v>
      </c>
      <c r="E144" s="103" t="s">
        <v>685</v>
      </c>
      <c r="F144" s="104"/>
      <c r="G144" s="88"/>
      <c r="H144" s="88"/>
      <c r="I144" s="88"/>
      <c r="J144" s="88"/>
      <c r="K144" s="88"/>
      <c r="L144" s="88"/>
      <c r="M144" s="88"/>
      <c r="N144" s="88"/>
      <c r="O144" s="88"/>
      <c r="P144" s="88"/>
      <c r="Q144" s="88"/>
      <c r="R144" s="88"/>
      <c r="S144" s="88"/>
      <c r="T144" s="83"/>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3"/>
      <c r="AU144" s="83"/>
    </row>
    <row r="145" spans="1:47" ht="29" x14ac:dyDescent="0.35">
      <c r="A145" s="105"/>
      <c r="B145" s="101" t="s">
        <v>436</v>
      </c>
      <c r="C145" s="129" t="s">
        <v>549</v>
      </c>
      <c r="D145" s="102" t="s">
        <v>666</v>
      </c>
      <c r="E145" s="103" t="s">
        <v>714</v>
      </c>
      <c r="F145" s="104"/>
      <c r="G145" s="88"/>
      <c r="H145" s="88"/>
      <c r="I145" s="88"/>
      <c r="J145" s="88"/>
      <c r="K145" s="88"/>
      <c r="L145" s="88"/>
      <c r="M145" s="88"/>
      <c r="N145" s="88"/>
      <c r="O145" s="88"/>
      <c r="P145" s="88"/>
      <c r="Q145" s="88"/>
      <c r="R145" s="88"/>
      <c r="S145" s="88"/>
      <c r="T145" s="83"/>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8"/>
      <c r="AT145" s="83"/>
      <c r="AU145" s="83"/>
    </row>
    <row r="146" spans="1:47" x14ac:dyDescent="0.35">
      <c r="A146" s="105"/>
      <c r="B146" s="96" t="s">
        <v>719</v>
      </c>
      <c r="C146" s="97" t="s">
        <v>675</v>
      </c>
      <c r="D146" s="98"/>
      <c r="E146" s="234"/>
      <c r="F146" s="100"/>
      <c r="G146" s="88"/>
      <c r="H146" s="88"/>
      <c r="I146" s="88"/>
      <c r="J146" s="88"/>
      <c r="K146" s="88"/>
      <c r="L146" s="88"/>
      <c r="M146" s="88"/>
      <c r="N146" s="88"/>
      <c r="O146" s="88"/>
      <c r="P146" s="88"/>
      <c r="Q146" s="88"/>
      <c r="R146" s="88"/>
      <c r="S146" s="88"/>
      <c r="T146" s="83"/>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3"/>
      <c r="AU146" s="83"/>
    </row>
    <row r="147" spans="1:47" ht="174" x14ac:dyDescent="0.35">
      <c r="A147" s="105"/>
      <c r="B147" s="96" t="s">
        <v>720</v>
      </c>
      <c r="C147" s="97" t="s">
        <v>721</v>
      </c>
      <c r="D147" s="98"/>
      <c r="E147" s="234" t="s">
        <v>607</v>
      </c>
      <c r="F147" s="100"/>
      <c r="G147" s="88"/>
      <c r="H147" s="88"/>
      <c r="I147" s="88"/>
      <c r="J147" s="88"/>
      <c r="K147" s="88"/>
      <c r="L147" s="88"/>
      <c r="M147" s="88"/>
      <c r="N147" s="88"/>
      <c r="O147" s="88"/>
      <c r="P147" s="88"/>
      <c r="Q147" s="88"/>
      <c r="R147" s="88"/>
      <c r="S147" s="88"/>
      <c r="T147" s="83"/>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3"/>
      <c r="AU147" s="83"/>
    </row>
    <row r="148" spans="1:47" ht="72.5" x14ac:dyDescent="0.35">
      <c r="A148" s="105"/>
      <c r="B148" s="101" t="s">
        <v>436</v>
      </c>
      <c r="C148" s="129" t="s">
        <v>549</v>
      </c>
      <c r="D148" s="102" t="s">
        <v>669</v>
      </c>
      <c r="E148" s="103" t="s">
        <v>670</v>
      </c>
      <c r="F148" s="104"/>
      <c r="G148" s="88"/>
      <c r="H148" s="88"/>
      <c r="I148" s="88"/>
      <c r="J148" s="88"/>
      <c r="K148" s="88"/>
      <c r="L148" s="88"/>
      <c r="M148" s="88"/>
      <c r="N148" s="88"/>
      <c r="O148" s="88"/>
      <c r="P148" s="88"/>
      <c r="Q148" s="88"/>
      <c r="R148" s="88"/>
      <c r="S148" s="88"/>
      <c r="T148" s="83"/>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3"/>
      <c r="AU148" s="83"/>
    </row>
    <row r="149" spans="1:47" x14ac:dyDescent="0.35">
      <c r="A149" s="105"/>
      <c r="B149" s="96" t="s">
        <v>722</v>
      </c>
      <c r="C149" s="97" t="s">
        <v>644</v>
      </c>
      <c r="D149" s="98"/>
      <c r="E149" s="234" t="s">
        <v>645</v>
      </c>
      <c r="F149" s="100"/>
      <c r="G149" s="88"/>
      <c r="H149" s="88"/>
      <c r="I149" s="88"/>
      <c r="J149" s="88"/>
      <c r="K149" s="88"/>
      <c r="L149" s="88"/>
      <c r="M149" s="88"/>
      <c r="N149" s="88"/>
      <c r="O149" s="88"/>
      <c r="P149" s="88"/>
      <c r="Q149" s="88"/>
      <c r="R149" s="88"/>
      <c r="S149" s="88"/>
      <c r="T149" s="83"/>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3"/>
      <c r="AU149" s="83"/>
    </row>
    <row r="150" spans="1:47" ht="43.5" x14ac:dyDescent="0.35">
      <c r="A150" s="105"/>
      <c r="B150" s="101" t="s">
        <v>436</v>
      </c>
      <c r="C150" s="129" t="s">
        <v>549</v>
      </c>
      <c r="D150" s="102" t="s">
        <v>646</v>
      </c>
      <c r="E150" s="103" t="s">
        <v>647</v>
      </c>
      <c r="F150" s="104"/>
      <c r="G150" s="88"/>
      <c r="H150" s="88"/>
      <c r="I150" s="88"/>
      <c r="J150" s="88"/>
      <c r="K150" s="88"/>
      <c r="L150" s="88"/>
      <c r="M150" s="88"/>
      <c r="N150" s="88"/>
      <c r="O150" s="88"/>
      <c r="P150" s="88"/>
      <c r="Q150" s="88"/>
      <c r="R150" s="88"/>
      <c r="S150" s="88"/>
      <c r="T150" s="83"/>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8"/>
      <c r="AT150" s="83"/>
      <c r="AU150" s="83"/>
    </row>
    <row r="151" spans="1:47" ht="43.5" x14ac:dyDescent="0.35">
      <c r="A151" s="105"/>
      <c r="B151" s="101" t="s">
        <v>436</v>
      </c>
      <c r="C151" s="129" t="s">
        <v>549</v>
      </c>
      <c r="D151" s="102" t="s">
        <v>671</v>
      </c>
      <c r="E151" s="103" t="s">
        <v>685</v>
      </c>
      <c r="F151" s="104"/>
      <c r="G151" s="88"/>
      <c r="H151" s="88"/>
      <c r="I151" s="88"/>
      <c r="J151" s="88"/>
      <c r="K151" s="88"/>
      <c r="L151" s="88"/>
      <c r="M151" s="88"/>
      <c r="N151" s="88"/>
      <c r="O151" s="88"/>
      <c r="P151" s="88"/>
      <c r="Q151" s="88"/>
      <c r="R151" s="88"/>
      <c r="S151" s="88"/>
      <c r="T151" s="83"/>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3"/>
      <c r="AU151" s="83"/>
    </row>
    <row r="152" spans="1:47" ht="29" x14ac:dyDescent="0.35">
      <c r="A152" s="105"/>
      <c r="B152" s="101" t="s">
        <v>436</v>
      </c>
      <c r="C152" s="129" t="s">
        <v>549</v>
      </c>
      <c r="D152" s="102" t="s">
        <v>666</v>
      </c>
      <c r="E152" s="103" t="s">
        <v>714</v>
      </c>
      <c r="F152" s="104"/>
      <c r="G152" s="88"/>
      <c r="H152" s="88"/>
      <c r="I152" s="88"/>
      <c r="J152" s="88"/>
      <c r="K152" s="88"/>
      <c r="L152" s="88"/>
      <c r="M152" s="88"/>
      <c r="N152" s="88"/>
      <c r="O152" s="88"/>
      <c r="P152" s="88"/>
      <c r="Q152" s="88"/>
      <c r="R152" s="88"/>
      <c r="S152" s="88"/>
      <c r="T152" s="83"/>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3"/>
      <c r="AU152" s="83"/>
    </row>
    <row r="153" spans="1:47" x14ac:dyDescent="0.35">
      <c r="A153" s="105"/>
      <c r="B153" s="96" t="s">
        <v>723</v>
      </c>
      <c r="C153" s="97" t="s">
        <v>675</v>
      </c>
      <c r="D153" s="98"/>
      <c r="E153" s="234"/>
      <c r="F153" s="100"/>
      <c r="G153" s="88"/>
      <c r="H153" s="88"/>
      <c r="I153" s="88"/>
      <c r="J153" s="88"/>
      <c r="K153" s="88"/>
      <c r="L153" s="88"/>
      <c r="M153" s="88"/>
      <c r="N153" s="88"/>
      <c r="O153" s="88"/>
      <c r="P153" s="88"/>
      <c r="Q153" s="88"/>
      <c r="R153" s="88"/>
      <c r="S153" s="88"/>
      <c r="T153" s="83"/>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3"/>
      <c r="AU153" s="83"/>
    </row>
    <row r="154" spans="1:47" ht="174" x14ac:dyDescent="0.35">
      <c r="A154" s="105"/>
      <c r="B154" s="96" t="s">
        <v>724</v>
      </c>
      <c r="C154" s="97" t="s">
        <v>725</v>
      </c>
      <c r="D154" s="98"/>
      <c r="E154" s="238" t="s">
        <v>622</v>
      </c>
      <c r="F154" s="100"/>
      <c r="G154" s="88"/>
      <c r="H154" s="88"/>
      <c r="I154" s="88"/>
      <c r="J154" s="88"/>
      <c r="K154" s="88"/>
      <c r="L154" s="88"/>
      <c r="M154" s="88"/>
      <c r="N154" s="88"/>
      <c r="O154" s="88"/>
      <c r="P154" s="88"/>
      <c r="Q154" s="88"/>
      <c r="R154" s="88"/>
      <c r="S154" s="88"/>
      <c r="T154" s="83"/>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3"/>
      <c r="AU154" s="83"/>
    </row>
    <row r="155" spans="1:47" ht="72.5" x14ac:dyDescent="0.35">
      <c r="A155" s="105"/>
      <c r="B155" s="101" t="s">
        <v>436</v>
      </c>
      <c r="C155" s="129" t="s">
        <v>549</v>
      </c>
      <c r="D155" s="102" t="s">
        <v>726</v>
      </c>
      <c r="E155" s="103" t="s">
        <v>727</v>
      </c>
      <c r="F155" s="104"/>
      <c r="G155" s="88"/>
      <c r="H155" s="88"/>
      <c r="I155" s="88"/>
      <c r="J155" s="88"/>
      <c r="K155" s="88"/>
      <c r="L155" s="88"/>
      <c r="M155" s="88"/>
      <c r="N155" s="88"/>
      <c r="O155" s="88"/>
      <c r="P155" s="88"/>
      <c r="Q155" s="88"/>
      <c r="R155" s="88"/>
      <c r="S155" s="88"/>
      <c r="T155" s="83"/>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3"/>
      <c r="AU155" s="83"/>
    </row>
    <row r="156" spans="1:47" x14ac:dyDescent="0.35">
      <c r="A156" s="105"/>
      <c r="B156" s="96" t="s">
        <v>728</v>
      </c>
      <c r="C156" s="97" t="s">
        <v>644</v>
      </c>
      <c r="D156" s="98"/>
      <c r="E156" s="234" t="s">
        <v>645</v>
      </c>
      <c r="F156" s="100"/>
      <c r="G156" s="88"/>
      <c r="H156" s="88"/>
      <c r="I156" s="88"/>
      <c r="J156" s="88"/>
      <c r="K156" s="88"/>
      <c r="L156" s="88"/>
      <c r="M156" s="88"/>
      <c r="N156" s="88"/>
      <c r="O156" s="88"/>
      <c r="P156" s="88"/>
      <c r="Q156" s="88"/>
      <c r="R156" s="88"/>
      <c r="S156" s="88"/>
      <c r="T156" s="83"/>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3"/>
      <c r="AU156" s="83"/>
    </row>
    <row r="157" spans="1:47" ht="43.5" x14ac:dyDescent="0.35">
      <c r="A157" s="105"/>
      <c r="B157" s="101" t="s">
        <v>436</v>
      </c>
      <c r="C157" s="129" t="s">
        <v>549</v>
      </c>
      <c r="D157" s="102" t="s">
        <v>646</v>
      </c>
      <c r="E157" s="103" t="s">
        <v>647</v>
      </c>
      <c r="F157" s="104"/>
      <c r="G157" s="88"/>
      <c r="H157" s="88"/>
      <c r="I157" s="88"/>
      <c r="J157" s="88"/>
      <c r="K157" s="88"/>
      <c r="L157" s="88"/>
      <c r="M157" s="88"/>
      <c r="N157" s="88"/>
      <c r="O157" s="88"/>
      <c r="P157" s="88"/>
      <c r="Q157" s="88"/>
      <c r="R157" s="88"/>
      <c r="S157" s="88"/>
      <c r="T157" s="83"/>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c r="AQ157" s="88"/>
      <c r="AR157" s="88"/>
      <c r="AS157" s="88"/>
      <c r="AT157" s="83"/>
      <c r="AU157" s="83"/>
    </row>
    <row r="158" spans="1:47" ht="43.5" x14ac:dyDescent="0.35">
      <c r="A158" s="105"/>
      <c r="B158" s="101" t="s">
        <v>436</v>
      </c>
      <c r="C158" s="129" t="s">
        <v>549</v>
      </c>
      <c r="D158" s="102" t="s">
        <v>671</v>
      </c>
      <c r="E158" s="103" t="s">
        <v>685</v>
      </c>
      <c r="F158" s="104"/>
      <c r="G158" s="88"/>
      <c r="H158" s="88"/>
      <c r="I158" s="88"/>
      <c r="J158" s="88"/>
      <c r="K158" s="88"/>
      <c r="L158" s="88"/>
      <c r="M158" s="88"/>
      <c r="N158" s="88"/>
      <c r="O158" s="88"/>
      <c r="P158" s="88"/>
      <c r="Q158" s="88"/>
      <c r="R158" s="88"/>
      <c r="S158" s="88"/>
      <c r="T158" s="83"/>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c r="AQ158" s="88"/>
      <c r="AR158" s="88"/>
      <c r="AS158" s="88"/>
      <c r="AT158" s="83"/>
      <c r="AU158" s="83"/>
    </row>
    <row r="159" spans="1:47" ht="29" x14ac:dyDescent="0.35">
      <c r="A159" s="105"/>
      <c r="B159" s="101" t="s">
        <v>436</v>
      </c>
      <c r="C159" s="129" t="s">
        <v>549</v>
      </c>
      <c r="D159" s="102" t="s">
        <v>666</v>
      </c>
      <c r="E159" s="103" t="s">
        <v>714</v>
      </c>
      <c r="F159" s="104"/>
      <c r="G159" s="88"/>
      <c r="H159" s="88"/>
      <c r="I159" s="88"/>
      <c r="J159" s="88"/>
      <c r="K159" s="88"/>
      <c r="L159" s="88"/>
      <c r="M159" s="88"/>
      <c r="N159" s="88"/>
      <c r="O159" s="88"/>
      <c r="P159" s="88"/>
      <c r="Q159" s="88"/>
      <c r="R159" s="88"/>
      <c r="S159" s="88"/>
      <c r="T159" s="83"/>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c r="AQ159" s="88"/>
      <c r="AR159" s="88"/>
      <c r="AS159" s="88"/>
      <c r="AT159" s="83"/>
      <c r="AU159" s="83"/>
    </row>
    <row r="160" spans="1:47" ht="15.5" x14ac:dyDescent="0.35">
      <c r="A160" s="105"/>
      <c r="B160" s="92" t="s">
        <v>729</v>
      </c>
      <c r="C160" s="413" t="s">
        <v>730</v>
      </c>
      <c r="D160" s="414"/>
      <c r="E160" s="414"/>
      <c r="F160" s="415"/>
      <c r="G160" s="88"/>
      <c r="H160" s="88"/>
      <c r="I160" s="88"/>
      <c r="J160" s="88"/>
      <c r="K160" s="88"/>
      <c r="L160" s="88"/>
      <c r="M160" s="88"/>
      <c r="N160" s="88"/>
      <c r="O160" s="88"/>
      <c r="P160" s="88"/>
      <c r="Q160" s="88"/>
      <c r="R160" s="88"/>
      <c r="S160" s="88"/>
      <c r="T160" s="83"/>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c r="AQ160" s="88"/>
      <c r="AR160" s="88"/>
      <c r="AS160" s="88"/>
      <c r="AT160" s="83"/>
      <c r="AU160" s="83"/>
    </row>
    <row r="161" spans="1:47" x14ac:dyDescent="0.35">
      <c r="A161" s="105"/>
      <c r="B161" s="95" t="s">
        <v>545</v>
      </c>
      <c r="C161" s="416" t="s">
        <v>605</v>
      </c>
      <c r="D161" s="417"/>
      <c r="E161" s="417"/>
      <c r="F161" s="418"/>
      <c r="G161" s="88"/>
      <c r="H161" s="88"/>
      <c r="I161" s="88"/>
      <c r="J161" s="88"/>
      <c r="K161" s="88"/>
      <c r="L161" s="88"/>
      <c r="M161" s="88"/>
      <c r="N161" s="88"/>
      <c r="O161" s="88"/>
      <c r="P161" s="88"/>
      <c r="Q161" s="88"/>
      <c r="R161" s="88"/>
      <c r="S161" s="88"/>
      <c r="T161" s="83"/>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3"/>
      <c r="AU161" s="83"/>
    </row>
    <row r="162" spans="1:47" ht="174" x14ac:dyDescent="0.35">
      <c r="A162" s="105"/>
      <c r="B162" s="96" t="s">
        <v>731</v>
      </c>
      <c r="C162" s="97" t="s">
        <v>732</v>
      </c>
      <c r="D162" s="98"/>
      <c r="E162" s="234" t="s">
        <v>607</v>
      </c>
      <c r="F162" s="100"/>
      <c r="G162" s="88"/>
      <c r="H162" s="88"/>
      <c r="I162" s="88"/>
      <c r="J162" s="88"/>
      <c r="K162" s="88"/>
      <c r="L162" s="88"/>
      <c r="M162" s="88"/>
      <c r="N162" s="88"/>
      <c r="O162" s="88"/>
      <c r="P162" s="88"/>
      <c r="Q162" s="88"/>
      <c r="R162" s="88"/>
      <c r="S162" s="88"/>
      <c r="T162" s="83"/>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3"/>
      <c r="AU162" s="83"/>
    </row>
    <row r="163" spans="1:47" ht="145" x14ac:dyDescent="0.35">
      <c r="A163" s="105"/>
      <c r="B163" s="101" t="s">
        <v>437</v>
      </c>
      <c r="C163" s="129" t="s">
        <v>549</v>
      </c>
      <c r="D163" s="102" t="s">
        <v>733</v>
      </c>
      <c r="E163" s="103" t="s">
        <v>734</v>
      </c>
      <c r="F163" s="104"/>
      <c r="G163" s="88"/>
      <c r="H163" s="88"/>
      <c r="I163" s="88"/>
      <c r="J163" s="88"/>
      <c r="K163" s="88"/>
      <c r="L163" s="88"/>
      <c r="M163" s="88"/>
      <c r="N163" s="88"/>
      <c r="O163" s="88"/>
      <c r="P163" s="88"/>
      <c r="Q163" s="88"/>
      <c r="R163" s="88"/>
      <c r="S163" s="88"/>
      <c r="T163" s="83"/>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3"/>
      <c r="AU163" s="83"/>
    </row>
    <row r="164" spans="1:47" x14ac:dyDescent="0.35">
      <c r="A164" s="105"/>
      <c r="B164" s="96" t="s">
        <v>735</v>
      </c>
      <c r="C164" s="97" t="s">
        <v>675</v>
      </c>
      <c r="D164" s="98"/>
      <c r="E164" s="234"/>
      <c r="F164" s="100"/>
      <c r="G164" s="88"/>
      <c r="H164" s="88"/>
      <c r="I164" s="88"/>
      <c r="J164" s="88"/>
      <c r="K164" s="88"/>
      <c r="L164" s="88"/>
      <c r="M164" s="88"/>
      <c r="N164" s="88"/>
      <c r="O164" s="88"/>
      <c r="P164" s="88"/>
      <c r="Q164" s="88"/>
      <c r="R164" s="88"/>
      <c r="S164" s="88"/>
      <c r="T164" s="83"/>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3"/>
      <c r="AU164" s="83"/>
    </row>
    <row r="165" spans="1:47" ht="174" x14ac:dyDescent="0.35">
      <c r="A165" s="105"/>
      <c r="B165" s="96" t="s">
        <v>736</v>
      </c>
      <c r="C165" s="97" t="s">
        <v>737</v>
      </c>
      <c r="D165" s="98"/>
      <c r="E165" s="238" t="s">
        <v>622</v>
      </c>
      <c r="F165" s="100"/>
      <c r="G165" s="88"/>
      <c r="H165" s="88"/>
      <c r="I165" s="88"/>
      <c r="J165" s="88"/>
      <c r="K165" s="88"/>
      <c r="L165" s="88"/>
      <c r="M165" s="88"/>
      <c r="N165" s="88"/>
      <c r="O165" s="88"/>
      <c r="P165" s="88"/>
      <c r="Q165" s="88"/>
      <c r="R165" s="88"/>
      <c r="S165" s="88"/>
      <c r="T165" s="83"/>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c r="AQ165" s="88"/>
      <c r="AR165" s="88"/>
      <c r="AS165" s="88"/>
      <c r="AT165" s="83"/>
      <c r="AU165" s="83"/>
    </row>
    <row r="166" spans="1:47" ht="145" x14ac:dyDescent="0.35">
      <c r="A166" s="105"/>
      <c r="B166" s="101" t="s">
        <v>437</v>
      </c>
      <c r="C166" s="129" t="s">
        <v>549</v>
      </c>
      <c r="D166" s="102" t="s">
        <v>733</v>
      </c>
      <c r="E166" s="103" t="s">
        <v>734</v>
      </c>
      <c r="F166" s="104"/>
      <c r="G166" s="88"/>
      <c r="H166" s="88"/>
      <c r="I166" s="88"/>
      <c r="J166" s="88"/>
      <c r="K166" s="88"/>
      <c r="L166" s="88"/>
      <c r="M166" s="88"/>
      <c r="N166" s="88"/>
      <c r="O166" s="88"/>
      <c r="P166" s="88"/>
      <c r="Q166" s="88"/>
      <c r="R166" s="88"/>
      <c r="S166" s="88"/>
      <c r="T166" s="83"/>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c r="AQ166" s="88"/>
      <c r="AR166" s="88"/>
      <c r="AS166" s="88"/>
      <c r="AT166" s="83"/>
      <c r="AU166" s="83"/>
    </row>
    <row r="167" spans="1:47" x14ac:dyDescent="0.35">
      <c r="A167" s="105"/>
      <c r="B167" s="96" t="s">
        <v>738</v>
      </c>
      <c r="C167" s="97" t="s">
        <v>675</v>
      </c>
      <c r="D167" s="98"/>
      <c r="E167" s="234"/>
      <c r="F167" s="100"/>
      <c r="G167" s="88"/>
      <c r="H167" s="88"/>
      <c r="I167" s="88"/>
      <c r="J167" s="88"/>
      <c r="K167" s="88"/>
      <c r="L167" s="88"/>
      <c r="M167" s="88"/>
      <c r="N167" s="88"/>
      <c r="O167" s="88"/>
      <c r="P167" s="88"/>
      <c r="Q167" s="88"/>
      <c r="R167" s="88"/>
      <c r="S167" s="88"/>
      <c r="T167" s="83"/>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c r="AQ167" s="88"/>
      <c r="AR167" s="88"/>
      <c r="AS167" s="88"/>
      <c r="AT167" s="83"/>
      <c r="AU167" s="83"/>
    </row>
    <row r="168" spans="1:47" ht="174" x14ac:dyDescent="0.35">
      <c r="A168" s="105"/>
      <c r="B168" s="96" t="s">
        <v>739</v>
      </c>
      <c r="C168" s="97" t="s">
        <v>740</v>
      </c>
      <c r="D168" s="98"/>
      <c r="E168" s="234" t="s">
        <v>607</v>
      </c>
      <c r="F168" s="100"/>
      <c r="G168" s="88"/>
      <c r="H168" s="88"/>
      <c r="I168" s="88"/>
      <c r="J168" s="88"/>
      <c r="K168" s="88"/>
      <c r="L168" s="88"/>
      <c r="M168" s="88"/>
      <c r="N168" s="88"/>
      <c r="O168" s="88"/>
      <c r="P168" s="88"/>
      <c r="Q168" s="88"/>
      <c r="R168" s="88"/>
      <c r="S168" s="88"/>
      <c r="T168" s="83"/>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c r="AQ168" s="88"/>
      <c r="AR168" s="88"/>
      <c r="AS168" s="88"/>
      <c r="AT168" s="83"/>
      <c r="AU168" s="83"/>
    </row>
    <row r="169" spans="1:47" ht="145" x14ac:dyDescent="0.35">
      <c r="A169" s="105"/>
      <c r="B169" s="101" t="s">
        <v>437</v>
      </c>
      <c r="C169" s="129" t="s">
        <v>549</v>
      </c>
      <c r="D169" s="102" t="s">
        <v>733</v>
      </c>
      <c r="E169" s="103" t="s">
        <v>734</v>
      </c>
      <c r="F169" s="104"/>
      <c r="G169" s="88"/>
      <c r="H169" s="88"/>
      <c r="I169" s="88"/>
      <c r="J169" s="88"/>
      <c r="K169" s="88"/>
      <c r="L169" s="88"/>
      <c r="M169" s="88"/>
      <c r="N169" s="88"/>
      <c r="O169" s="88"/>
      <c r="P169" s="88"/>
      <c r="Q169" s="88"/>
      <c r="R169" s="88"/>
      <c r="S169" s="88"/>
      <c r="T169" s="83"/>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c r="AQ169" s="88"/>
      <c r="AR169" s="88"/>
      <c r="AS169" s="88"/>
      <c r="AT169" s="83"/>
      <c r="AU169" s="83"/>
    </row>
    <row r="170" spans="1:47" x14ac:dyDescent="0.35">
      <c r="A170" s="105"/>
      <c r="B170" s="96" t="s">
        <v>741</v>
      </c>
      <c r="C170" s="97" t="s">
        <v>675</v>
      </c>
      <c r="D170" s="98"/>
      <c r="E170" s="234"/>
      <c r="F170" s="100"/>
      <c r="G170" s="88"/>
      <c r="H170" s="88"/>
      <c r="I170" s="88"/>
      <c r="J170" s="88"/>
      <c r="K170" s="88"/>
      <c r="L170" s="88"/>
      <c r="M170" s="88"/>
      <c r="N170" s="88"/>
      <c r="O170" s="88"/>
      <c r="P170" s="88"/>
      <c r="Q170" s="88"/>
      <c r="R170" s="88"/>
      <c r="S170" s="88"/>
      <c r="T170" s="83"/>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c r="AQ170" s="88"/>
      <c r="AR170" s="88"/>
      <c r="AS170" s="88"/>
      <c r="AT170" s="83"/>
      <c r="AU170" s="83"/>
    </row>
    <row r="171" spans="1:47" ht="174" x14ac:dyDescent="0.35">
      <c r="A171" s="105"/>
      <c r="B171" s="96" t="s">
        <v>742</v>
      </c>
      <c r="C171" s="97" t="s">
        <v>743</v>
      </c>
      <c r="D171" s="98"/>
      <c r="E171" s="238" t="s">
        <v>622</v>
      </c>
      <c r="F171" s="100"/>
      <c r="G171" s="88"/>
      <c r="H171" s="88"/>
      <c r="I171" s="88"/>
      <c r="J171" s="88"/>
      <c r="K171" s="88"/>
      <c r="L171" s="88"/>
      <c r="M171" s="88"/>
      <c r="N171" s="88"/>
      <c r="O171" s="88"/>
      <c r="P171" s="88"/>
      <c r="Q171" s="88"/>
      <c r="R171" s="88"/>
      <c r="S171" s="88"/>
      <c r="T171" s="83"/>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c r="AQ171" s="88"/>
      <c r="AR171" s="88"/>
      <c r="AS171" s="88"/>
      <c r="AT171" s="83"/>
      <c r="AU171" s="83"/>
    </row>
    <row r="172" spans="1:47" ht="145" x14ac:dyDescent="0.35">
      <c r="A172" s="105"/>
      <c r="B172" s="101" t="s">
        <v>437</v>
      </c>
      <c r="C172" s="129" t="s">
        <v>549</v>
      </c>
      <c r="D172" s="102" t="s">
        <v>733</v>
      </c>
      <c r="E172" s="103" t="s">
        <v>734</v>
      </c>
      <c r="F172" s="104"/>
      <c r="G172" s="88"/>
      <c r="H172" s="88"/>
      <c r="I172" s="88"/>
      <c r="J172" s="88"/>
      <c r="K172" s="88"/>
      <c r="L172" s="88"/>
      <c r="M172" s="88"/>
      <c r="N172" s="88"/>
      <c r="O172" s="88"/>
      <c r="P172" s="88"/>
      <c r="Q172" s="88"/>
      <c r="R172" s="88"/>
      <c r="S172" s="88"/>
      <c r="T172" s="83"/>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c r="AQ172" s="88"/>
      <c r="AR172" s="88"/>
      <c r="AS172" s="88"/>
      <c r="AT172" s="83"/>
      <c r="AU172" s="83"/>
    </row>
    <row r="173" spans="1:47" ht="15.5" x14ac:dyDescent="0.35">
      <c r="A173" s="105"/>
      <c r="B173" s="92" t="s">
        <v>744</v>
      </c>
      <c r="C173" s="413" t="s">
        <v>745</v>
      </c>
      <c r="D173" s="414"/>
      <c r="E173" s="414"/>
      <c r="F173" s="415"/>
      <c r="G173" s="88"/>
      <c r="H173" s="88"/>
      <c r="I173" s="88"/>
      <c r="J173" s="88"/>
      <c r="K173" s="88"/>
      <c r="L173" s="88"/>
      <c r="M173" s="88"/>
      <c r="N173" s="88"/>
      <c r="O173" s="88"/>
      <c r="P173" s="88"/>
      <c r="Q173" s="88"/>
      <c r="R173" s="88"/>
      <c r="S173" s="88"/>
      <c r="T173" s="83"/>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c r="AQ173" s="88"/>
      <c r="AR173" s="88"/>
      <c r="AS173" s="88"/>
      <c r="AT173" s="83"/>
      <c r="AU173" s="83"/>
    </row>
    <row r="174" spans="1:47" x14ac:dyDescent="0.35">
      <c r="A174" s="105"/>
      <c r="B174" s="95" t="s">
        <v>545</v>
      </c>
      <c r="C174" s="416" t="s">
        <v>605</v>
      </c>
      <c r="D174" s="417"/>
      <c r="E174" s="417"/>
      <c r="F174" s="418"/>
      <c r="G174" s="88"/>
      <c r="H174" s="88"/>
      <c r="I174" s="88"/>
      <c r="J174" s="88"/>
      <c r="K174" s="88"/>
      <c r="L174" s="88"/>
      <c r="M174" s="88"/>
      <c r="N174" s="88"/>
      <c r="O174" s="88"/>
      <c r="P174" s="88"/>
      <c r="Q174" s="88"/>
      <c r="R174" s="88"/>
      <c r="S174" s="88"/>
      <c r="T174" s="83"/>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3"/>
      <c r="AU174" s="83"/>
    </row>
    <row r="175" spans="1:47" ht="174" x14ac:dyDescent="0.35">
      <c r="A175" s="105"/>
      <c r="B175" s="96" t="s">
        <v>746</v>
      </c>
      <c r="C175" s="97" t="s">
        <v>747</v>
      </c>
      <c r="D175" s="98"/>
      <c r="E175" s="234" t="s">
        <v>607</v>
      </c>
      <c r="F175" s="100"/>
      <c r="G175" s="88"/>
      <c r="H175" s="88"/>
      <c r="I175" s="88"/>
      <c r="J175" s="88"/>
      <c r="K175" s="88"/>
      <c r="L175" s="88"/>
      <c r="M175" s="88"/>
      <c r="N175" s="88"/>
      <c r="O175" s="88"/>
      <c r="P175" s="88"/>
      <c r="Q175" s="88"/>
      <c r="R175" s="88"/>
      <c r="S175" s="88"/>
      <c r="T175" s="83"/>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3"/>
      <c r="AU175" s="83"/>
    </row>
    <row r="176" spans="1:47" ht="145" x14ac:dyDescent="0.35">
      <c r="A176" s="105"/>
      <c r="B176" s="101" t="s">
        <v>438</v>
      </c>
      <c r="C176" s="129" t="s">
        <v>549</v>
      </c>
      <c r="D176" s="102" t="s">
        <v>733</v>
      </c>
      <c r="E176" s="103" t="s">
        <v>734</v>
      </c>
      <c r="F176" s="104"/>
      <c r="G176" s="88"/>
      <c r="H176" s="88"/>
      <c r="I176" s="88"/>
      <c r="J176" s="88"/>
      <c r="K176" s="88"/>
      <c r="L176" s="88"/>
      <c r="M176" s="88"/>
      <c r="N176" s="88"/>
      <c r="O176" s="88"/>
      <c r="P176" s="88"/>
      <c r="Q176" s="88"/>
      <c r="R176" s="88"/>
      <c r="S176" s="88"/>
      <c r="T176" s="83"/>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c r="AQ176" s="88"/>
      <c r="AR176" s="88"/>
      <c r="AS176" s="88"/>
      <c r="AT176" s="83"/>
      <c r="AU176" s="83"/>
    </row>
    <row r="177" spans="1:47" x14ac:dyDescent="0.35">
      <c r="A177" s="105"/>
      <c r="B177" s="96" t="s">
        <v>748</v>
      </c>
      <c r="C177" s="97" t="s">
        <v>675</v>
      </c>
      <c r="D177" s="98"/>
      <c r="E177" s="234"/>
      <c r="F177" s="100"/>
      <c r="G177" s="88"/>
      <c r="H177" s="88"/>
      <c r="I177" s="88"/>
      <c r="J177" s="88"/>
      <c r="K177" s="88"/>
      <c r="L177" s="88"/>
      <c r="M177" s="88"/>
      <c r="N177" s="88"/>
      <c r="O177" s="88"/>
      <c r="P177" s="88"/>
      <c r="Q177" s="88"/>
      <c r="R177" s="88"/>
      <c r="S177" s="88"/>
      <c r="T177" s="83"/>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c r="AQ177" s="88"/>
      <c r="AR177" s="88"/>
      <c r="AS177" s="88"/>
      <c r="AT177" s="83"/>
      <c r="AU177" s="83"/>
    </row>
    <row r="178" spans="1:47" ht="174" x14ac:dyDescent="0.35">
      <c r="A178" s="105"/>
      <c r="B178" s="96" t="s">
        <v>749</v>
      </c>
      <c r="C178" s="97" t="s">
        <v>750</v>
      </c>
      <c r="D178" s="98"/>
      <c r="E178" s="238" t="s">
        <v>622</v>
      </c>
      <c r="F178" s="100"/>
      <c r="G178" s="88"/>
      <c r="H178" s="88"/>
      <c r="I178" s="88"/>
      <c r="J178" s="88"/>
      <c r="K178" s="88"/>
      <c r="L178" s="88"/>
      <c r="M178" s="88"/>
      <c r="N178" s="88"/>
      <c r="O178" s="88"/>
      <c r="P178" s="88"/>
      <c r="Q178" s="88"/>
      <c r="R178" s="88"/>
      <c r="S178" s="88"/>
      <c r="T178" s="83"/>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c r="AQ178" s="88"/>
      <c r="AR178" s="88"/>
      <c r="AS178" s="88"/>
      <c r="AT178" s="83"/>
      <c r="AU178" s="83"/>
    </row>
    <row r="179" spans="1:47" ht="145" x14ac:dyDescent="0.35">
      <c r="A179" s="105"/>
      <c r="B179" s="101" t="s">
        <v>438</v>
      </c>
      <c r="C179" s="129" t="s">
        <v>549</v>
      </c>
      <c r="D179" s="102" t="s">
        <v>733</v>
      </c>
      <c r="E179" s="103" t="s">
        <v>734</v>
      </c>
      <c r="F179" s="104"/>
      <c r="G179" s="88"/>
      <c r="H179" s="88"/>
      <c r="I179" s="88"/>
      <c r="J179" s="88"/>
      <c r="K179" s="88"/>
      <c r="L179" s="88"/>
      <c r="M179" s="88"/>
      <c r="N179" s="88"/>
      <c r="O179" s="88"/>
      <c r="P179" s="88"/>
      <c r="Q179" s="88"/>
      <c r="R179" s="88"/>
      <c r="S179" s="88"/>
      <c r="T179" s="83"/>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c r="AQ179" s="88"/>
      <c r="AR179" s="88"/>
      <c r="AS179" s="88"/>
      <c r="AT179" s="83"/>
      <c r="AU179" s="83"/>
    </row>
    <row r="180" spans="1:47" x14ac:dyDescent="0.35">
      <c r="A180" s="105"/>
      <c r="B180" s="96" t="s">
        <v>751</v>
      </c>
      <c r="C180" s="97" t="s">
        <v>675</v>
      </c>
      <c r="D180" s="98"/>
      <c r="E180" s="234"/>
      <c r="F180" s="100"/>
      <c r="G180" s="88"/>
      <c r="H180" s="88"/>
      <c r="I180" s="88"/>
      <c r="J180" s="88"/>
      <c r="K180" s="88"/>
      <c r="L180" s="88"/>
      <c r="M180" s="88"/>
      <c r="N180" s="88"/>
      <c r="O180" s="88"/>
      <c r="P180" s="88"/>
      <c r="Q180" s="88"/>
      <c r="R180" s="88"/>
      <c r="S180" s="88"/>
      <c r="T180" s="83"/>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c r="AQ180" s="88"/>
      <c r="AR180" s="88"/>
      <c r="AS180" s="88"/>
      <c r="AT180" s="83"/>
      <c r="AU180" s="83"/>
    </row>
    <row r="181" spans="1:47" ht="174" x14ac:dyDescent="0.35">
      <c r="A181" s="105"/>
      <c r="B181" s="96" t="s">
        <v>752</v>
      </c>
      <c r="C181" s="97" t="s">
        <v>753</v>
      </c>
      <c r="D181" s="98"/>
      <c r="E181" s="234" t="s">
        <v>607</v>
      </c>
      <c r="F181" s="100"/>
      <c r="G181" s="88"/>
      <c r="H181" s="88"/>
      <c r="I181" s="88"/>
      <c r="J181" s="88"/>
      <c r="K181" s="88"/>
      <c r="L181" s="88"/>
      <c r="M181" s="88"/>
      <c r="N181" s="88"/>
      <c r="O181" s="88"/>
      <c r="P181" s="88"/>
      <c r="Q181" s="88"/>
      <c r="R181" s="88"/>
      <c r="S181" s="88"/>
      <c r="T181" s="83"/>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c r="AQ181" s="88"/>
      <c r="AR181" s="88"/>
      <c r="AS181" s="88"/>
      <c r="AT181" s="83"/>
      <c r="AU181" s="83"/>
    </row>
    <row r="182" spans="1:47" ht="145" x14ac:dyDescent="0.35">
      <c r="A182" s="105"/>
      <c r="B182" s="101" t="s">
        <v>438</v>
      </c>
      <c r="C182" s="129" t="s">
        <v>549</v>
      </c>
      <c r="D182" s="102" t="s">
        <v>733</v>
      </c>
      <c r="E182" s="103" t="s">
        <v>734</v>
      </c>
      <c r="F182" s="104"/>
      <c r="G182" s="88"/>
      <c r="H182" s="88"/>
      <c r="I182" s="88"/>
      <c r="J182" s="88"/>
      <c r="K182" s="88"/>
      <c r="L182" s="88"/>
      <c r="M182" s="88"/>
      <c r="N182" s="88"/>
      <c r="O182" s="88"/>
      <c r="P182" s="88"/>
      <c r="Q182" s="88"/>
      <c r="R182" s="88"/>
      <c r="S182" s="88"/>
      <c r="T182" s="83"/>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c r="AQ182" s="88"/>
      <c r="AR182" s="88"/>
      <c r="AS182" s="88"/>
      <c r="AT182" s="83"/>
      <c r="AU182" s="83"/>
    </row>
    <row r="183" spans="1:47" x14ac:dyDescent="0.35">
      <c r="A183" s="105"/>
      <c r="B183" s="96" t="s">
        <v>754</v>
      </c>
      <c r="C183" s="97" t="s">
        <v>675</v>
      </c>
      <c r="D183" s="98"/>
      <c r="E183" s="234"/>
      <c r="F183" s="100"/>
      <c r="G183" s="88"/>
      <c r="H183" s="88"/>
      <c r="I183" s="88"/>
      <c r="J183" s="88"/>
      <c r="K183" s="88"/>
      <c r="L183" s="88"/>
      <c r="M183" s="88"/>
      <c r="N183" s="88"/>
      <c r="O183" s="88"/>
      <c r="P183" s="88"/>
      <c r="Q183" s="88"/>
      <c r="R183" s="88"/>
      <c r="S183" s="88"/>
      <c r="T183" s="83"/>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3"/>
      <c r="AU183" s="83"/>
    </row>
    <row r="184" spans="1:47" ht="174" x14ac:dyDescent="0.35">
      <c r="A184" s="105"/>
      <c r="B184" s="96" t="s">
        <v>755</v>
      </c>
      <c r="C184" s="97" t="s">
        <v>756</v>
      </c>
      <c r="D184" s="98"/>
      <c r="E184" s="238" t="s">
        <v>622</v>
      </c>
      <c r="F184" s="100"/>
      <c r="G184" s="88"/>
      <c r="H184" s="88"/>
      <c r="I184" s="88"/>
      <c r="J184" s="88"/>
      <c r="K184" s="88"/>
      <c r="L184" s="88"/>
      <c r="M184" s="88"/>
      <c r="N184" s="88"/>
      <c r="O184" s="88"/>
      <c r="P184" s="88"/>
      <c r="Q184" s="88"/>
      <c r="R184" s="88"/>
      <c r="S184" s="88"/>
      <c r="T184" s="83"/>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3"/>
      <c r="AU184" s="83"/>
    </row>
    <row r="185" spans="1:47" ht="145" x14ac:dyDescent="0.35">
      <c r="A185" s="105"/>
      <c r="B185" s="101" t="s">
        <v>438</v>
      </c>
      <c r="C185" s="129" t="s">
        <v>549</v>
      </c>
      <c r="D185" s="102" t="s">
        <v>733</v>
      </c>
      <c r="E185" s="103" t="s">
        <v>734</v>
      </c>
      <c r="F185" s="104"/>
      <c r="G185" s="88"/>
      <c r="H185" s="88"/>
      <c r="I185" s="88"/>
      <c r="J185" s="88"/>
      <c r="K185" s="88"/>
      <c r="L185" s="88"/>
      <c r="M185" s="88"/>
      <c r="N185" s="88"/>
      <c r="O185" s="88"/>
      <c r="P185" s="88"/>
      <c r="Q185" s="88"/>
      <c r="R185" s="88"/>
      <c r="S185" s="88"/>
      <c r="T185" s="83"/>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3"/>
      <c r="AU185" s="83"/>
    </row>
    <row r="186" spans="1:47" ht="15.5" x14ac:dyDescent="0.35">
      <c r="A186" s="105"/>
      <c r="B186" s="92" t="s">
        <v>757</v>
      </c>
      <c r="C186" s="413" t="s">
        <v>758</v>
      </c>
      <c r="D186" s="414"/>
      <c r="E186" s="414"/>
      <c r="F186" s="415"/>
      <c r="G186" s="88"/>
      <c r="H186" s="88"/>
      <c r="I186" s="88"/>
      <c r="J186" s="88"/>
      <c r="K186" s="88"/>
      <c r="L186" s="88"/>
      <c r="M186" s="88"/>
      <c r="N186" s="88"/>
      <c r="O186" s="88"/>
      <c r="P186" s="88"/>
      <c r="Q186" s="88"/>
      <c r="R186" s="88"/>
      <c r="S186" s="88"/>
      <c r="T186" s="83"/>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3"/>
      <c r="AU186" s="83"/>
    </row>
    <row r="187" spans="1:47" x14ac:dyDescent="0.35">
      <c r="A187" s="105"/>
      <c r="B187" s="95" t="s">
        <v>545</v>
      </c>
      <c r="C187" s="416" t="s">
        <v>605</v>
      </c>
      <c r="D187" s="417"/>
      <c r="E187" s="417"/>
      <c r="F187" s="418"/>
      <c r="G187" s="88"/>
      <c r="H187" s="88"/>
      <c r="I187" s="88"/>
      <c r="J187" s="88"/>
      <c r="K187" s="88"/>
      <c r="L187" s="88"/>
      <c r="M187" s="88"/>
      <c r="N187" s="88"/>
      <c r="O187" s="88"/>
      <c r="P187" s="88"/>
      <c r="Q187" s="88"/>
      <c r="R187" s="88"/>
      <c r="S187" s="88"/>
      <c r="T187" s="83"/>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3"/>
      <c r="AU187" s="83"/>
    </row>
    <row r="188" spans="1:47" ht="174" x14ac:dyDescent="0.35">
      <c r="A188" s="105"/>
      <c r="B188" s="96" t="s">
        <v>759</v>
      </c>
      <c r="C188" s="97" t="s">
        <v>760</v>
      </c>
      <c r="D188" s="98"/>
      <c r="E188" s="234" t="s">
        <v>607</v>
      </c>
      <c r="F188" s="100"/>
      <c r="G188" s="88"/>
      <c r="H188" s="88"/>
      <c r="I188" s="88"/>
      <c r="J188" s="88"/>
      <c r="K188" s="88"/>
      <c r="L188" s="88"/>
      <c r="M188" s="88"/>
      <c r="N188" s="88"/>
      <c r="O188" s="88"/>
      <c r="P188" s="88"/>
      <c r="Q188" s="88"/>
      <c r="R188" s="88"/>
      <c r="S188" s="88"/>
      <c r="T188" s="83"/>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3"/>
      <c r="AU188" s="83"/>
    </row>
    <row r="189" spans="1:47" ht="145" x14ac:dyDescent="0.35">
      <c r="A189" s="105"/>
      <c r="B189" s="101" t="s">
        <v>439</v>
      </c>
      <c r="C189" s="129" t="s">
        <v>549</v>
      </c>
      <c r="D189" s="102" t="s">
        <v>733</v>
      </c>
      <c r="E189" s="103" t="s">
        <v>734</v>
      </c>
      <c r="F189" s="104"/>
      <c r="G189" s="88"/>
      <c r="H189" s="88"/>
      <c r="I189" s="88"/>
      <c r="J189" s="88"/>
      <c r="K189" s="88"/>
      <c r="L189" s="88"/>
      <c r="M189" s="88"/>
      <c r="N189" s="88"/>
      <c r="O189" s="88"/>
      <c r="P189" s="88"/>
      <c r="Q189" s="88"/>
      <c r="R189" s="88"/>
      <c r="S189" s="88"/>
      <c r="T189" s="83"/>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3"/>
      <c r="AU189" s="83"/>
    </row>
    <row r="190" spans="1:47" x14ac:dyDescent="0.35">
      <c r="A190" s="105"/>
      <c r="B190" s="96" t="s">
        <v>761</v>
      </c>
      <c r="C190" s="97" t="s">
        <v>675</v>
      </c>
      <c r="D190" s="98"/>
      <c r="E190" s="234"/>
      <c r="F190" s="100"/>
      <c r="G190" s="88"/>
      <c r="H190" s="88"/>
      <c r="I190" s="88"/>
      <c r="J190" s="88"/>
      <c r="K190" s="88"/>
      <c r="L190" s="88"/>
      <c r="M190" s="88"/>
      <c r="N190" s="88"/>
      <c r="O190" s="88"/>
      <c r="P190" s="88"/>
      <c r="Q190" s="88"/>
      <c r="R190" s="88"/>
      <c r="S190" s="88"/>
      <c r="T190" s="83"/>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3"/>
      <c r="AU190" s="83"/>
    </row>
    <row r="191" spans="1:47" ht="174" x14ac:dyDescent="0.35">
      <c r="A191" s="105"/>
      <c r="B191" s="96" t="s">
        <v>762</v>
      </c>
      <c r="C191" s="97" t="s">
        <v>763</v>
      </c>
      <c r="D191" s="98"/>
      <c r="E191" s="238" t="s">
        <v>622</v>
      </c>
      <c r="F191" s="100"/>
      <c r="G191" s="88"/>
      <c r="H191" s="88"/>
      <c r="I191" s="88"/>
      <c r="J191" s="88"/>
      <c r="K191" s="88"/>
      <c r="L191" s="88"/>
      <c r="M191" s="88"/>
      <c r="N191" s="88"/>
      <c r="O191" s="88"/>
      <c r="P191" s="88"/>
      <c r="Q191" s="88"/>
      <c r="R191" s="88"/>
      <c r="S191" s="88"/>
      <c r="T191" s="83"/>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3"/>
      <c r="AU191" s="83"/>
    </row>
    <row r="192" spans="1:47" ht="145" x14ac:dyDescent="0.35">
      <c r="A192" s="105"/>
      <c r="B192" s="101" t="s">
        <v>439</v>
      </c>
      <c r="C192" s="129" t="s">
        <v>549</v>
      </c>
      <c r="D192" s="102" t="s">
        <v>733</v>
      </c>
      <c r="E192" s="103" t="s">
        <v>734</v>
      </c>
      <c r="F192" s="104"/>
      <c r="G192" s="88"/>
      <c r="H192" s="88"/>
      <c r="I192" s="88"/>
      <c r="J192" s="88"/>
      <c r="K192" s="88"/>
      <c r="L192" s="88"/>
      <c r="M192" s="88"/>
      <c r="N192" s="88"/>
      <c r="O192" s="88"/>
      <c r="P192" s="88"/>
      <c r="Q192" s="88"/>
      <c r="R192" s="88"/>
      <c r="S192" s="88"/>
      <c r="T192" s="83"/>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3"/>
      <c r="AU192" s="83"/>
    </row>
    <row r="193" spans="1:47" x14ac:dyDescent="0.35">
      <c r="A193" s="105"/>
      <c r="B193" s="96" t="s">
        <v>764</v>
      </c>
      <c r="C193" s="97" t="s">
        <v>675</v>
      </c>
      <c r="D193" s="98"/>
      <c r="E193" s="234"/>
      <c r="F193" s="100"/>
      <c r="G193" s="88"/>
      <c r="H193" s="88"/>
      <c r="I193" s="88"/>
      <c r="J193" s="88"/>
      <c r="K193" s="88"/>
      <c r="L193" s="88"/>
      <c r="M193" s="88"/>
      <c r="N193" s="88"/>
      <c r="O193" s="88"/>
      <c r="P193" s="88"/>
      <c r="Q193" s="88"/>
      <c r="R193" s="88"/>
      <c r="S193" s="88"/>
      <c r="T193" s="83"/>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3"/>
      <c r="AU193" s="83"/>
    </row>
    <row r="194" spans="1:47" ht="174" x14ac:dyDescent="0.35">
      <c r="A194" s="105"/>
      <c r="B194" s="96" t="s">
        <v>765</v>
      </c>
      <c r="C194" s="97" t="s">
        <v>766</v>
      </c>
      <c r="D194" s="98"/>
      <c r="E194" s="234" t="s">
        <v>607</v>
      </c>
      <c r="F194" s="100"/>
      <c r="G194" s="88"/>
      <c r="H194" s="88"/>
      <c r="I194" s="88"/>
      <c r="J194" s="88"/>
      <c r="K194" s="88"/>
      <c r="L194" s="88"/>
      <c r="M194" s="88"/>
      <c r="N194" s="88"/>
      <c r="O194" s="88"/>
      <c r="P194" s="88"/>
      <c r="Q194" s="88"/>
      <c r="R194" s="88"/>
      <c r="S194" s="88"/>
      <c r="T194" s="83"/>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3"/>
      <c r="AU194" s="83"/>
    </row>
    <row r="195" spans="1:47" ht="145" x14ac:dyDescent="0.35">
      <c r="A195" s="105"/>
      <c r="B195" s="101" t="s">
        <v>439</v>
      </c>
      <c r="C195" s="129" t="s">
        <v>549</v>
      </c>
      <c r="D195" s="102" t="s">
        <v>733</v>
      </c>
      <c r="E195" s="103" t="s">
        <v>734</v>
      </c>
      <c r="F195" s="104"/>
      <c r="G195" s="88"/>
      <c r="H195" s="88"/>
      <c r="I195" s="88"/>
      <c r="J195" s="88"/>
      <c r="K195" s="88"/>
      <c r="L195" s="88"/>
      <c r="M195" s="88"/>
      <c r="N195" s="88"/>
      <c r="O195" s="88"/>
      <c r="P195" s="88"/>
      <c r="Q195" s="88"/>
      <c r="R195" s="88"/>
      <c r="S195" s="88"/>
      <c r="T195" s="83"/>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3"/>
      <c r="AU195" s="83"/>
    </row>
    <row r="196" spans="1:47" x14ac:dyDescent="0.35">
      <c r="A196" s="105"/>
      <c r="B196" s="96" t="s">
        <v>767</v>
      </c>
      <c r="C196" s="97" t="s">
        <v>675</v>
      </c>
      <c r="D196" s="98"/>
      <c r="E196" s="234"/>
      <c r="F196" s="100"/>
      <c r="G196" s="88"/>
      <c r="H196" s="88"/>
      <c r="I196" s="88"/>
      <c r="J196" s="88"/>
      <c r="K196" s="88"/>
      <c r="L196" s="88"/>
      <c r="M196" s="88"/>
      <c r="N196" s="88"/>
      <c r="O196" s="88"/>
      <c r="P196" s="88"/>
      <c r="Q196" s="88"/>
      <c r="R196" s="88"/>
      <c r="S196" s="88"/>
      <c r="T196" s="83"/>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3"/>
      <c r="AU196" s="83"/>
    </row>
    <row r="197" spans="1:47" ht="174" x14ac:dyDescent="0.35">
      <c r="A197" s="105"/>
      <c r="B197" s="96" t="s">
        <v>768</v>
      </c>
      <c r="C197" s="97" t="s">
        <v>769</v>
      </c>
      <c r="D197" s="98"/>
      <c r="E197" s="238" t="s">
        <v>622</v>
      </c>
      <c r="F197" s="100"/>
      <c r="G197" s="88"/>
      <c r="H197" s="88"/>
      <c r="I197" s="88"/>
      <c r="J197" s="88"/>
      <c r="K197" s="88"/>
      <c r="L197" s="88"/>
      <c r="M197" s="88"/>
      <c r="N197" s="88"/>
      <c r="O197" s="88"/>
      <c r="P197" s="88"/>
      <c r="Q197" s="88"/>
      <c r="R197" s="88"/>
      <c r="S197" s="88"/>
      <c r="T197" s="83"/>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3"/>
      <c r="AU197" s="83"/>
    </row>
    <row r="198" spans="1:47" ht="145" x14ac:dyDescent="0.35">
      <c r="A198" s="105"/>
      <c r="B198" s="101" t="s">
        <v>439</v>
      </c>
      <c r="C198" s="129" t="s">
        <v>549</v>
      </c>
      <c r="D198" s="102" t="s">
        <v>733</v>
      </c>
      <c r="E198" s="103" t="s">
        <v>734</v>
      </c>
      <c r="F198" s="104"/>
      <c r="G198" s="88"/>
      <c r="H198" s="88"/>
      <c r="I198" s="88"/>
      <c r="J198" s="88"/>
      <c r="K198" s="88"/>
      <c r="L198" s="88"/>
      <c r="M198" s="88"/>
      <c r="N198" s="88"/>
      <c r="O198" s="88"/>
      <c r="P198" s="88"/>
      <c r="Q198" s="88"/>
      <c r="R198" s="88"/>
      <c r="S198" s="88"/>
      <c r="T198" s="83"/>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3"/>
      <c r="AU198" s="83"/>
    </row>
    <row r="199" spans="1:47" ht="15.5" x14ac:dyDescent="0.35">
      <c r="A199" s="105"/>
      <c r="B199" s="92" t="s">
        <v>770</v>
      </c>
      <c r="C199" s="413" t="s">
        <v>771</v>
      </c>
      <c r="D199" s="414"/>
      <c r="E199" s="414"/>
      <c r="F199" s="415"/>
      <c r="G199" s="88"/>
      <c r="H199" s="88"/>
      <c r="I199" s="88"/>
      <c r="J199" s="88"/>
      <c r="K199" s="88"/>
      <c r="L199" s="88"/>
      <c r="M199" s="88"/>
      <c r="N199" s="88"/>
      <c r="O199" s="88"/>
      <c r="P199" s="88"/>
      <c r="Q199" s="88"/>
      <c r="R199" s="88"/>
      <c r="S199" s="88"/>
      <c r="T199" s="83"/>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c r="AQ199" s="88"/>
      <c r="AR199" s="88"/>
      <c r="AS199" s="88"/>
      <c r="AT199" s="83"/>
      <c r="AU199" s="83"/>
    </row>
    <row r="200" spans="1:47" x14ac:dyDescent="0.35">
      <c r="A200" s="105"/>
      <c r="B200" s="95" t="s">
        <v>545</v>
      </c>
      <c r="C200" s="416" t="s">
        <v>605</v>
      </c>
      <c r="D200" s="417"/>
      <c r="E200" s="417"/>
      <c r="F200" s="418"/>
      <c r="G200" s="88"/>
      <c r="H200" s="88"/>
      <c r="I200" s="88"/>
      <c r="J200" s="88"/>
      <c r="K200" s="88"/>
      <c r="L200" s="88"/>
      <c r="M200" s="88"/>
      <c r="N200" s="88"/>
      <c r="O200" s="88"/>
      <c r="P200" s="88"/>
      <c r="Q200" s="88"/>
      <c r="R200" s="88"/>
      <c r="S200" s="88"/>
      <c r="T200" s="83"/>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c r="AQ200" s="88"/>
      <c r="AR200" s="88"/>
      <c r="AS200" s="88"/>
      <c r="AT200" s="83"/>
      <c r="AU200" s="83"/>
    </row>
    <row r="201" spans="1:47" ht="174" x14ac:dyDescent="0.35">
      <c r="A201" s="105"/>
      <c r="B201" s="96" t="s">
        <v>772</v>
      </c>
      <c r="C201" s="97" t="s">
        <v>773</v>
      </c>
      <c r="D201" s="98"/>
      <c r="E201" s="234" t="s">
        <v>607</v>
      </c>
      <c r="F201" s="100"/>
      <c r="G201" s="88"/>
      <c r="H201" s="88"/>
      <c r="I201" s="88"/>
      <c r="J201" s="88"/>
      <c r="K201" s="88"/>
      <c r="L201" s="88"/>
      <c r="M201" s="88"/>
      <c r="N201" s="88"/>
      <c r="O201" s="88"/>
      <c r="P201" s="88"/>
      <c r="Q201" s="88"/>
      <c r="R201" s="88"/>
      <c r="S201" s="88"/>
      <c r="T201" s="83"/>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c r="AQ201" s="88"/>
      <c r="AR201" s="88"/>
      <c r="AS201" s="88"/>
      <c r="AT201" s="83"/>
      <c r="AU201" s="83"/>
    </row>
    <row r="202" spans="1:47" ht="145" x14ac:dyDescent="0.35">
      <c r="A202" s="105"/>
      <c r="B202" s="101" t="s">
        <v>440</v>
      </c>
      <c r="C202" s="129" t="s">
        <v>549</v>
      </c>
      <c r="D202" s="102" t="s">
        <v>733</v>
      </c>
      <c r="E202" s="103" t="s">
        <v>734</v>
      </c>
      <c r="F202" s="104"/>
      <c r="G202" s="88"/>
      <c r="H202" s="88"/>
      <c r="I202" s="88"/>
      <c r="J202" s="88"/>
      <c r="K202" s="88"/>
      <c r="L202" s="88"/>
      <c r="M202" s="88"/>
      <c r="N202" s="88"/>
      <c r="O202" s="88"/>
      <c r="P202" s="88"/>
      <c r="Q202" s="88"/>
      <c r="R202" s="88"/>
      <c r="S202" s="88"/>
      <c r="T202" s="83"/>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3"/>
      <c r="AU202" s="83"/>
    </row>
    <row r="203" spans="1:47" x14ac:dyDescent="0.35">
      <c r="A203" s="105"/>
      <c r="B203" s="96" t="s">
        <v>774</v>
      </c>
      <c r="C203" s="97" t="s">
        <v>675</v>
      </c>
      <c r="D203" s="98"/>
      <c r="E203" s="234"/>
      <c r="F203" s="100"/>
      <c r="G203" s="88"/>
      <c r="H203" s="88"/>
      <c r="I203" s="88"/>
      <c r="J203" s="88"/>
      <c r="K203" s="88"/>
      <c r="L203" s="88"/>
      <c r="M203" s="88"/>
      <c r="N203" s="88"/>
      <c r="O203" s="88"/>
      <c r="P203" s="88"/>
      <c r="Q203" s="88"/>
      <c r="R203" s="88"/>
      <c r="S203" s="88"/>
      <c r="T203" s="83"/>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3"/>
      <c r="AU203" s="83"/>
    </row>
    <row r="204" spans="1:47" ht="174" x14ac:dyDescent="0.35">
      <c r="A204" s="105"/>
      <c r="B204" s="96" t="s">
        <v>775</v>
      </c>
      <c r="C204" s="97" t="s">
        <v>776</v>
      </c>
      <c r="D204" s="98"/>
      <c r="E204" s="238" t="s">
        <v>622</v>
      </c>
      <c r="F204" s="100"/>
      <c r="G204" s="88"/>
      <c r="H204" s="88"/>
      <c r="I204" s="88"/>
      <c r="J204" s="88"/>
      <c r="K204" s="88"/>
      <c r="L204" s="88"/>
      <c r="M204" s="88"/>
      <c r="N204" s="88"/>
      <c r="O204" s="88"/>
      <c r="P204" s="88"/>
      <c r="Q204" s="88"/>
      <c r="R204" s="88"/>
      <c r="S204" s="88"/>
      <c r="T204" s="83"/>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3"/>
      <c r="AU204" s="83"/>
    </row>
    <row r="205" spans="1:47" ht="145" x14ac:dyDescent="0.35">
      <c r="A205" s="105"/>
      <c r="B205" s="101" t="s">
        <v>440</v>
      </c>
      <c r="C205" s="129" t="s">
        <v>549</v>
      </c>
      <c r="D205" s="102" t="s">
        <v>733</v>
      </c>
      <c r="E205" s="103" t="s">
        <v>734</v>
      </c>
      <c r="F205" s="104"/>
      <c r="G205" s="88"/>
      <c r="H205" s="88"/>
      <c r="I205" s="88"/>
      <c r="J205" s="88"/>
      <c r="K205" s="88"/>
      <c r="L205" s="88"/>
      <c r="M205" s="88"/>
      <c r="N205" s="88"/>
      <c r="O205" s="88"/>
      <c r="P205" s="88"/>
      <c r="Q205" s="88"/>
      <c r="R205" s="88"/>
      <c r="S205" s="88"/>
      <c r="T205" s="83"/>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c r="AQ205" s="88"/>
      <c r="AR205" s="88"/>
      <c r="AS205" s="88"/>
      <c r="AT205" s="83"/>
      <c r="AU205" s="83"/>
    </row>
    <row r="206" spans="1:47" x14ac:dyDescent="0.35">
      <c r="A206" s="105"/>
      <c r="B206" s="96" t="s">
        <v>777</v>
      </c>
      <c r="C206" s="97" t="s">
        <v>675</v>
      </c>
      <c r="D206" s="98"/>
      <c r="E206" s="234"/>
      <c r="F206" s="100"/>
      <c r="G206" s="88"/>
      <c r="H206" s="88"/>
      <c r="I206" s="88"/>
      <c r="J206" s="88"/>
      <c r="K206" s="88"/>
      <c r="L206" s="88"/>
      <c r="M206" s="88"/>
      <c r="N206" s="88"/>
      <c r="O206" s="88"/>
      <c r="P206" s="88"/>
      <c r="Q206" s="88"/>
      <c r="R206" s="88"/>
      <c r="S206" s="88"/>
      <c r="T206" s="83"/>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c r="AQ206" s="88"/>
      <c r="AR206" s="88"/>
      <c r="AS206" s="88"/>
      <c r="AT206" s="83"/>
      <c r="AU206" s="83"/>
    </row>
    <row r="207" spans="1:47" ht="174" x14ac:dyDescent="0.35">
      <c r="A207" s="105"/>
      <c r="B207" s="96" t="s">
        <v>778</v>
      </c>
      <c r="C207" s="97" t="s">
        <v>779</v>
      </c>
      <c r="D207" s="98"/>
      <c r="E207" s="234" t="s">
        <v>607</v>
      </c>
      <c r="F207" s="100"/>
      <c r="G207" s="88"/>
      <c r="H207" s="88"/>
      <c r="I207" s="88"/>
      <c r="J207" s="88"/>
      <c r="K207" s="88"/>
      <c r="L207" s="88"/>
      <c r="M207" s="88"/>
      <c r="N207" s="88"/>
      <c r="O207" s="88"/>
      <c r="P207" s="88"/>
      <c r="Q207" s="88"/>
      <c r="R207" s="88"/>
      <c r="S207" s="88"/>
      <c r="T207" s="83"/>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c r="AQ207" s="88"/>
      <c r="AR207" s="88"/>
      <c r="AS207" s="88"/>
      <c r="AT207" s="83"/>
      <c r="AU207" s="83"/>
    </row>
    <row r="208" spans="1:47" ht="145" x14ac:dyDescent="0.35">
      <c r="A208" s="105"/>
      <c r="B208" s="101" t="s">
        <v>440</v>
      </c>
      <c r="C208" s="129" t="s">
        <v>549</v>
      </c>
      <c r="D208" s="102" t="s">
        <v>733</v>
      </c>
      <c r="E208" s="103" t="s">
        <v>734</v>
      </c>
      <c r="F208" s="104"/>
      <c r="G208" s="88"/>
      <c r="H208" s="88"/>
      <c r="I208" s="88"/>
      <c r="J208" s="88"/>
      <c r="K208" s="88"/>
      <c r="L208" s="88"/>
      <c r="M208" s="88"/>
      <c r="N208" s="88"/>
      <c r="O208" s="88"/>
      <c r="P208" s="88"/>
      <c r="Q208" s="88"/>
      <c r="R208" s="88"/>
      <c r="S208" s="88"/>
      <c r="T208" s="83"/>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3"/>
      <c r="AU208" s="83"/>
    </row>
    <row r="209" spans="1:47" x14ac:dyDescent="0.35">
      <c r="A209" s="105"/>
      <c r="B209" s="96" t="s">
        <v>780</v>
      </c>
      <c r="C209" s="97" t="s">
        <v>675</v>
      </c>
      <c r="D209" s="98"/>
      <c r="E209" s="234"/>
      <c r="F209" s="100"/>
      <c r="G209" s="88"/>
      <c r="H209" s="88"/>
      <c r="I209" s="88"/>
      <c r="J209" s="88"/>
      <c r="K209" s="88"/>
      <c r="L209" s="88"/>
      <c r="M209" s="88"/>
      <c r="N209" s="88"/>
      <c r="O209" s="88"/>
      <c r="P209" s="88"/>
      <c r="Q209" s="88"/>
      <c r="R209" s="88"/>
      <c r="S209" s="88"/>
      <c r="T209" s="83"/>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3"/>
      <c r="AU209" s="83"/>
    </row>
    <row r="210" spans="1:47" ht="174" x14ac:dyDescent="0.35">
      <c r="A210" s="105"/>
      <c r="B210" s="96" t="s">
        <v>781</v>
      </c>
      <c r="C210" s="97" t="s">
        <v>782</v>
      </c>
      <c r="D210" s="98"/>
      <c r="E210" s="238" t="s">
        <v>622</v>
      </c>
      <c r="F210" s="100"/>
      <c r="G210" s="88"/>
      <c r="H210" s="88"/>
      <c r="I210" s="88"/>
      <c r="J210" s="88"/>
      <c r="K210" s="88"/>
      <c r="L210" s="88"/>
      <c r="M210" s="88"/>
      <c r="N210" s="88"/>
      <c r="O210" s="88"/>
      <c r="P210" s="88"/>
      <c r="Q210" s="88"/>
      <c r="R210" s="88"/>
      <c r="S210" s="88"/>
      <c r="T210" s="83"/>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3"/>
      <c r="AU210" s="83"/>
    </row>
    <row r="211" spans="1:47" ht="145.5" thickBot="1" x14ac:dyDescent="0.4">
      <c r="A211" s="105"/>
      <c r="B211" s="106" t="s">
        <v>440</v>
      </c>
      <c r="C211" s="107" t="s">
        <v>549</v>
      </c>
      <c r="D211" s="108" t="s">
        <v>733</v>
      </c>
      <c r="E211" s="109" t="s">
        <v>734</v>
      </c>
      <c r="F211" s="110"/>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row>
    <row r="212" spans="1:47" ht="15" thickBot="1" x14ac:dyDescent="0.4">
      <c r="A212" s="105"/>
      <c r="B212" s="83"/>
      <c r="C212" s="88"/>
      <c r="D212" s="88"/>
      <c r="E212" s="111"/>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row>
    <row r="213" spans="1:47" ht="15" thickBot="1" x14ac:dyDescent="0.4">
      <c r="A213" s="105"/>
      <c r="B213" s="404" t="s">
        <v>579</v>
      </c>
      <c r="C213" s="405"/>
      <c r="D213" s="405"/>
      <c r="E213" s="405"/>
      <c r="F213" s="406"/>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row>
    <row r="214" spans="1:47" x14ac:dyDescent="0.35">
      <c r="A214" s="105"/>
      <c r="B214" s="239" t="s">
        <v>430</v>
      </c>
      <c r="C214" s="419" t="str">
        <f>IF(AND(D234=0,D235=0,D236=0),"NA",IF(AND(D234&gt;0,D235=0),"NR",IF(D235&gt;0,"NOK","OK")))</f>
        <v>NR</v>
      </c>
      <c r="D214" s="419"/>
      <c r="E214" s="419"/>
      <c r="F214" s="420"/>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row>
    <row r="215" spans="1:47" x14ac:dyDescent="0.35">
      <c r="A215" s="105"/>
      <c r="B215" s="240" t="s">
        <v>433</v>
      </c>
      <c r="C215" s="392" t="str">
        <f>IF(AND(D237=0,D238=0,D239=0),"NA",IF(AND(D237&gt;0,D238=0),"NR",IF(D238&gt;0,"NOK","OK")))</f>
        <v>NR</v>
      </c>
      <c r="D215" s="392"/>
      <c r="E215" s="392"/>
      <c r="F215" s="393"/>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c r="AQ215" s="88"/>
      <c r="AR215" s="88"/>
      <c r="AS215" s="88"/>
      <c r="AT215" s="88"/>
      <c r="AU215" s="88"/>
    </row>
    <row r="216" spans="1:47" x14ac:dyDescent="0.35">
      <c r="A216" s="105"/>
      <c r="B216" s="240" t="s">
        <v>434</v>
      </c>
      <c r="C216" s="392" t="str">
        <f>IF(AND(D240=0,D241=0,D242=0),"NA",IF(AND(D240&gt;0,D241=0),"NR",IF(D241&gt;0,"NOK","OK")))</f>
        <v>NR</v>
      </c>
      <c r="D216" s="392"/>
      <c r="E216" s="392"/>
      <c r="F216" s="393"/>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c r="AQ216" s="88"/>
      <c r="AR216" s="88"/>
      <c r="AS216" s="88"/>
      <c r="AT216" s="88"/>
      <c r="AU216" s="88"/>
    </row>
    <row r="217" spans="1:47" x14ac:dyDescent="0.35">
      <c r="A217" s="105"/>
      <c r="B217" s="240" t="s">
        <v>435</v>
      </c>
      <c r="C217" s="392" t="str">
        <f>IF(AND(D243=0,D244=0,D245=0),"NA",IF(AND(D243&gt;0,D244=0),"NR",IF(D244&gt;0,"NOK","OK")))</f>
        <v>NR</v>
      </c>
      <c r="D217" s="392"/>
      <c r="E217" s="392"/>
      <c r="F217" s="393"/>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c r="AQ217" s="88"/>
      <c r="AR217" s="88"/>
      <c r="AS217" s="88"/>
      <c r="AT217" s="88"/>
      <c r="AU217" s="88"/>
    </row>
    <row r="218" spans="1:47" x14ac:dyDescent="0.35">
      <c r="A218" s="105"/>
      <c r="B218" s="240" t="s">
        <v>436</v>
      </c>
      <c r="C218" s="392" t="str">
        <f>IF(AND(D246=0,D247=0,D248=0),"NA",IF(AND(D246&gt;0,D247=0),"NR",IF(D247&gt;0,"NOK","OK")))</f>
        <v>NR</v>
      </c>
      <c r="D218" s="392"/>
      <c r="E218" s="392"/>
      <c r="F218" s="393"/>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c r="AQ218" s="88"/>
      <c r="AR218" s="88"/>
      <c r="AS218" s="88"/>
      <c r="AT218" s="88"/>
      <c r="AU218" s="88"/>
    </row>
    <row r="219" spans="1:47" x14ac:dyDescent="0.35">
      <c r="A219" s="105"/>
      <c r="B219" s="240" t="s">
        <v>437</v>
      </c>
      <c r="C219" s="392" t="str">
        <f>IF(AND(D249=0,D250=0,D251=0),"NA",IF(AND(D249&gt;0,D250=0),"NR",IF(D250&gt;0,"NOK","OK")))</f>
        <v>NR</v>
      </c>
      <c r="D219" s="392"/>
      <c r="E219" s="392"/>
      <c r="F219" s="393"/>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c r="AQ219" s="88"/>
      <c r="AR219" s="88"/>
      <c r="AS219" s="88"/>
      <c r="AT219" s="88"/>
      <c r="AU219" s="88"/>
    </row>
    <row r="220" spans="1:47" x14ac:dyDescent="0.35">
      <c r="A220" s="105"/>
      <c r="B220" s="240" t="s">
        <v>438</v>
      </c>
      <c r="C220" s="392" t="str">
        <f>IF(AND(D252=0,D253=0,D254=0),"NA",IF(AND(D252&gt;0,D253=0),"NR",IF(D253&gt;0,"NOK","OK")))</f>
        <v>NR</v>
      </c>
      <c r="D220" s="392"/>
      <c r="E220" s="392"/>
      <c r="F220" s="393"/>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c r="AQ220" s="88"/>
      <c r="AR220" s="88"/>
      <c r="AS220" s="88"/>
      <c r="AT220" s="88"/>
      <c r="AU220" s="88"/>
    </row>
    <row r="221" spans="1:47" x14ac:dyDescent="0.35">
      <c r="A221" s="105"/>
      <c r="B221" s="240" t="s">
        <v>439</v>
      </c>
      <c r="C221" s="392" t="str">
        <f>IF(AND(D255=0,D256=0,D257=0),"NA",IF(AND(D255&gt;0,D256=0),"NR",IF(D256&gt;0,"NOK","OK")))</f>
        <v>NR</v>
      </c>
      <c r="D221" s="392"/>
      <c r="E221" s="392"/>
      <c r="F221" s="393"/>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c r="AQ221" s="88"/>
      <c r="AR221" s="88"/>
      <c r="AS221" s="88"/>
      <c r="AT221" s="88"/>
      <c r="AU221" s="88"/>
    </row>
    <row r="222" spans="1:47" x14ac:dyDescent="0.35">
      <c r="A222" s="105"/>
      <c r="B222" s="240" t="s">
        <v>440</v>
      </c>
      <c r="C222" s="392" t="str">
        <f>IF(AND(D258=0,D259=0,D260=0),"NA",IF(AND(D258&gt;0,D259=0),"NR",IF(D259&gt;0,"NOK","OK")))</f>
        <v>NR</v>
      </c>
      <c r="D222" s="392"/>
      <c r="E222" s="392"/>
      <c r="F222" s="393"/>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c r="AQ222" s="88"/>
      <c r="AR222" s="88"/>
      <c r="AS222" s="88"/>
      <c r="AT222" s="88"/>
      <c r="AU222" s="88"/>
    </row>
    <row r="223" spans="1:47" x14ac:dyDescent="0.35">
      <c r="A223" s="105"/>
      <c r="B223" s="113"/>
      <c r="C223" s="392" t="str">
        <f>IF(AND(D261=0,D262=0,D263=0),"NA",IF(AND(D261&gt;0,D262=0),"NR",IF(D262&gt;0,"NOK","OK")))</f>
        <v>NA</v>
      </c>
      <c r="D223" s="392"/>
      <c r="E223" s="392"/>
      <c r="F223" s="393"/>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c r="AQ223" s="88"/>
      <c r="AR223" s="88"/>
      <c r="AS223" s="88"/>
      <c r="AT223" s="88"/>
      <c r="AU223" s="88"/>
    </row>
    <row r="224" spans="1:47" x14ac:dyDescent="0.35">
      <c r="A224" s="105"/>
      <c r="B224" s="113"/>
      <c r="C224" s="392" t="str">
        <f>IF(AND(D264=0,D265=0,D266=0),"NA",IF(AND(D264&gt;0,D265=0),"NR",IF(D265&gt;0,"NOK","OK")))</f>
        <v>NA</v>
      </c>
      <c r="D224" s="392"/>
      <c r="E224" s="392"/>
      <c r="F224" s="393"/>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c r="AQ224" s="88"/>
      <c r="AR224" s="88"/>
      <c r="AS224" s="88"/>
      <c r="AT224" s="88"/>
      <c r="AU224" s="88"/>
    </row>
    <row r="225" spans="1:47" x14ac:dyDescent="0.35">
      <c r="A225" s="105"/>
      <c r="B225" s="113"/>
      <c r="C225" s="392" t="str">
        <f>IF(AND(D267=0,D268=0,D269=0),"NA",IF(AND(D267&gt;0,D268=0),"NR",IF(D268&gt;0,"NOK","OK")))</f>
        <v>NA</v>
      </c>
      <c r="D225" s="392"/>
      <c r="E225" s="392"/>
      <c r="F225" s="393"/>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c r="AQ225" s="88"/>
      <c r="AR225" s="88"/>
      <c r="AS225" s="88"/>
      <c r="AT225" s="88"/>
      <c r="AU225" s="88"/>
    </row>
    <row r="226" spans="1:47" ht="15" thickBot="1" x14ac:dyDescent="0.4">
      <c r="A226" s="105"/>
      <c r="B226" s="114"/>
      <c r="C226" s="400" t="str">
        <f>IF(AND(D270=0,D271=0,D272=0),"NA",IF(AND(D270&gt;0,D271=0),"NR",IF(D271&gt;0,"NOK","OK")))</f>
        <v>NA</v>
      </c>
      <c r="D226" s="400"/>
      <c r="E226" s="400"/>
      <c r="F226" s="401"/>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row>
    <row r="227" spans="1:47" ht="15" thickBot="1" x14ac:dyDescent="0.4">
      <c r="A227" s="105"/>
      <c r="B227" s="115"/>
      <c r="C227" s="116"/>
      <c r="D227" s="116"/>
      <c r="E227" s="117"/>
      <c r="F227" s="116"/>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c r="AQ227" s="88"/>
      <c r="AR227" s="88"/>
      <c r="AS227" s="88"/>
      <c r="AT227" s="88"/>
      <c r="AU227" s="88"/>
    </row>
    <row r="228" spans="1:47" ht="15" thickBot="1" x14ac:dyDescent="0.4">
      <c r="A228" s="105"/>
      <c r="B228" s="394" t="s">
        <v>580</v>
      </c>
      <c r="C228" s="395"/>
      <c r="D228" s="395"/>
      <c r="E228" s="395"/>
      <c r="F228" s="396"/>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c r="AQ228" s="88"/>
      <c r="AR228" s="88"/>
      <c r="AS228" s="88"/>
      <c r="AT228" s="88"/>
      <c r="AU228" s="88"/>
    </row>
    <row r="229" spans="1:47" ht="31.5" thickBot="1" x14ac:dyDescent="0.4">
      <c r="A229" s="105"/>
      <c r="B229" s="118" t="s">
        <v>783</v>
      </c>
      <c r="C229" s="119" t="str">
        <f>IF(AND(COUNTIF(C214:C225,"NOK")=0,COUNTIF(C214:C225,"OK")=0,COUNTIF(C214:C225,"NR")=0),"NA",IF(AND(COUNTIF(C214:C225,"NR")&gt;0,COUNTIF(C214:C225,"NOK")=0),"NR",IF(COUNTIF(C214:C225,"NOK")&gt;0,"NOK","OK")))</f>
        <v>NR</v>
      </c>
      <c r="D229" s="397" t="s">
        <v>57</v>
      </c>
      <c r="E229" s="398"/>
      <c r="F229" s="399"/>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c r="AQ229" s="88"/>
      <c r="AR229" s="88"/>
      <c r="AS229" s="88"/>
      <c r="AT229" s="88"/>
      <c r="AU229" s="88"/>
    </row>
    <row r="230" spans="1:47" x14ac:dyDescent="0.35">
      <c r="A230" s="105"/>
      <c r="B230" s="83"/>
      <c r="C230" s="88"/>
      <c r="D230" s="88"/>
      <c r="E230" s="111"/>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c r="AQ230" s="88"/>
      <c r="AR230" s="88"/>
      <c r="AS230" s="88"/>
      <c r="AT230" s="88"/>
      <c r="AU230" s="88"/>
    </row>
    <row r="231" spans="1:47" x14ac:dyDescent="0.35">
      <c r="A231" s="105"/>
      <c r="B231" s="83"/>
      <c r="C231" s="88"/>
      <c r="D231" s="88"/>
      <c r="E231" s="111"/>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c r="AQ231" s="88"/>
      <c r="AR231" s="88"/>
      <c r="AS231" s="88"/>
      <c r="AT231" s="88"/>
      <c r="AU231" s="88"/>
    </row>
    <row r="232" spans="1:47" x14ac:dyDescent="0.35">
      <c r="A232" s="105"/>
      <c r="B232" s="83"/>
      <c r="C232" s="88"/>
      <c r="D232" s="88"/>
      <c r="E232" s="111"/>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c r="AQ232" s="88"/>
      <c r="AR232" s="88"/>
      <c r="AS232" s="88"/>
      <c r="AT232" s="88"/>
      <c r="AU232" s="88"/>
    </row>
    <row r="233" spans="1:47" x14ac:dyDescent="0.35">
      <c r="A233" s="105"/>
      <c r="B233" s="391" t="s">
        <v>582</v>
      </c>
      <c r="C233" s="391"/>
      <c r="D233" s="391"/>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row>
    <row r="234" spans="1:47" x14ac:dyDescent="0.35">
      <c r="A234" s="105"/>
      <c r="B234" s="390" t="str">
        <f>B214</f>
        <v>REQ_ROB-Interop-V2G_001</v>
      </c>
      <c r="C234" s="120" t="s">
        <v>549</v>
      </c>
      <c r="D234" s="120">
        <f>IF($B$234=0,0,COUNTIFS($B$9:$B$211,"*"&amp;$B$234&amp;"*",$C$9:$C$211,C234))</f>
        <v>15</v>
      </c>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row>
    <row r="235" spans="1:47" x14ac:dyDescent="0.35">
      <c r="A235" s="105"/>
      <c r="B235" s="390"/>
      <c r="C235" s="120" t="s">
        <v>583</v>
      </c>
      <c r="D235" s="120">
        <f>IF($B$234=0,0,COUNTIFS($B$9:$B$211,"*"&amp;$B$234&amp;"*",$C$9:$C$211,C235))</f>
        <v>0</v>
      </c>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row>
    <row r="236" spans="1:47" x14ac:dyDescent="0.35">
      <c r="A236" s="105"/>
      <c r="B236" s="390"/>
      <c r="C236" s="120" t="s">
        <v>584</v>
      </c>
      <c r="D236" s="120">
        <f>IF($B$234=0,0,COUNTIFS($B$9:$B$211,"*"&amp;$B$234&amp;"*",$C$9:$C$211,C236))</f>
        <v>0</v>
      </c>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row>
    <row r="237" spans="1:47" x14ac:dyDescent="0.35">
      <c r="A237" s="105"/>
      <c r="B237" s="390" t="str">
        <f>B215</f>
        <v>REQ_ROB-Interop-DC_001</v>
      </c>
      <c r="C237" s="120" t="s">
        <v>549</v>
      </c>
      <c r="D237" s="120">
        <f>IF($B$237=0,0,COUNTIFS($B$9:$B$211,"*"&amp;$B$237&amp;"*",$C$9:$C$211,C237))</f>
        <v>6</v>
      </c>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row>
    <row r="238" spans="1:47" x14ac:dyDescent="0.35">
      <c r="A238" s="105"/>
      <c r="B238" s="390"/>
      <c r="C238" s="120" t="s">
        <v>583</v>
      </c>
      <c r="D238" s="120">
        <f>IF($B$237=0,0,COUNTIFS($B$9:$B$211,"*"&amp;$B$237&amp;"*",$C$9:$C$211,C238))</f>
        <v>0</v>
      </c>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row>
    <row r="239" spans="1:47" x14ac:dyDescent="0.35">
      <c r="A239" s="105"/>
      <c r="B239" s="390"/>
      <c r="C239" s="120" t="s">
        <v>584</v>
      </c>
      <c r="D239" s="120">
        <f>IF($B$237=0,0,COUNTIFS($B$9:$B$211,"*"&amp;$B$237&amp;"*",$C$9:$C$211,C239))</f>
        <v>0</v>
      </c>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row>
    <row r="240" spans="1:47" x14ac:dyDescent="0.35">
      <c r="A240" s="105"/>
      <c r="B240" s="390" t="str">
        <f>B216</f>
        <v>REQ_ROB-Interop-DC_002</v>
      </c>
      <c r="C240" s="120" t="s">
        <v>549</v>
      </c>
      <c r="D240" s="120">
        <f>IF($B$240=0,0,COUNTIFS($B$9:$B$211,"*"&amp;$B$240&amp;"*",$C$9:$C$211,C240))</f>
        <v>23</v>
      </c>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row>
    <row r="241" spans="1:47" x14ac:dyDescent="0.35">
      <c r="A241" s="105"/>
      <c r="B241" s="390"/>
      <c r="C241" s="120" t="s">
        <v>583</v>
      </c>
      <c r="D241" s="120">
        <f>IF($B$240=0,0,COUNTIFS($B$9:$B$211,"*"&amp;$B$240&amp;"*",$C$9:$C$211,C241))</f>
        <v>0</v>
      </c>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row>
    <row r="242" spans="1:47" x14ac:dyDescent="0.35">
      <c r="A242" s="105"/>
      <c r="B242" s="390"/>
      <c r="C242" s="120" t="s">
        <v>584</v>
      </c>
      <c r="D242" s="120">
        <f>IF($B$240=0,0,COUNTIFS($B$9:$B$211,"*"&amp;$B$240&amp;"*",$C$9:$C$211,C242))</f>
        <v>0</v>
      </c>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row>
    <row r="243" spans="1:47" x14ac:dyDescent="0.35">
      <c r="A243" s="105"/>
      <c r="B243" s="390" t="str">
        <f>B217</f>
        <v>REQ_ROB-Interop-DC_003</v>
      </c>
      <c r="C243" s="120" t="s">
        <v>549</v>
      </c>
      <c r="D243" s="120">
        <f>IF($B$243=0,0,COUNTIFS($B$9:$B$211,"*"&amp;$B$243&amp;"*",$C$9:$C$211,C243))</f>
        <v>23</v>
      </c>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row>
    <row r="244" spans="1:47" x14ac:dyDescent="0.35">
      <c r="A244" s="105"/>
      <c r="B244" s="390"/>
      <c r="C244" s="120" t="s">
        <v>583</v>
      </c>
      <c r="D244" s="120">
        <f>IF($B$243=0,0,COUNTIFS($B$9:$B$211,"*"&amp;$B$243&amp;"*",$C$9:$C$211,C244))</f>
        <v>0</v>
      </c>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row>
    <row r="245" spans="1:47" x14ac:dyDescent="0.35">
      <c r="A245" s="105"/>
      <c r="B245" s="390"/>
      <c r="C245" s="120" t="s">
        <v>584</v>
      </c>
      <c r="D245" s="120">
        <f>IF($B$243=0,0,COUNTIFS($B$9:$B$211,"*"&amp;$B$243&amp;"*",$C$9:$C$211,C245))</f>
        <v>0</v>
      </c>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row>
    <row r="246" spans="1:47" x14ac:dyDescent="0.35">
      <c r="A246" s="105"/>
      <c r="B246" s="390" t="str">
        <f>B218</f>
        <v>REQ_ROB-Interop-DC_004</v>
      </c>
      <c r="C246" s="120" t="s">
        <v>549</v>
      </c>
      <c r="D246" s="120">
        <f>IF($B$246=0,0,COUNTIFS($B$9:$B$211,"*"&amp;$B$246&amp;"*",$C$9:$C$211,C246))</f>
        <v>16</v>
      </c>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row>
    <row r="247" spans="1:47" x14ac:dyDescent="0.35">
      <c r="A247" s="105"/>
      <c r="B247" s="390"/>
      <c r="C247" s="120" t="s">
        <v>583</v>
      </c>
      <c r="D247" s="120">
        <f>IF($B$246=0,0,COUNTIFS($B$9:$B$211,"*"&amp;$B$246&amp;"*",$C$9:$C$211,C247))</f>
        <v>0</v>
      </c>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row>
    <row r="248" spans="1:47" x14ac:dyDescent="0.35">
      <c r="A248" s="105"/>
      <c r="B248" s="390"/>
      <c r="C248" s="120" t="s">
        <v>584</v>
      </c>
      <c r="D248" s="120">
        <f>IF($B$246=0,0,COUNTIFS($B$9:$B$211,"*"&amp;$B$246&amp;"*",$C$9:$C$211,C248))</f>
        <v>0</v>
      </c>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row>
    <row r="249" spans="1:47" x14ac:dyDescent="0.35">
      <c r="A249" s="105"/>
      <c r="B249" s="390" t="str">
        <f>B219</f>
        <v>REQ_ROB-Interop-AC_001</v>
      </c>
      <c r="C249" s="120" t="s">
        <v>549</v>
      </c>
      <c r="D249" s="120">
        <f>IF($B$249=0,0,COUNTIFS($B$9:$B$211,"*"&amp;$B$249&amp;"*",$C$9:$C$211,C249))</f>
        <v>4</v>
      </c>
      <c r="E249" s="111"/>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row>
    <row r="250" spans="1:47" x14ac:dyDescent="0.35">
      <c r="A250" s="105"/>
      <c r="B250" s="390"/>
      <c r="C250" s="120" t="s">
        <v>583</v>
      </c>
      <c r="D250" s="120">
        <f>IF($B$249=0,0,COUNTIFS($B$9:$B$211,"*"&amp;$B$249&amp;"*",$C$9:$C$211,C250))</f>
        <v>0</v>
      </c>
      <c r="E250" s="111"/>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row>
    <row r="251" spans="1:47" x14ac:dyDescent="0.35">
      <c r="A251" s="105"/>
      <c r="B251" s="390"/>
      <c r="C251" s="120" t="s">
        <v>584</v>
      </c>
      <c r="D251" s="120">
        <f>IF($B$249=0,0,COUNTIFS($B$9:$B$211,"*"&amp;$B$249&amp;"*",$C$9:$C$211,C251))</f>
        <v>0</v>
      </c>
      <c r="E251" s="111"/>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row>
    <row r="252" spans="1:47" x14ac:dyDescent="0.35">
      <c r="A252" s="105"/>
      <c r="B252" s="390" t="str">
        <f>B220</f>
        <v>REQ_ROB-Interop-AC_002</v>
      </c>
      <c r="C252" s="120" t="s">
        <v>549</v>
      </c>
      <c r="D252" s="120">
        <f>IF($B$252=0,0,COUNTIFS($B$9:$B$211,"*"&amp;$B$252&amp;"*",$C$9:$C$211,C252))</f>
        <v>4</v>
      </c>
      <c r="E252" s="111"/>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row>
    <row r="253" spans="1:47" x14ac:dyDescent="0.35">
      <c r="A253" s="105"/>
      <c r="B253" s="390"/>
      <c r="C253" s="120" t="s">
        <v>583</v>
      </c>
      <c r="D253" s="120">
        <f>IF($B$252=0,0,COUNTIFS($B$9:$B$211,"*"&amp;$B$252&amp;"*",$C$9:$C$211,C253))</f>
        <v>0</v>
      </c>
      <c r="E253" s="111"/>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row>
    <row r="254" spans="1:47" x14ac:dyDescent="0.35">
      <c r="A254" s="105"/>
      <c r="B254" s="390"/>
      <c r="C254" s="120" t="s">
        <v>584</v>
      </c>
      <c r="D254" s="120">
        <f>IF($B$252=0,0,COUNTIFS($B$9:$B$211,"*"&amp;$B$252&amp;"*",$C$9:$C$211,C254))</f>
        <v>0</v>
      </c>
      <c r="E254" s="111"/>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row>
    <row r="255" spans="1:47" x14ac:dyDescent="0.35">
      <c r="A255" s="105"/>
      <c r="B255" s="390" t="str">
        <f>B221</f>
        <v>REQ_ROB-Interop-AC_003</v>
      </c>
      <c r="C255" s="120" t="s">
        <v>549</v>
      </c>
      <c r="D255" s="120">
        <f>IF($B$255=0,0,COUNTIFS($B$9:$B$211,"*"&amp;$B$255&amp;"*",$C$9:$C$211,C255))</f>
        <v>4</v>
      </c>
      <c r="E255" s="111"/>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row>
    <row r="256" spans="1:47" x14ac:dyDescent="0.35">
      <c r="A256" s="105"/>
      <c r="B256" s="390"/>
      <c r="C256" s="120" t="s">
        <v>583</v>
      </c>
      <c r="D256" s="120">
        <f>IF($B$255=0,0,COUNTIFS($B$9:$B$211,"*"&amp;$B$255&amp;"*",$C$9:$C$211,C256))</f>
        <v>0</v>
      </c>
      <c r="E256" s="111"/>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row>
    <row r="257" spans="1:47" x14ac:dyDescent="0.35">
      <c r="A257" s="105"/>
      <c r="B257" s="390"/>
      <c r="C257" s="120" t="s">
        <v>584</v>
      </c>
      <c r="D257" s="120">
        <f>IF($B$255=0,0,COUNTIFS($B$9:$B$211,"*"&amp;$B$255&amp;"*",$C$9:$C$211,C257))</f>
        <v>0</v>
      </c>
      <c r="E257" s="111"/>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row>
    <row r="258" spans="1:47" x14ac:dyDescent="0.35">
      <c r="A258" s="105"/>
      <c r="B258" s="390" t="str">
        <f>B222</f>
        <v>REQ_ROB-Interop-AC_004</v>
      </c>
      <c r="C258" s="120" t="s">
        <v>549</v>
      </c>
      <c r="D258" s="120">
        <f>IF($B$258=0,0,COUNTIFS($B$9:$B$211,"*"&amp;$B$258&amp;"*",$C$9:$C$211,C258))</f>
        <v>4</v>
      </c>
      <c r="E258" s="111"/>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row>
    <row r="259" spans="1:47" x14ac:dyDescent="0.35">
      <c r="A259" s="105"/>
      <c r="B259" s="390"/>
      <c r="C259" s="120" t="s">
        <v>583</v>
      </c>
      <c r="D259" s="120">
        <f>IF($B$258=0,0,COUNTIFS($B$9:$B$211,"*"&amp;$B$258&amp;"*",$C$9:$C$211,C259))</f>
        <v>0</v>
      </c>
      <c r="E259" s="111"/>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row>
    <row r="260" spans="1:47" x14ac:dyDescent="0.35">
      <c r="A260" s="105"/>
      <c r="B260" s="390"/>
      <c r="C260" s="120" t="s">
        <v>584</v>
      </c>
      <c r="D260" s="120">
        <f>IF($B$258=0,0,COUNTIFS($B$9:$B$211,"*"&amp;$B$258&amp;"*",$C$9:$C$211,C260))</f>
        <v>0</v>
      </c>
      <c r="E260" s="111"/>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row>
    <row r="261" spans="1:47" x14ac:dyDescent="0.35">
      <c r="A261" s="105"/>
      <c r="B261" s="390">
        <f>B223</f>
        <v>0</v>
      </c>
      <c r="C261" s="120" t="s">
        <v>549</v>
      </c>
      <c r="D261" s="120">
        <f>IF($B$261=0,0,COUNTIFS($B$9:$B$211,"*"&amp;$B$261&amp;"*",$C$9:$C$211,C261))</f>
        <v>0</v>
      </c>
      <c r="E261" s="111"/>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row>
    <row r="262" spans="1:47" x14ac:dyDescent="0.35">
      <c r="A262" s="105"/>
      <c r="B262" s="390"/>
      <c r="C262" s="120" t="s">
        <v>583</v>
      </c>
      <c r="D262" s="120">
        <f>IF($B$261=0,0,COUNTIFS($B$9:$B$211,"*"&amp;$B$261&amp;"*",$C$9:$C$211,C262))</f>
        <v>0</v>
      </c>
      <c r="E262" s="111"/>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row>
    <row r="263" spans="1:47" x14ac:dyDescent="0.35">
      <c r="A263" s="105"/>
      <c r="B263" s="390"/>
      <c r="C263" s="120" t="s">
        <v>584</v>
      </c>
      <c r="D263" s="120">
        <f>IF($B$261=0,0,COUNTIFS($B$9:$B$211,"*"&amp;$B$261&amp;"*",$C$9:$C$211,C263))</f>
        <v>0</v>
      </c>
      <c r="E263" s="111"/>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row>
    <row r="264" spans="1:47" x14ac:dyDescent="0.35">
      <c r="A264" s="105"/>
      <c r="B264" s="390">
        <f>B224</f>
        <v>0</v>
      </c>
      <c r="C264" s="120" t="s">
        <v>549</v>
      </c>
      <c r="D264" s="120">
        <f>IF($B$264=0,0,COUNTIFS($B$9:$B$211,"*"&amp;$B$264&amp;"*",$C$9:$C$211,C264))</f>
        <v>0</v>
      </c>
      <c r="E264" s="111"/>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row>
    <row r="265" spans="1:47" x14ac:dyDescent="0.35">
      <c r="A265" s="105"/>
      <c r="B265" s="390"/>
      <c r="C265" s="120" t="s">
        <v>583</v>
      </c>
      <c r="D265" s="120">
        <f>IF($B$264=0,0,COUNTIFS($B$9:$B$211,"*"&amp;$B$264&amp;"*",$C$9:$C$211,C265))</f>
        <v>0</v>
      </c>
      <c r="E265" s="111"/>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row>
    <row r="266" spans="1:47" x14ac:dyDescent="0.35">
      <c r="A266" s="105"/>
      <c r="B266" s="390"/>
      <c r="C266" s="120" t="s">
        <v>584</v>
      </c>
      <c r="D266" s="120">
        <f>IF($B$264=0,0,COUNTIFS($B$9:$B$211,"*"&amp;$B$264&amp;"*",$C$9:$C$211,C266))</f>
        <v>0</v>
      </c>
      <c r="E266" s="111"/>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row>
    <row r="267" spans="1:47" x14ac:dyDescent="0.35">
      <c r="A267" s="105"/>
      <c r="B267" s="390">
        <f>B225</f>
        <v>0</v>
      </c>
      <c r="C267" s="120" t="s">
        <v>549</v>
      </c>
      <c r="D267" s="120">
        <f>IF($B$267=0,0,COUNTIFS($B$9:$B$211,"*"&amp;$B$267&amp;"*",$C$9:$C$211,C267))</f>
        <v>0</v>
      </c>
      <c r="E267" s="111"/>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row>
    <row r="268" spans="1:47" x14ac:dyDescent="0.35">
      <c r="A268" s="105"/>
      <c r="B268" s="390"/>
      <c r="C268" s="120" t="s">
        <v>583</v>
      </c>
      <c r="D268" s="120">
        <f>IF($B$267=0,0,COUNTIFS($B$9:$B$211,"*"&amp;$B$267&amp;"*",$C$9:$C$211,C268))</f>
        <v>0</v>
      </c>
      <c r="E268" s="111"/>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c r="AQ268" s="88"/>
      <c r="AR268" s="88"/>
      <c r="AS268" s="88"/>
      <c r="AT268" s="88"/>
      <c r="AU268" s="88"/>
    </row>
    <row r="269" spans="1:47" x14ac:dyDescent="0.35">
      <c r="A269" s="105"/>
      <c r="B269" s="390"/>
      <c r="C269" s="120" t="s">
        <v>584</v>
      </c>
      <c r="D269" s="120">
        <f>IF($B$267=0,0,COUNTIFS($B$9:$B$211,"*"&amp;$B$267&amp;"*",$C$9:$C$211,C269))</f>
        <v>0</v>
      </c>
      <c r="E269" s="111"/>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c r="AQ269" s="88"/>
      <c r="AR269" s="88"/>
      <c r="AS269" s="88"/>
      <c r="AT269" s="88"/>
      <c r="AU269" s="88"/>
    </row>
    <row r="270" spans="1:47" x14ac:dyDescent="0.35">
      <c r="A270" s="105"/>
      <c r="B270" s="390">
        <f>B226</f>
        <v>0</v>
      </c>
      <c r="C270" s="120" t="s">
        <v>549</v>
      </c>
      <c r="D270" s="120">
        <f>IF($B$270=0,0,COUNTIFS($B$9:$B$211,"*"&amp;$B$270&amp;"*",$C$9:$C$211,C270))</f>
        <v>0</v>
      </c>
      <c r="E270" s="111"/>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c r="AQ270" s="88"/>
      <c r="AR270" s="88"/>
      <c r="AS270" s="88"/>
      <c r="AT270" s="88"/>
      <c r="AU270" s="88"/>
    </row>
    <row r="271" spans="1:47" x14ac:dyDescent="0.35">
      <c r="A271" s="105"/>
      <c r="B271" s="390"/>
      <c r="C271" s="120" t="s">
        <v>583</v>
      </c>
      <c r="D271" s="120">
        <f>IF($B$270=0,0,COUNTIFS($B$9:$B$211,"*"&amp;$B$270&amp;"*",$C$9:$C$211,C271))</f>
        <v>0</v>
      </c>
      <c r="E271" s="111"/>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c r="AQ271" s="88"/>
      <c r="AR271" s="88"/>
      <c r="AS271" s="88"/>
      <c r="AT271" s="88"/>
      <c r="AU271" s="88"/>
    </row>
    <row r="272" spans="1:47" x14ac:dyDescent="0.35">
      <c r="A272" s="105"/>
      <c r="B272" s="390"/>
      <c r="C272" s="120" t="s">
        <v>584</v>
      </c>
      <c r="D272" s="120">
        <f>IF($B$270=0,0,COUNTIFS($B$9:$B$211,"*"&amp;$B$270&amp;"*",$C$9:$C$211,C272))</f>
        <v>0</v>
      </c>
      <c r="E272" s="111"/>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c r="AQ272" s="88"/>
      <c r="AR272" s="88"/>
      <c r="AS272" s="88"/>
      <c r="AT272" s="88"/>
      <c r="AU272" s="88"/>
    </row>
    <row r="273" spans="1:47" x14ac:dyDescent="0.35">
      <c r="A273" s="105"/>
      <c r="B273" s="83"/>
      <c r="C273" s="88"/>
      <c r="D273" s="88"/>
      <c r="E273" s="111"/>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c r="AQ273" s="88"/>
      <c r="AR273" s="88"/>
      <c r="AS273" s="88"/>
      <c r="AT273" s="88"/>
      <c r="AU273" s="88"/>
    </row>
    <row r="274" spans="1:47" x14ac:dyDescent="0.35">
      <c r="A274" s="105"/>
      <c r="B274" s="83"/>
      <c r="C274" s="88"/>
      <c r="D274" s="88"/>
      <c r="E274" s="111"/>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c r="AQ274" s="88"/>
      <c r="AR274" s="88"/>
      <c r="AS274" s="88"/>
      <c r="AT274" s="88"/>
      <c r="AU274" s="88"/>
    </row>
    <row r="275" spans="1:47" x14ac:dyDescent="0.35">
      <c r="A275" s="105"/>
      <c r="B275" s="83"/>
      <c r="C275" s="88"/>
      <c r="D275" s="88"/>
      <c r="E275" s="111"/>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c r="AQ275" s="88"/>
      <c r="AR275" s="88"/>
      <c r="AS275" s="88"/>
      <c r="AT275" s="88"/>
      <c r="AU275" s="88"/>
    </row>
  </sheetData>
  <mergeCells count="79">
    <mergeCell ref="B1:F1"/>
    <mergeCell ref="H1:S1"/>
    <mergeCell ref="C2:F2"/>
    <mergeCell ref="H2:S2"/>
    <mergeCell ref="H4:S39"/>
    <mergeCell ref="B5:F5"/>
    <mergeCell ref="C7:F7"/>
    <mergeCell ref="C8:F8"/>
    <mergeCell ref="C36:F36"/>
    <mergeCell ref="C37:F37"/>
    <mergeCell ref="C3:F3"/>
    <mergeCell ref="C222:F222"/>
    <mergeCell ref="B213:F213"/>
    <mergeCell ref="C214:F214"/>
    <mergeCell ref="C215:F215"/>
    <mergeCell ref="C216:F216"/>
    <mergeCell ref="C217:F217"/>
    <mergeCell ref="C218:F218"/>
    <mergeCell ref="C219:F219"/>
    <mergeCell ref="C220:F220"/>
    <mergeCell ref="C221:F221"/>
    <mergeCell ref="B233:D233"/>
    <mergeCell ref="B234:B236"/>
    <mergeCell ref="B237:B239"/>
    <mergeCell ref="B240:B242"/>
    <mergeCell ref="C223:F223"/>
    <mergeCell ref="C224:F224"/>
    <mergeCell ref="C225:F225"/>
    <mergeCell ref="C226:F226"/>
    <mergeCell ref="B228:F228"/>
    <mergeCell ref="D229:F229"/>
    <mergeCell ref="B270:B272"/>
    <mergeCell ref="B243:B245"/>
    <mergeCell ref="B246:B248"/>
    <mergeCell ref="B249:B251"/>
    <mergeCell ref="B252:B254"/>
    <mergeCell ref="B255:B257"/>
    <mergeCell ref="B258:B260"/>
    <mergeCell ref="B261:B263"/>
    <mergeCell ref="B264:B266"/>
    <mergeCell ref="B267:B269"/>
    <mergeCell ref="C174:F174"/>
    <mergeCell ref="C53:F53"/>
    <mergeCell ref="C54:F54"/>
    <mergeCell ref="C92:F92"/>
    <mergeCell ref="C93:F93"/>
    <mergeCell ref="C131:F131"/>
    <mergeCell ref="C186:F186"/>
    <mergeCell ref="C187:F187"/>
    <mergeCell ref="C199:F199"/>
    <mergeCell ref="C200:F200"/>
    <mergeCell ref="U2:AF2"/>
    <mergeCell ref="U4:AF39"/>
    <mergeCell ref="H84:S84"/>
    <mergeCell ref="H85:S85"/>
    <mergeCell ref="H87:S122"/>
    <mergeCell ref="U84:AF84"/>
    <mergeCell ref="U85:AF85"/>
    <mergeCell ref="U87:AF122"/>
    <mergeCell ref="C132:F132"/>
    <mergeCell ref="C160:F160"/>
    <mergeCell ref="C161:F161"/>
    <mergeCell ref="C173:F173"/>
    <mergeCell ref="U1:AF1"/>
    <mergeCell ref="AH1:AS1"/>
    <mergeCell ref="H43:S43"/>
    <mergeCell ref="H44:S44"/>
    <mergeCell ref="H46:S81"/>
    <mergeCell ref="U43:AF43"/>
    <mergeCell ref="U44:AF44"/>
    <mergeCell ref="U46:AF81"/>
    <mergeCell ref="AH43:AS43"/>
    <mergeCell ref="AH44:AS44"/>
    <mergeCell ref="AH46:AS81"/>
    <mergeCell ref="AH84:AS84"/>
    <mergeCell ref="AH85:AS85"/>
    <mergeCell ref="AH87:AS122"/>
    <mergeCell ref="AH2:AS2"/>
    <mergeCell ref="AH4:AS39"/>
  </mergeCells>
  <conditionalFormatting sqref="B9:B10 B13:B14">
    <cfRule type="cellIs" dxfId="1838" priority="370" operator="equal">
      <formula>"NR"</formula>
    </cfRule>
    <cfRule type="cellIs" dxfId="1837" priority="371" operator="equal">
      <formula>"NOK"</formula>
    </cfRule>
    <cfRule type="cellIs" dxfId="1836" priority="372" operator="equal">
      <formula>"OK"</formula>
    </cfRule>
  </conditionalFormatting>
  <conditionalFormatting sqref="B230:B232 B2:B3">
    <cfRule type="cellIs" dxfId="1835" priority="391" operator="equal">
      <formula>"NR"</formula>
    </cfRule>
    <cfRule type="cellIs" dxfId="1834" priority="392" operator="equal">
      <formula>"NOK"</formula>
    </cfRule>
    <cfRule type="cellIs" dxfId="1833" priority="393" operator="equal">
      <formula>"OK"</formula>
    </cfRule>
  </conditionalFormatting>
  <conditionalFormatting sqref="B5">
    <cfRule type="cellIs" dxfId="1832" priority="394" operator="equal">
      <formula>"NR"</formula>
    </cfRule>
    <cfRule type="cellIs" dxfId="1831" priority="395" operator="equal">
      <formula>"NOK"</formula>
    </cfRule>
    <cfRule type="cellIs" dxfId="1830" priority="396" operator="equal">
      <formula>"OK"</formula>
    </cfRule>
  </conditionalFormatting>
  <conditionalFormatting sqref="B4 B212 B6 B228 B273:B1048576">
    <cfRule type="cellIs" dxfId="1829" priority="406" operator="equal">
      <formula>"NR"</formula>
    </cfRule>
    <cfRule type="cellIs" dxfId="1828" priority="407" operator="equal">
      <formula>"NOK"</formula>
    </cfRule>
    <cfRule type="cellIs" dxfId="1827" priority="408" operator="equal">
      <formula>"OK"</formula>
    </cfRule>
  </conditionalFormatting>
  <conditionalFormatting sqref="B1">
    <cfRule type="cellIs" dxfId="1826" priority="403" operator="equal">
      <formula>"NR"</formula>
    </cfRule>
    <cfRule type="cellIs" dxfId="1825" priority="404" operator="equal">
      <formula>"NOK"</formula>
    </cfRule>
    <cfRule type="cellIs" dxfId="1824" priority="405" operator="equal">
      <formula>"OK"</formula>
    </cfRule>
  </conditionalFormatting>
  <conditionalFormatting sqref="B213">
    <cfRule type="cellIs" dxfId="1823" priority="400" operator="equal">
      <formula>"NR"</formula>
    </cfRule>
    <cfRule type="cellIs" dxfId="1822" priority="401" operator="equal">
      <formula>"NOK"</formula>
    </cfRule>
    <cfRule type="cellIs" dxfId="1821" priority="402" operator="equal">
      <formula>"OK"</formula>
    </cfRule>
  </conditionalFormatting>
  <conditionalFormatting sqref="C214:C224 C227">
    <cfRule type="cellIs" dxfId="1820" priority="397" operator="equal">
      <formula>"NR"</formula>
    </cfRule>
    <cfRule type="cellIs" dxfId="1819" priority="398" operator="equal">
      <formula>"NOK"</formula>
    </cfRule>
    <cfRule type="cellIs" dxfId="1818" priority="399" operator="equal">
      <formula>"OK"</formula>
    </cfRule>
  </conditionalFormatting>
  <conditionalFormatting sqref="B7:B8">
    <cfRule type="cellIs" dxfId="1817" priority="388" operator="equal">
      <formula>"NR"</formula>
    </cfRule>
    <cfRule type="cellIs" dxfId="1816" priority="389" operator="equal">
      <formula>"NOK"</formula>
    </cfRule>
    <cfRule type="cellIs" dxfId="1815" priority="390" operator="equal">
      <formula>"OK"</formula>
    </cfRule>
  </conditionalFormatting>
  <conditionalFormatting sqref="C229">
    <cfRule type="cellIs" dxfId="1814" priority="376" operator="equal">
      <formula>"NR"</formula>
    </cfRule>
    <cfRule type="cellIs" dxfId="1813" priority="377" operator="equal">
      <formula>"NOK"</formula>
    </cfRule>
    <cfRule type="cellIs" dxfId="1812" priority="378" operator="equal">
      <formula>"OK"</formula>
    </cfRule>
  </conditionalFormatting>
  <conditionalFormatting sqref="C15:C16">
    <cfRule type="cellIs" dxfId="1811" priority="385" operator="equal">
      <formula>"NR"</formula>
    </cfRule>
    <cfRule type="cellIs" dxfId="1810" priority="386" operator="equal">
      <formula>"NOK"</formula>
    </cfRule>
    <cfRule type="cellIs" dxfId="1809" priority="387" operator="equal">
      <formula>"OK"</formula>
    </cfRule>
  </conditionalFormatting>
  <conditionalFormatting sqref="B229">
    <cfRule type="cellIs" dxfId="1808" priority="379" operator="equal">
      <formula>"NR"</formula>
    </cfRule>
    <cfRule type="cellIs" dxfId="1807" priority="380" operator="equal">
      <formula>"NOK"</formula>
    </cfRule>
    <cfRule type="cellIs" dxfId="1806" priority="381" operator="equal">
      <formula>"OK"</formula>
    </cfRule>
  </conditionalFormatting>
  <conditionalFormatting sqref="B233:B234 B237 B240 B246 B252 B258 B264 B243 B249 B255 B261 B267">
    <cfRule type="cellIs" dxfId="1805" priority="373" operator="equal">
      <formula>"NR"</formula>
    </cfRule>
    <cfRule type="cellIs" dxfId="1804" priority="374" operator="equal">
      <formula>"NOK"</formula>
    </cfRule>
    <cfRule type="cellIs" dxfId="1803" priority="375" operator="equal">
      <formula>"OK"</formula>
    </cfRule>
  </conditionalFormatting>
  <conditionalFormatting sqref="C211">
    <cfRule type="cellIs" dxfId="1802" priority="361" operator="equal">
      <formula>"NR"</formula>
    </cfRule>
    <cfRule type="cellIs" dxfId="1801" priority="362" operator="equal">
      <formula>"NOK"</formula>
    </cfRule>
    <cfRule type="cellIs" dxfId="1800" priority="363" operator="equal">
      <formula>"OK"</formula>
    </cfRule>
  </conditionalFormatting>
  <conditionalFormatting sqref="C39 C42 C44 C47 C50 C52 C56:C58 C60 C62:C64 C67:C69 C71 C73:C75 C78:C80 C82 C84:C86 C89 C91 C95:C97 C99 C101:C103 C106:C108 C110 C112:C114 C117:C119 C121 C123:C125 C128 C130 C134 C136:C138 C141 C143:C145 C148 C150:C152 C155 C157:C159">
    <cfRule type="cellIs" dxfId="1799" priority="355" operator="equal">
      <formula>"NR"</formula>
    </cfRule>
    <cfRule type="cellIs" dxfId="1798" priority="356" operator="equal">
      <formula>"NOK"</formula>
    </cfRule>
    <cfRule type="cellIs" dxfId="1797" priority="357" operator="equal">
      <formula>"OK"</formula>
    </cfRule>
  </conditionalFormatting>
  <conditionalFormatting sqref="B36">
    <cfRule type="cellIs" dxfId="1796" priority="358" operator="equal">
      <formula>"NR"</formula>
    </cfRule>
    <cfRule type="cellIs" dxfId="1795" priority="359" operator="equal">
      <formula>"NOK"</formula>
    </cfRule>
    <cfRule type="cellIs" dxfId="1794" priority="360" operator="equal">
      <formula>"OK"</formula>
    </cfRule>
  </conditionalFormatting>
  <conditionalFormatting sqref="C11">
    <cfRule type="cellIs" dxfId="1793" priority="349" operator="equal">
      <formula>"NR"</formula>
    </cfRule>
    <cfRule type="cellIs" dxfId="1792" priority="350" operator="equal">
      <formula>"NOK"</formula>
    </cfRule>
    <cfRule type="cellIs" dxfId="1791" priority="351" operator="equal">
      <formula>"OK"</formula>
    </cfRule>
  </conditionalFormatting>
  <conditionalFormatting sqref="C12">
    <cfRule type="cellIs" dxfId="1790" priority="346" operator="equal">
      <formula>"NR"</formula>
    </cfRule>
    <cfRule type="cellIs" dxfId="1789" priority="347" operator="equal">
      <formula>"NOK"</formula>
    </cfRule>
    <cfRule type="cellIs" dxfId="1788" priority="348" operator="equal">
      <formula>"OK"</formula>
    </cfRule>
  </conditionalFormatting>
  <conditionalFormatting sqref="B38">
    <cfRule type="cellIs" dxfId="1787" priority="340" operator="equal">
      <formula>"NR"</formula>
    </cfRule>
    <cfRule type="cellIs" dxfId="1786" priority="341" operator="equal">
      <formula>"NOK"</formula>
    </cfRule>
    <cfRule type="cellIs" dxfId="1785" priority="342" operator="equal">
      <formula>"OK"</formula>
    </cfRule>
  </conditionalFormatting>
  <conditionalFormatting sqref="B37">
    <cfRule type="cellIs" dxfId="1784" priority="343" operator="equal">
      <formula>"NR"</formula>
    </cfRule>
    <cfRule type="cellIs" dxfId="1783" priority="344" operator="equal">
      <formula>"NOK"</formula>
    </cfRule>
    <cfRule type="cellIs" dxfId="1782" priority="345" operator="equal">
      <formula>"OK"</formula>
    </cfRule>
  </conditionalFormatting>
  <conditionalFormatting sqref="C226">
    <cfRule type="cellIs" dxfId="1781" priority="331" operator="equal">
      <formula>"NR"</formula>
    </cfRule>
    <cfRule type="cellIs" dxfId="1780" priority="332" operator="equal">
      <formula>"NOK"</formula>
    </cfRule>
    <cfRule type="cellIs" dxfId="1779" priority="333" operator="equal">
      <formula>"OK"</formula>
    </cfRule>
  </conditionalFormatting>
  <conditionalFormatting sqref="C225">
    <cfRule type="cellIs" dxfId="1778" priority="328" operator="equal">
      <formula>"NR"</formula>
    </cfRule>
    <cfRule type="cellIs" dxfId="1777" priority="329" operator="equal">
      <formula>"NOK"</formula>
    </cfRule>
    <cfRule type="cellIs" dxfId="1776" priority="330" operator="equal">
      <formula>"OK"</formula>
    </cfRule>
  </conditionalFormatting>
  <conditionalFormatting sqref="B270">
    <cfRule type="cellIs" dxfId="1775" priority="325" operator="equal">
      <formula>"NR"</formula>
    </cfRule>
    <cfRule type="cellIs" dxfId="1774" priority="326" operator="equal">
      <formula>"NOK"</formula>
    </cfRule>
    <cfRule type="cellIs" dxfId="1773" priority="327" operator="equal">
      <formula>"OK"</formula>
    </cfRule>
  </conditionalFormatting>
  <conditionalFormatting sqref="C17">
    <cfRule type="cellIs" dxfId="1772" priority="322" operator="equal">
      <formula>"NR"</formula>
    </cfRule>
    <cfRule type="cellIs" dxfId="1771" priority="323" operator="equal">
      <formula>"NOK"</formula>
    </cfRule>
    <cfRule type="cellIs" dxfId="1770" priority="324" operator="equal">
      <formula>"OK"</formula>
    </cfRule>
  </conditionalFormatting>
  <conditionalFormatting sqref="B18:B19">
    <cfRule type="cellIs" dxfId="1769" priority="319" operator="equal">
      <formula>"NR"</formula>
    </cfRule>
    <cfRule type="cellIs" dxfId="1768" priority="320" operator="equal">
      <formula>"NOK"</formula>
    </cfRule>
    <cfRule type="cellIs" dxfId="1767" priority="321" operator="equal">
      <formula>"OK"</formula>
    </cfRule>
  </conditionalFormatting>
  <conditionalFormatting sqref="C20">
    <cfRule type="cellIs" dxfId="1766" priority="316" operator="equal">
      <formula>"NR"</formula>
    </cfRule>
    <cfRule type="cellIs" dxfId="1765" priority="317" operator="equal">
      <formula>"NOK"</formula>
    </cfRule>
    <cfRule type="cellIs" dxfId="1764" priority="318" operator="equal">
      <formula>"OK"</formula>
    </cfRule>
  </conditionalFormatting>
  <conditionalFormatting sqref="C21">
    <cfRule type="cellIs" dxfId="1763" priority="313" operator="equal">
      <formula>"NR"</formula>
    </cfRule>
    <cfRule type="cellIs" dxfId="1762" priority="314" operator="equal">
      <formula>"NOK"</formula>
    </cfRule>
    <cfRule type="cellIs" dxfId="1761" priority="315" operator="equal">
      <formula>"OK"</formula>
    </cfRule>
  </conditionalFormatting>
  <conditionalFormatting sqref="B22:B23">
    <cfRule type="cellIs" dxfId="1760" priority="310" operator="equal">
      <formula>"NR"</formula>
    </cfRule>
    <cfRule type="cellIs" dxfId="1759" priority="311" operator="equal">
      <formula>"NOK"</formula>
    </cfRule>
    <cfRule type="cellIs" dxfId="1758" priority="312" operator="equal">
      <formula>"OK"</formula>
    </cfRule>
  </conditionalFormatting>
  <conditionalFormatting sqref="C24:C25">
    <cfRule type="cellIs" dxfId="1757" priority="307" operator="equal">
      <formula>"NR"</formula>
    </cfRule>
    <cfRule type="cellIs" dxfId="1756" priority="308" operator="equal">
      <formula>"NOK"</formula>
    </cfRule>
    <cfRule type="cellIs" dxfId="1755" priority="309" operator="equal">
      <formula>"OK"</formula>
    </cfRule>
  </conditionalFormatting>
  <conditionalFormatting sqref="C26 C31 C35">
    <cfRule type="cellIs" dxfId="1754" priority="304" operator="equal">
      <formula>"NR"</formula>
    </cfRule>
    <cfRule type="cellIs" dxfId="1753" priority="305" operator="equal">
      <formula>"NOK"</formula>
    </cfRule>
    <cfRule type="cellIs" dxfId="1752" priority="306" operator="equal">
      <formula>"OK"</formula>
    </cfRule>
  </conditionalFormatting>
  <conditionalFormatting sqref="B27:B28">
    <cfRule type="cellIs" dxfId="1751" priority="301" operator="equal">
      <formula>"NR"</formula>
    </cfRule>
    <cfRule type="cellIs" dxfId="1750" priority="302" operator="equal">
      <formula>"NOK"</formula>
    </cfRule>
    <cfRule type="cellIs" dxfId="1749" priority="303" operator="equal">
      <formula>"OK"</formula>
    </cfRule>
  </conditionalFormatting>
  <conditionalFormatting sqref="C29:C30">
    <cfRule type="cellIs" dxfId="1748" priority="298" operator="equal">
      <formula>"NR"</formula>
    </cfRule>
    <cfRule type="cellIs" dxfId="1747" priority="299" operator="equal">
      <formula>"NOK"</formula>
    </cfRule>
    <cfRule type="cellIs" dxfId="1746" priority="300" operator="equal">
      <formula>"OK"</formula>
    </cfRule>
  </conditionalFormatting>
  <conditionalFormatting sqref="B32:B33">
    <cfRule type="cellIs" dxfId="1745" priority="295" operator="equal">
      <formula>"NR"</formula>
    </cfRule>
    <cfRule type="cellIs" dxfId="1744" priority="296" operator="equal">
      <formula>"NOK"</formula>
    </cfRule>
    <cfRule type="cellIs" dxfId="1743" priority="297" operator="equal">
      <formula>"OK"</formula>
    </cfRule>
  </conditionalFormatting>
  <conditionalFormatting sqref="C34">
    <cfRule type="cellIs" dxfId="1742" priority="292" operator="equal">
      <formula>"NR"</formula>
    </cfRule>
    <cfRule type="cellIs" dxfId="1741" priority="293" operator="equal">
      <formula>"NOK"</formula>
    </cfRule>
    <cfRule type="cellIs" dxfId="1740" priority="294" operator="equal">
      <formula>"OK"</formula>
    </cfRule>
  </conditionalFormatting>
  <conditionalFormatting sqref="B40:B41">
    <cfRule type="cellIs" dxfId="1739" priority="289" operator="equal">
      <formula>"NR"</formula>
    </cfRule>
    <cfRule type="cellIs" dxfId="1738" priority="290" operator="equal">
      <formula>"NOK"</formula>
    </cfRule>
    <cfRule type="cellIs" dxfId="1737" priority="291" operator="equal">
      <formula>"OK"</formula>
    </cfRule>
  </conditionalFormatting>
  <conditionalFormatting sqref="B43">
    <cfRule type="cellIs" dxfId="1736" priority="286" operator="equal">
      <formula>"NR"</formula>
    </cfRule>
    <cfRule type="cellIs" dxfId="1735" priority="287" operator="equal">
      <formula>"NOK"</formula>
    </cfRule>
    <cfRule type="cellIs" dxfId="1734" priority="288" operator="equal">
      <formula>"OK"</formula>
    </cfRule>
  </conditionalFormatting>
  <conditionalFormatting sqref="B45:B46">
    <cfRule type="cellIs" dxfId="1733" priority="283" operator="equal">
      <formula>"NR"</formula>
    </cfRule>
    <cfRule type="cellIs" dxfId="1732" priority="284" operator="equal">
      <formula>"NOK"</formula>
    </cfRule>
    <cfRule type="cellIs" dxfId="1731" priority="285" operator="equal">
      <formula>"OK"</formula>
    </cfRule>
  </conditionalFormatting>
  <conditionalFormatting sqref="B48:B49">
    <cfRule type="cellIs" dxfId="1730" priority="280" operator="equal">
      <formula>"NR"</formula>
    </cfRule>
    <cfRule type="cellIs" dxfId="1729" priority="281" operator="equal">
      <formula>"NOK"</formula>
    </cfRule>
    <cfRule type="cellIs" dxfId="1728" priority="282" operator="equal">
      <formula>"OK"</formula>
    </cfRule>
  </conditionalFormatting>
  <conditionalFormatting sqref="B51">
    <cfRule type="cellIs" dxfId="1727" priority="277" operator="equal">
      <formula>"NR"</formula>
    </cfRule>
    <cfRule type="cellIs" dxfId="1726" priority="278" operator="equal">
      <formula>"NOK"</formula>
    </cfRule>
    <cfRule type="cellIs" dxfId="1725" priority="279" operator="equal">
      <formula>"OK"</formula>
    </cfRule>
  </conditionalFormatting>
  <conditionalFormatting sqref="B53">
    <cfRule type="cellIs" dxfId="1724" priority="274" operator="equal">
      <formula>"NR"</formula>
    </cfRule>
    <cfRule type="cellIs" dxfId="1723" priority="275" operator="equal">
      <formula>"NOK"</formula>
    </cfRule>
    <cfRule type="cellIs" dxfId="1722" priority="276" operator="equal">
      <formula>"OK"</formula>
    </cfRule>
  </conditionalFormatting>
  <conditionalFormatting sqref="B54">
    <cfRule type="cellIs" dxfId="1721" priority="271" operator="equal">
      <formula>"NR"</formula>
    </cfRule>
    <cfRule type="cellIs" dxfId="1720" priority="272" operator="equal">
      <formula>"NOK"</formula>
    </cfRule>
    <cfRule type="cellIs" dxfId="1719" priority="273" operator="equal">
      <formula>"OK"</formula>
    </cfRule>
  </conditionalFormatting>
  <conditionalFormatting sqref="B55">
    <cfRule type="cellIs" dxfId="1718" priority="268" operator="equal">
      <formula>"NR"</formula>
    </cfRule>
    <cfRule type="cellIs" dxfId="1717" priority="269" operator="equal">
      <formula>"NOK"</formula>
    </cfRule>
    <cfRule type="cellIs" dxfId="1716" priority="270" operator="equal">
      <formula>"OK"</formula>
    </cfRule>
  </conditionalFormatting>
  <conditionalFormatting sqref="B59">
    <cfRule type="cellIs" dxfId="1715" priority="265" operator="equal">
      <formula>"NR"</formula>
    </cfRule>
    <cfRule type="cellIs" dxfId="1714" priority="266" operator="equal">
      <formula>"NOK"</formula>
    </cfRule>
    <cfRule type="cellIs" dxfId="1713" priority="267" operator="equal">
      <formula>"OK"</formula>
    </cfRule>
  </conditionalFormatting>
  <conditionalFormatting sqref="B61">
    <cfRule type="cellIs" dxfId="1712" priority="262" operator="equal">
      <formula>"NR"</formula>
    </cfRule>
    <cfRule type="cellIs" dxfId="1711" priority="263" operator="equal">
      <formula>"NOK"</formula>
    </cfRule>
    <cfRule type="cellIs" dxfId="1710" priority="264" operator="equal">
      <formula>"OK"</formula>
    </cfRule>
  </conditionalFormatting>
  <conditionalFormatting sqref="B65:B66">
    <cfRule type="cellIs" dxfId="1709" priority="259" operator="equal">
      <formula>"NR"</formula>
    </cfRule>
    <cfRule type="cellIs" dxfId="1708" priority="260" operator="equal">
      <formula>"NOK"</formula>
    </cfRule>
    <cfRule type="cellIs" dxfId="1707" priority="261" operator="equal">
      <formula>"OK"</formula>
    </cfRule>
  </conditionalFormatting>
  <conditionalFormatting sqref="B70">
    <cfRule type="cellIs" dxfId="1706" priority="256" operator="equal">
      <formula>"NR"</formula>
    </cfRule>
    <cfRule type="cellIs" dxfId="1705" priority="257" operator="equal">
      <formula>"NOK"</formula>
    </cfRule>
    <cfRule type="cellIs" dxfId="1704" priority="258" operator="equal">
      <formula>"OK"</formula>
    </cfRule>
  </conditionalFormatting>
  <conditionalFormatting sqref="B72">
    <cfRule type="cellIs" dxfId="1703" priority="253" operator="equal">
      <formula>"NR"</formula>
    </cfRule>
    <cfRule type="cellIs" dxfId="1702" priority="254" operator="equal">
      <formula>"NOK"</formula>
    </cfRule>
    <cfRule type="cellIs" dxfId="1701" priority="255" operator="equal">
      <formula>"OK"</formula>
    </cfRule>
  </conditionalFormatting>
  <conditionalFormatting sqref="B76:B77">
    <cfRule type="cellIs" dxfId="1700" priority="250" operator="equal">
      <formula>"NR"</formula>
    </cfRule>
    <cfRule type="cellIs" dxfId="1699" priority="251" operator="equal">
      <formula>"NOK"</formula>
    </cfRule>
    <cfRule type="cellIs" dxfId="1698" priority="252" operator="equal">
      <formula>"OK"</formula>
    </cfRule>
  </conditionalFormatting>
  <conditionalFormatting sqref="B81">
    <cfRule type="cellIs" dxfId="1697" priority="247" operator="equal">
      <formula>"NR"</formula>
    </cfRule>
    <cfRule type="cellIs" dxfId="1696" priority="248" operator="equal">
      <formula>"NOK"</formula>
    </cfRule>
    <cfRule type="cellIs" dxfId="1695" priority="249" operator="equal">
      <formula>"OK"</formula>
    </cfRule>
  </conditionalFormatting>
  <conditionalFormatting sqref="B83">
    <cfRule type="cellIs" dxfId="1694" priority="244" operator="equal">
      <formula>"NR"</formula>
    </cfRule>
    <cfRule type="cellIs" dxfId="1693" priority="245" operator="equal">
      <formula>"NOK"</formula>
    </cfRule>
    <cfRule type="cellIs" dxfId="1692" priority="246" operator="equal">
      <formula>"OK"</formula>
    </cfRule>
  </conditionalFormatting>
  <conditionalFormatting sqref="B87:B88">
    <cfRule type="cellIs" dxfId="1691" priority="241" operator="equal">
      <formula>"NR"</formula>
    </cfRule>
    <cfRule type="cellIs" dxfId="1690" priority="242" operator="equal">
      <formula>"NOK"</formula>
    </cfRule>
    <cfRule type="cellIs" dxfId="1689" priority="243" operator="equal">
      <formula>"OK"</formula>
    </cfRule>
  </conditionalFormatting>
  <conditionalFormatting sqref="B90">
    <cfRule type="cellIs" dxfId="1688" priority="238" operator="equal">
      <formula>"NR"</formula>
    </cfRule>
    <cfRule type="cellIs" dxfId="1687" priority="239" operator="equal">
      <formula>"NOK"</formula>
    </cfRule>
    <cfRule type="cellIs" dxfId="1686" priority="240" operator="equal">
      <formula>"OK"</formula>
    </cfRule>
  </conditionalFormatting>
  <conditionalFormatting sqref="B92">
    <cfRule type="cellIs" dxfId="1685" priority="235" operator="equal">
      <formula>"NR"</formula>
    </cfRule>
    <cfRule type="cellIs" dxfId="1684" priority="236" operator="equal">
      <formula>"NOK"</formula>
    </cfRule>
    <cfRule type="cellIs" dxfId="1683" priority="237" operator="equal">
      <formula>"OK"</formula>
    </cfRule>
  </conditionalFormatting>
  <conditionalFormatting sqref="B93">
    <cfRule type="cellIs" dxfId="1682" priority="232" operator="equal">
      <formula>"NR"</formula>
    </cfRule>
    <cfRule type="cellIs" dxfId="1681" priority="233" operator="equal">
      <formula>"NOK"</formula>
    </cfRule>
    <cfRule type="cellIs" dxfId="1680" priority="234" operator="equal">
      <formula>"OK"</formula>
    </cfRule>
  </conditionalFormatting>
  <conditionalFormatting sqref="B94">
    <cfRule type="cellIs" dxfId="1679" priority="229" operator="equal">
      <formula>"NR"</formula>
    </cfRule>
    <cfRule type="cellIs" dxfId="1678" priority="230" operator="equal">
      <formula>"NOK"</formula>
    </cfRule>
    <cfRule type="cellIs" dxfId="1677" priority="231" operator="equal">
      <formula>"OK"</formula>
    </cfRule>
  </conditionalFormatting>
  <conditionalFormatting sqref="B98">
    <cfRule type="cellIs" dxfId="1676" priority="226" operator="equal">
      <formula>"NR"</formula>
    </cfRule>
    <cfRule type="cellIs" dxfId="1675" priority="227" operator="equal">
      <formula>"NOK"</formula>
    </cfRule>
    <cfRule type="cellIs" dxfId="1674" priority="228" operator="equal">
      <formula>"OK"</formula>
    </cfRule>
  </conditionalFormatting>
  <conditionalFormatting sqref="B100">
    <cfRule type="cellIs" dxfId="1673" priority="223" operator="equal">
      <formula>"NR"</formula>
    </cfRule>
    <cfRule type="cellIs" dxfId="1672" priority="224" operator="equal">
      <formula>"NOK"</formula>
    </cfRule>
    <cfRule type="cellIs" dxfId="1671" priority="225" operator="equal">
      <formula>"OK"</formula>
    </cfRule>
  </conditionalFormatting>
  <conditionalFormatting sqref="B104:B105">
    <cfRule type="cellIs" dxfId="1670" priority="220" operator="equal">
      <formula>"NR"</formula>
    </cfRule>
    <cfRule type="cellIs" dxfId="1669" priority="221" operator="equal">
      <formula>"NOK"</formula>
    </cfRule>
    <cfRule type="cellIs" dxfId="1668" priority="222" operator="equal">
      <formula>"OK"</formula>
    </cfRule>
  </conditionalFormatting>
  <conditionalFormatting sqref="B109">
    <cfRule type="cellIs" dxfId="1667" priority="217" operator="equal">
      <formula>"NR"</formula>
    </cfRule>
    <cfRule type="cellIs" dxfId="1666" priority="218" operator="equal">
      <formula>"NOK"</formula>
    </cfRule>
    <cfRule type="cellIs" dxfId="1665" priority="219" operator="equal">
      <formula>"OK"</formula>
    </cfRule>
  </conditionalFormatting>
  <conditionalFormatting sqref="B111">
    <cfRule type="cellIs" dxfId="1664" priority="214" operator="equal">
      <formula>"NR"</formula>
    </cfRule>
    <cfRule type="cellIs" dxfId="1663" priority="215" operator="equal">
      <formula>"NOK"</formula>
    </cfRule>
    <cfRule type="cellIs" dxfId="1662" priority="216" operator="equal">
      <formula>"OK"</formula>
    </cfRule>
  </conditionalFormatting>
  <conditionalFormatting sqref="B115:B116">
    <cfRule type="cellIs" dxfId="1661" priority="211" operator="equal">
      <formula>"NR"</formula>
    </cfRule>
    <cfRule type="cellIs" dxfId="1660" priority="212" operator="equal">
      <formula>"NOK"</formula>
    </cfRule>
    <cfRule type="cellIs" dxfId="1659" priority="213" operator="equal">
      <formula>"OK"</formula>
    </cfRule>
  </conditionalFormatting>
  <conditionalFormatting sqref="B120">
    <cfRule type="cellIs" dxfId="1658" priority="208" operator="equal">
      <formula>"NR"</formula>
    </cfRule>
    <cfRule type="cellIs" dxfId="1657" priority="209" operator="equal">
      <formula>"NOK"</formula>
    </cfRule>
    <cfRule type="cellIs" dxfId="1656" priority="210" operator="equal">
      <formula>"OK"</formula>
    </cfRule>
  </conditionalFormatting>
  <conditionalFormatting sqref="B122">
    <cfRule type="cellIs" dxfId="1655" priority="205" operator="equal">
      <formula>"NR"</formula>
    </cfRule>
    <cfRule type="cellIs" dxfId="1654" priority="206" operator="equal">
      <formula>"NOK"</formula>
    </cfRule>
    <cfRule type="cellIs" dxfId="1653" priority="207" operator="equal">
      <formula>"OK"</formula>
    </cfRule>
  </conditionalFormatting>
  <conditionalFormatting sqref="B126:B127">
    <cfRule type="cellIs" dxfId="1652" priority="202" operator="equal">
      <formula>"NR"</formula>
    </cfRule>
    <cfRule type="cellIs" dxfId="1651" priority="203" operator="equal">
      <formula>"NOK"</formula>
    </cfRule>
    <cfRule type="cellIs" dxfId="1650" priority="204" operator="equal">
      <formula>"OK"</formula>
    </cfRule>
  </conditionalFormatting>
  <conditionalFormatting sqref="B129">
    <cfRule type="cellIs" dxfId="1649" priority="199" operator="equal">
      <formula>"NR"</formula>
    </cfRule>
    <cfRule type="cellIs" dxfId="1648" priority="200" operator="equal">
      <formula>"NOK"</formula>
    </cfRule>
    <cfRule type="cellIs" dxfId="1647" priority="201" operator="equal">
      <formula>"OK"</formula>
    </cfRule>
  </conditionalFormatting>
  <conditionalFormatting sqref="B131">
    <cfRule type="cellIs" dxfId="1646" priority="196" operator="equal">
      <formula>"NR"</formula>
    </cfRule>
    <cfRule type="cellIs" dxfId="1645" priority="197" operator="equal">
      <formula>"NOK"</formula>
    </cfRule>
    <cfRule type="cellIs" dxfId="1644" priority="198" operator="equal">
      <formula>"OK"</formula>
    </cfRule>
  </conditionalFormatting>
  <conditionalFormatting sqref="B132">
    <cfRule type="cellIs" dxfId="1643" priority="193" operator="equal">
      <formula>"NR"</formula>
    </cfRule>
    <cfRule type="cellIs" dxfId="1642" priority="194" operator="equal">
      <formula>"NOK"</formula>
    </cfRule>
    <cfRule type="cellIs" dxfId="1641" priority="195" operator="equal">
      <formula>"OK"</formula>
    </cfRule>
  </conditionalFormatting>
  <conditionalFormatting sqref="B133">
    <cfRule type="cellIs" dxfId="1640" priority="190" operator="equal">
      <formula>"NR"</formula>
    </cfRule>
    <cfRule type="cellIs" dxfId="1639" priority="191" operator="equal">
      <formula>"NOK"</formula>
    </cfRule>
    <cfRule type="cellIs" dxfId="1638" priority="192" operator="equal">
      <formula>"OK"</formula>
    </cfRule>
  </conditionalFormatting>
  <conditionalFormatting sqref="B135">
    <cfRule type="cellIs" dxfId="1637" priority="187" operator="equal">
      <formula>"NR"</formula>
    </cfRule>
    <cfRule type="cellIs" dxfId="1636" priority="188" operator="equal">
      <formula>"NOK"</formula>
    </cfRule>
    <cfRule type="cellIs" dxfId="1635" priority="189" operator="equal">
      <formula>"OK"</formula>
    </cfRule>
  </conditionalFormatting>
  <conditionalFormatting sqref="B139">
    <cfRule type="cellIs" dxfId="1634" priority="184" operator="equal">
      <formula>"NR"</formula>
    </cfRule>
    <cfRule type="cellIs" dxfId="1633" priority="185" operator="equal">
      <formula>"NOK"</formula>
    </cfRule>
    <cfRule type="cellIs" dxfId="1632" priority="186" operator="equal">
      <formula>"OK"</formula>
    </cfRule>
  </conditionalFormatting>
  <conditionalFormatting sqref="B140">
    <cfRule type="cellIs" dxfId="1631" priority="181" operator="equal">
      <formula>"NR"</formula>
    </cfRule>
    <cfRule type="cellIs" dxfId="1630" priority="182" operator="equal">
      <formula>"NOK"</formula>
    </cfRule>
    <cfRule type="cellIs" dxfId="1629" priority="183" operator="equal">
      <formula>"OK"</formula>
    </cfRule>
  </conditionalFormatting>
  <conditionalFormatting sqref="B142">
    <cfRule type="cellIs" dxfId="1628" priority="178" operator="equal">
      <formula>"NR"</formula>
    </cfRule>
    <cfRule type="cellIs" dxfId="1627" priority="179" operator="equal">
      <formula>"NOK"</formula>
    </cfRule>
    <cfRule type="cellIs" dxfId="1626" priority="180" operator="equal">
      <formula>"OK"</formula>
    </cfRule>
  </conditionalFormatting>
  <conditionalFormatting sqref="B146">
    <cfRule type="cellIs" dxfId="1625" priority="175" operator="equal">
      <formula>"NR"</formula>
    </cfRule>
    <cfRule type="cellIs" dxfId="1624" priority="176" operator="equal">
      <formula>"NOK"</formula>
    </cfRule>
    <cfRule type="cellIs" dxfId="1623" priority="177" operator="equal">
      <formula>"OK"</formula>
    </cfRule>
  </conditionalFormatting>
  <conditionalFormatting sqref="B147">
    <cfRule type="cellIs" dxfId="1622" priority="172" operator="equal">
      <formula>"NR"</formula>
    </cfRule>
    <cfRule type="cellIs" dxfId="1621" priority="173" operator="equal">
      <formula>"NOK"</formula>
    </cfRule>
    <cfRule type="cellIs" dxfId="1620" priority="174" operator="equal">
      <formula>"OK"</formula>
    </cfRule>
  </conditionalFormatting>
  <conditionalFormatting sqref="B149">
    <cfRule type="cellIs" dxfId="1619" priority="169" operator="equal">
      <formula>"NR"</formula>
    </cfRule>
    <cfRule type="cellIs" dxfId="1618" priority="170" operator="equal">
      <formula>"NOK"</formula>
    </cfRule>
    <cfRule type="cellIs" dxfId="1617" priority="171" operator="equal">
      <formula>"OK"</formula>
    </cfRule>
  </conditionalFormatting>
  <conditionalFormatting sqref="B153">
    <cfRule type="cellIs" dxfId="1616" priority="166" operator="equal">
      <formula>"NR"</formula>
    </cfRule>
    <cfRule type="cellIs" dxfId="1615" priority="167" operator="equal">
      <formula>"NOK"</formula>
    </cfRule>
    <cfRule type="cellIs" dxfId="1614" priority="168" operator="equal">
      <formula>"OK"</formula>
    </cfRule>
  </conditionalFormatting>
  <conditionalFormatting sqref="B154">
    <cfRule type="cellIs" dxfId="1613" priority="163" operator="equal">
      <formula>"NR"</formula>
    </cfRule>
    <cfRule type="cellIs" dxfId="1612" priority="164" operator="equal">
      <formula>"NOK"</formula>
    </cfRule>
    <cfRule type="cellIs" dxfId="1611" priority="165" operator="equal">
      <formula>"OK"</formula>
    </cfRule>
  </conditionalFormatting>
  <conditionalFormatting sqref="B156">
    <cfRule type="cellIs" dxfId="1610" priority="160" operator="equal">
      <formula>"NR"</formula>
    </cfRule>
    <cfRule type="cellIs" dxfId="1609" priority="161" operator="equal">
      <formula>"NOK"</formula>
    </cfRule>
    <cfRule type="cellIs" dxfId="1608" priority="162" operator="equal">
      <formula>"OK"</formula>
    </cfRule>
  </conditionalFormatting>
  <conditionalFormatting sqref="B160">
    <cfRule type="cellIs" dxfId="1607" priority="157" operator="equal">
      <formula>"NR"</formula>
    </cfRule>
    <cfRule type="cellIs" dxfId="1606" priority="158" operator="equal">
      <formula>"NOK"</formula>
    </cfRule>
    <cfRule type="cellIs" dxfId="1605" priority="159" operator="equal">
      <formula>"OK"</formula>
    </cfRule>
  </conditionalFormatting>
  <conditionalFormatting sqref="B161">
    <cfRule type="cellIs" dxfId="1604" priority="154" operator="equal">
      <formula>"NR"</formula>
    </cfRule>
    <cfRule type="cellIs" dxfId="1603" priority="155" operator="equal">
      <formula>"NOK"</formula>
    </cfRule>
    <cfRule type="cellIs" dxfId="1602" priority="156" operator="equal">
      <formula>"OK"</formula>
    </cfRule>
  </conditionalFormatting>
  <conditionalFormatting sqref="B162">
    <cfRule type="cellIs" dxfId="1601" priority="151" operator="equal">
      <formula>"NR"</formula>
    </cfRule>
    <cfRule type="cellIs" dxfId="1600" priority="152" operator="equal">
      <formula>"NOK"</formula>
    </cfRule>
    <cfRule type="cellIs" dxfId="1599" priority="153" operator="equal">
      <formula>"OK"</formula>
    </cfRule>
  </conditionalFormatting>
  <conditionalFormatting sqref="C163">
    <cfRule type="cellIs" dxfId="1598" priority="148" operator="equal">
      <formula>"NR"</formula>
    </cfRule>
    <cfRule type="cellIs" dxfId="1597" priority="149" operator="equal">
      <formula>"NOK"</formula>
    </cfRule>
    <cfRule type="cellIs" dxfId="1596" priority="150" operator="equal">
      <formula>"OK"</formula>
    </cfRule>
  </conditionalFormatting>
  <conditionalFormatting sqref="B164">
    <cfRule type="cellIs" dxfId="1595" priority="145" operator="equal">
      <formula>"NR"</formula>
    </cfRule>
    <cfRule type="cellIs" dxfId="1594" priority="146" operator="equal">
      <formula>"NOK"</formula>
    </cfRule>
    <cfRule type="cellIs" dxfId="1593" priority="147" operator="equal">
      <formula>"OK"</formula>
    </cfRule>
  </conditionalFormatting>
  <conditionalFormatting sqref="B165">
    <cfRule type="cellIs" dxfId="1592" priority="142" operator="equal">
      <formula>"NR"</formula>
    </cfRule>
    <cfRule type="cellIs" dxfId="1591" priority="143" operator="equal">
      <formula>"NOK"</formula>
    </cfRule>
    <cfRule type="cellIs" dxfId="1590" priority="144" operator="equal">
      <formula>"OK"</formula>
    </cfRule>
  </conditionalFormatting>
  <conditionalFormatting sqref="C166">
    <cfRule type="cellIs" dxfId="1589" priority="139" operator="equal">
      <formula>"NR"</formula>
    </cfRule>
    <cfRule type="cellIs" dxfId="1588" priority="140" operator="equal">
      <formula>"NOK"</formula>
    </cfRule>
    <cfRule type="cellIs" dxfId="1587" priority="141" operator="equal">
      <formula>"OK"</formula>
    </cfRule>
  </conditionalFormatting>
  <conditionalFormatting sqref="B167">
    <cfRule type="cellIs" dxfId="1586" priority="136" operator="equal">
      <formula>"NR"</formula>
    </cfRule>
    <cfRule type="cellIs" dxfId="1585" priority="137" operator="equal">
      <formula>"NOK"</formula>
    </cfRule>
    <cfRule type="cellIs" dxfId="1584" priority="138" operator="equal">
      <formula>"OK"</formula>
    </cfRule>
  </conditionalFormatting>
  <conditionalFormatting sqref="B168">
    <cfRule type="cellIs" dxfId="1583" priority="133" operator="equal">
      <formula>"NR"</formula>
    </cfRule>
    <cfRule type="cellIs" dxfId="1582" priority="134" operator="equal">
      <formula>"NOK"</formula>
    </cfRule>
    <cfRule type="cellIs" dxfId="1581" priority="135" operator="equal">
      <formula>"OK"</formula>
    </cfRule>
  </conditionalFormatting>
  <conditionalFormatting sqref="C169">
    <cfRule type="cellIs" dxfId="1580" priority="130" operator="equal">
      <formula>"NR"</formula>
    </cfRule>
    <cfRule type="cellIs" dxfId="1579" priority="131" operator="equal">
      <formula>"NOK"</formula>
    </cfRule>
    <cfRule type="cellIs" dxfId="1578" priority="132" operator="equal">
      <formula>"OK"</formula>
    </cfRule>
  </conditionalFormatting>
  <conditionalFormatting sqref="B170">
    <cfRule type="cellIs" dxfId="1577" priority="127" operator="equal">
      <formula>"NR"</formula>
    </cfRule>
    <cfRule type="cellIs" dxfId="1576" priority="128" operator="equal">
      <formula>"NOK"</formula>
    </cfRule>
    <cfRule type="cellIs" dxfId="1575" priority="129" operator="equal">
      <formula>"OK"</formula>
    </cfRule>
  </conditionalFormatting>
  <conditionalFormatting sqref="B171">
    <cfRule type="cellIs" dxfId="1574" priority="124" operator="equal">
      <formula>"NR"</formula>
    </cfRule>
    <cfRule type="cellIs" dxfId="1573" priority="125" operator="equal">
      <formula>"NOK"</formula>
    </cfRule>
    <cfRule type="cellIs" dxfId="1572" priority="126" operator="equal">
      <formula>"OK"</formula>
    </cfRule>
  </conditionalFormatting>
  <conditionalFormatting sqref="C172">
    <cfRule type="cellIs" dxfId="1571" priority="121" operator="equal">
      <formula>"NR"</formula>
    </cfRule>
    <cfRule type="cellIs" dxfId="1570" priority="122" operator="equal">
      <formula>"NOK"</formula>
    </cfRule>
    <cfRule type="cellIs" dxfId="1569" priority="123" operator="equal">
      <formula>"OK"</formula>
    </cfRule>
  </conditionalFormatting>
  <conditionalFormatting sqref="B173">
    <cfRule type="cellIs" dxfId="1568" priority="118" operator="equal">
      <formula>"NR"</formula>
    </cfRule>
    <cfRule type="cellIs" dxfId="1567" priority="119" operator="equal">
      <formula>"NOK"</formula>
    </cfRule>
    <cfRule type="cellIs" dxfId="1566" priority="120" operator="equal">
      <formula>"OK"</formula>
    </cfRule>
  </conditionalFormatting>
  <conditionalFormatting sqref="B174">
    <cfRule type="cellIs" dxfId="1565" priority="115" operator="equal">
      <formula>"NR"</formula>
    </cfRule>
    <cfRule type="cellIs" dxfId="1564" priority="116" operator="equal">
      <formula>"NOK"</formula>
    </cfRule>
    <cfRule type="cellIs" dxfId="1563" priority="117" operator="equal">
      <formula>"OK"</formula>
    </cfRule>
  </conditionalFormatting>
  <conditionalFormatting sqref="B175">
    <cfRule type="cellIs" dxfId="1562" priority="109" operator="equal">
      <formula>"NR"</formula>
    </cfRule>
    <cfRule type="cellIs" dxfId="1561" priority="110" operator="equal">
      <formula>"NOK"</formula>
    </cfRule>
    <cfRule type="cellIs" dxfId="1560" priority="111" operator="equal">
      <formula>"OK"</formula>
    </cfRule>
  </conditionalFormatting>
  <conditionalFormatting sqref="C176">
    <cfRule type="cellIs" dxfId="1559" priority="106" operator="equal">
      <formula>"NR"</formula>
    </cfRule>
    <cfRule type="cellIs" dxfId="1558" priority="107" operator="equal">
      <formula>"NOK"</formula>
    </cfRule>
    <cfRule type="cellIs" dxfId="1557" priority="108" operator="equal">
      <formula>"OK"</formula>
    </cfRule>
  </conditionalFormatting>
  <conditionalFormatting sqref="B177">
    <cfRule type="cellIs" dxfId="1556" priority="103" operator="equal">
      <formula>"NR"</formula>
    </cfRule>
    <cfRule type="cellIs" dxfId="1555" priority="104" operator="equal">
      <formula>"NOK"</formula>
    </cfRule>
    <cfRule type="cellIs" dxfId="1554" priority="105" operator="equal">
      <formula>"OK"</formula>
    </cfRule>
  </conditionalFormatting>
  <conditionalFormatting sqref="B178">
    <cfRule type="cellIs" dxfId="1553" priority="100" operator="equal">
      <formula>"NR"</formula>
    </cfRule>
    <cfRule type="cellIs" dxfId="1552" priority="101" operator="equal">
      <formula>"NOK"</formula>
    </cfRule>
    <cfRule type="cellIs" dxfId="1551" priority="102" operator="equal">
      <formula>"OK"</formula>
    </cfRule>
  </conditionalFormatting>
  <conditionalFormatting sqref="C179">
    <cfRule type="cellIs" dxfId="1550" priority="97" operator="equal">
      <formula>"NR"</formula>
    </cfRule>
    <cfRule type="cellIs" dxfId="1549" priority="98" operator="equal">
      <formula>"NOK"</formula>
    </cfRule>
    <cfRule type="cellIs" dxfId="1548" priority="99" operator="equal">
      <formula>"OK"</formula>
    </cfRule>
  </conditionalFormatting>
  <conditionalFormatting sqref="B180">
    <cfRule type="cellIs" dxfId="1547" priority="94" operator="equal">
      <formula>"NR"</formula>
    </cfRule>
    <cfRule type="cellIs" dxfId="1546" priority="95" operator="equal">
      <formula>"NOK"</formula>
    </cfRule>
    <cfRule type="cellIs" dxfId="1545" priority="96" operator="equal">
      <formula>"OK"</formula>
    </cfRule>
  </conditionalFormatting>
  <conditionalFormatting sqref="B181">
    <cfRule type="cellIs" dxfId="1544" priority="91" operator="equal">
      <formula>"NR"</formula>
    </cfRule>
    <cfRule type="cellIs" dxfId="1543" priority="92" operator="equal">
      <formula>"NOK"</formula>
    </cfRule>
    <cfRule type="cellIs" dxfId="1542" priority="93" operator="equal">
      <formula>"OK"</formula>
    </cfRule>
  </conditionalFormatting>
  <conditionalFormatting sqref="C182">
    <cfRule type="cellIs" dxfId="1541" priority="88" operator="equal">
      <formula>"NR"</formula>
    </cfRule>
    <cfRule type="cellIs" dxfId="1540" priority="89" operator="equal">
      <formula>"NOK"</formula>
    </cfRule>
    <cfRule type="cellIs" dxfId="1539" priority="90" operator="equal">
      <formula>"OK"</formula>
    </cfRule>
  </conditionalFormatting>
  <conditionalFormatting sqref="B183">
    <cfRule type="cellIs" dxfId="1538" priority="85" operator="equal">
      <formula>"NR"</formula>
    </cfRule>
    <cfRule type="cellIs" dxfId="1537" priority="86" operator="equal">
      <formula>"NOK"</formula>
    </cfRule>
    <cfRule type="cellIs" dxfId="1536" priority="87" operator="equal">
      <formula>"OK"</formula>
    </cfRule>
  </conditionalFormatting>
  <conditionalFormatting sqref="B184">
    <cfRule type="cellIs" dxfId="1535" priority="82" operator="equal">
      <formula>"NR"</formula>
    </cfRule>
    <cfRule type="cellIs" dxfId="1534" priority="83" operator="equal">
      <formula>"NOK"</formula>
    </cfRule>
    <cfRule type="cellIs" dxfId="1533" priority="84" operator="equal">
      <formula>"OK"</formula>
    </cfRule>
  </conditionalFormatting>
  <conditionalFormatting sqref="C185">
    <cfRule type="cellIs" dxfId="1532" priority="79" operator="equal">
      <formula>"NR"</formula>
    </cfRule>
    <cfRule type="cellIs" dxfId="1531" priority="80" operator="equal">
      <formula>"NOK"</formula>
    </cfRule>
    <cfRule type="cellIs" dxfId="1530" priority="81" operator="equal">
      <formula>"OK"</formula>
    </cfRule>
  </conditionalFormatting>
  <conditionalFormatting sqref="B186">
    <cfRule type="cellIs" dxfId="1529" priority="76" operator="equal">
      <formula>"NR"</formula>
    </cfRule>
    <cfRule type="cellIs" dxfId="1528" priority="77" operator="equal">
      <formula>"NOK"</formula>
    </cfRule>
    <cfRule type="cellIs" dxfId="1527" priority="78" operator="equal">
      <formula>"OK"</formula>
    </cfRule>
  </conditionalFormatting>
  <conditionalFormatting sqref="B187">
    <cfRule type="cellIs" dxfId="1526" priority="73" operator="equal">
      <formula>"NR"</formula>
    </cfRule>
    <cfRule type="cellIs" dxfId="1525" priority="74" operator="equal">
      <formula>"NOK"</formula>
    </cfRule>
    <cfRule type="cellIs" dxfId="1524" priority="75" operator="equal">
      <formula>"OK"</formula>
    </cfRule>
  </conditionalFormatting>
  <conditionalFormatting sqref="B188">
    <cfRule type="cellIs" dxfId="1523" priority="70" operator="equal">
      <formula>"NR"</formula>
    </cfRule>
    <cfRule type="cellIs" dxfId="1522" priority="71" operator="equal">
      <formula>"NOK"</formula>
    </cfRule>
    <cfRule type="cellIs" dxfId="1521" priority="72" operator="equal">
      <formula>"OK"</formula>
    </cfRule>
  </conditionalFormatting>
  <conditionalFormatting sqref="C189">
    <cfRule type="cellIs" dxfId="1520" priority="67" operator="equal">
      <formula>"NR"</formula>
    </cfRule>
    <cfRule type="cellIs" dxfId="1519" priority="68" operator="equal">
      <formula>"NOK"</formula>
    </cfRule>
    <cfRule type="cellIs" dxfId="1518" priority="69" operator="equal">
      <formula>"OK"</formula>
    </cfRule>
  </conditionalFormatting>
  <conditionalFormatting sqref="B190">
    <cfRule type="cellIs" dxfId="1517" priority="64" operator="equal">
      <formula>"NR"</formula>
    </cfRule>
    <cfRule type="cellIs" dxfId="1516" priority="65" operator="equal">
      <formula>"NOK"</formula>
    </cfRule>
    <cfRule type="cellIs" dxfId="1515" priority="66" operator="equal">
      <formula>"OK"</formula>
    </cfRule>
  </conditionalFormatting>
  <conditionalFormatting sqref="B191">
    <cfRule type="cellIs" dxfId="1514" priority="61" operator="equal">
      <formula>"NR"</formula>
    </cfRule>
    <cfRule type="cellIs" dxfId="1513" priority="62" operator="equal">
      <formula>"NOK"</formula>
    </cfRule>
    <cfRule type="cellIs" dxfId="1512" priority="63" operator="equal">
      <formula>"OK"</formula>
    </cfRule>
  </conditionalFormatting>
  <conditionalFormatting sqref="C192">
    <cfRule type="cellIs" dxfId="1511" priority="58" operator="equal">
      <formula>"NR"</formula>
    </cfRule>
    <cfRule type="cellIs" dxfId="1510" priority="59" operator="equal">
      <formula>"NOK"</formula>
    </cfRule>
    <cfRule type="cellIs" dxfId="1509" priority="60" operator="equal">
      <formula>"OK"</formula>
    </cfRule>
  </conditionalFormatting>
  <conditionalFormatting sqref="B193">
    <cfRule type="cellIs" dxfId="1508" priority="55" operator="equal">
      <formula>"NR"</formula>
    </cfRule>
    <cfRule type="cellIs" dxfId="1507" priority="56" operator="equal">
      <formula>"NOK"</formula>
    </cfRule>
    <cfRule type="cellIs" dxfId="1506" priority="57" operator="equal">
      <formula>"OK"</formula>
    </cfRule>
  </conditionalFormatting>
  <conditionalFormatting sqref="B194">
    <cfRule type="cellIs" dxfId="1505" priority="52" operator="equal">
      <formula>"NR"</formula>
    </cfRule>
    <cfRule type="cellIs" dxfId="1504" priority="53" operator="equal">
      <formula>"NOK"</formula>
    </cfRule>
    <cfRule type="cellIs" dxfId="1503" priority="54" operator="equal">
      <formula>"OK"</formula>
    </cfRule>
  </conditionalFormatting>
  <conditionalFormatting sqref="C195">
    <cfRule type="cellIs" dxfId="1502" priority="49" operator="equal">
      <formula>"NR"</formula>
    </cfRule>
    <cfRule type="cellIs" dxfId="1501" priority="50" operator="equal">
      <formula>"NOK"</formula>
    </cfRule>
    <cfRule type="cellIs" dxfId="1500" priority="51" operator="equal">
      <formula>"OK"</formula>
    </cfRule>
  </conditionalFormatting>
  <conditionalFormatting sqref="B196">
    <cfRule type="cellIs" dxfId="1499" priority="46" operator="equal">
      <formula>"NR"</formula>
    </cfRule>
    <cfRule type="cellIs" dxfId="1498" priority="47" operator="equal">
      <formula>"NOK"</formula>
    </cfRule>
    <cfRule type="cellIs" dxfId="1497" priority="48" operator="equal">
      <formula>"OK"</formula>
    </cfRule>
  </conditionalFormatting>
  <conditionalFormatting sqref="B197">
    <cfRule type="cellIs" dxfId="1496" priority="43" operator="equal">
      <formula>"NR"</formula>
    </cfRule>
    <cfRule type="cellIs" dxfId="1495" priority="44" operator="equal">
      <formula>"NOK"</formula>
    </cfRule>
    <cfRule type="cellIs" dxfId="1494" priority="45" operator="equal">
      <formula>"OK"</formula>
    </cfRule>
  </conditionalFormatting>
  <conditionalFormatting sqref="C198">
    <cfRule type="cellIs" dxfId="1493" priority="40" operator="equal">
      <formula>"NR"</formula>
    </cfRule>
    <cfRule type="cellIs" dxfId="1492" priority="41" operator="equal">
      <formula>"NOK"</formula>
    </cfRule>
    <cfRule type="cellIs" dxfId="1491" priority="42" operator="equal">
      <formula>"OK"</formula>
    </cfRule>
  </conditionalFormatting>
  <conditionalFormatting sqref="B199">
    <cfRule type="cellIs" dxfId="1490" priority="37" operator="equal">
      <formula>"NR"</formula>
    </cfRule>
    <cfRule type="cellIs" dxfId="1489" priority="38" operator="equal">
      <formula>"NOK"</formula>
    </cfRule>
    <cfRule type="cellIs" dxfId="1488" priority="39" operator="equal">
      <formula>"OK"</formula>
    </cfRule>
  </conditionalFormatting>
  <conditionalFormatting sqref="B200">
    <cfRule type="cellIs" dxfId="1487" priority="34" operator="equal">
      <formula>"NR"</formula>
    </cfRule>
    <cfRule type="cellIs" dxfId="1486" priority="35" operator="equal">
      <formula>"NOK"</formula>
    </cfRule>
    <cfRule type="cellIs" dxfId="1485" priority="36" operator="equal">
      <formula>"OK"</formula>
    </cfRule>
  </conditionalFormatting>
  <conditionalFormatting sqref="B201">
    <cfRule type="cellIs" dxfId="1484" priority="31" operator="equal">
      <formula>"NR"</formula>
    </cfRule>
    <cfRule type="cellIs" dxfId="1483" priority="32" operator="equal">
      <formula>"NOK"</formula>
    </cfRule>
    <cfRule type="cellIs" dxfId="1482" priority="33" operator="equal">
      <formula>"OK"</formula>
    </cfRule>
  </conditionalFormatting>
  <conditionalFormatting sqref="C202">
    <cfRule type="cellIs" dxfId="1481" priority="28" operator="equal">
      <formula>"NR"</formula>
    </cfRule>
    <cfRule type="cellIs" dxfId="1480" priority="29" operator="equal">
      <formula>"NOK"</formula>
    </cfRule>
    <cfRule type="cellIs" dxfId="1479" priority="30" operator="equal">
      <formula>"OK"</formula>
    </cfRule>
  </conditionalFormatting>
  <conditionalFormatting sqref="B203">
    <cfRule type="cellIs" dxfId="1478" priority="25" operator="equal">
      <formula>"NR"</formula>
    </cfRule>
    <cfRule type="cellIs" dxfId="1477" priority="26" operator="equal">
      <formula>"NOK"</formula>
    </cfRule>
    <cfRule type="cellIs" dxfId="1476" priority="27" operator="equal">
      <formula>"OK"</formula>
    </cfRule>
  </conditionalFormatting>
  <conditionalFormatting sqref="B204">
    <cfRule type="cellIs" dxfId="1475" priority="22" operator="equal">
      <formula>"NR"</formula>
    </cfRule>
    <cfRule type="cellIs" dxfId="1474" priority="23" operator="equal">
      <formula>"NOK"</formula>
    </cfRule>
    <cfRule type="cellIs" dxfId="1473" priority="24" operator="equal">
      <formula>"OK"</formula>
    </cfRule>
  </conditionalFormatting>
  <conditionalFormatting sqref="C205">
    <cfRule type="cellIs" dxfId="1472" priority="19" operator="equal">
      <formula>"NR"</formula>
    </cfRule>
    <cfRule type="cellIs" dxfId="1471" priority="20" operator="equal">
      <formula>"NOK"</formula>
    </cfRule>
    <cfRule type="cellIs" dxfId="1470" priority="21" operator="equal">
      <formula>"OK"</formula>
    </cfRule>
  </conditionalFormatting>
  <conditionalFormatting sqref="B206">
    <cfRule type="cellIs" dxfId="1469" priority="16" operator="equal">
      <formula>"NR"</formula>
    </cfRule>
    <cfRule type="cellIs" dxfId="1468" priority="17" operator="equal">
      <formula>"NOK"</formula>
    </cfRule>
    <cfRule type="cellIs" dxfId="1467" priority="18" operator="equal">
      <formula>"OK"</formula>
    </cfRule>
  </conditionalFormatting>
  <conditionalFormatting sqref="B207">
    <cfRule type="cellIs" dxfId="1466" priority="13" operator="equal">
      <formula>"NR"</formula>
    </cfRule>
    <cfRule type="cellIs" dxfId="1465" priority="14" operator="equal">
      <formula>"NOK"</formula>
    </cfRule>
    <cfRule type="cellIs" dxfId="1464" priority="15" operator="equal">
      <formula>"OK"</formula>
    </cfRule>
  </conditionalFormatting>
  <conditionalFormatting sqref="C208">
    <cfRule type="cellIs" dxfId="1463" priority="10" operator="equal">
      <formula>"NR"</formula>
    </cfRule>
    <cfRule type="cellIs" dxfId="1462" priority="11" operator="equal">
      <formula>"NOK"</formula>
    </cfRule>
    <cfRule type="cellIs" dxfId="1461" priority="12" operator="equal">
      <formula>"OK"</formula>
    </cfRule>
  </conditionalFormatting>
  <conditionalFormatting sqref="B209">
    <cfRule type="cellIs" dxfId="1460" priority="7" operator="equal">
      <formula>"NR"</formula>
    </cfRule>
    <cfRule type="cellIs" dxfId="1459" priority="8" operator="equal">
      <formula>"NOK"</formula>
    </cfRule>
    <cfRule type="cellIs" dxfId="1458" priority="9" operator="equal">
      <formula>"OK"</formula>
    </cfRule>
  </conditionalFormatting>
  <conditionalFormatting sqref="B210">
    <cfRule type="cellIs" dxfId="1457" priority="4" operator="equal">
      <formula>"NR"</formula>
    </cfRule>
    <cfRule type="cellIs" dxfId="1456" priority="5" operator="equal">
      <formula>"NOK"</formula>
    </cfRule>
    <cfRule type="cellIs" dxfId="1455" priority="6" operator="equal">
      <formula>"OK"</formula>
    </cfRule>
  </conditionalFormatting>
  <dataValidations count="1">
    <dataValidation type="list" allowBlank="1" showInputMessage="1" showErrorMessage="1" errorTitle="Remplissage Obligatoire" error="OK -&gt; Criteria Validated_x000a_NOK -&gt; Criteria Not Validated_x000a_NR -&gt; Impossiblity to check the criteria_x000a_NA -&gt; Impossiblity to validate the criteria" prompt="NO EMPTY CELLS" sqref="C229 C11:C12 C211 C214:C227 C34:C35 C15:C17 C20:C21 C24:C26 C29:C31 C39 C42 C44 C47 C50 C52 C56:C58 C60 C62:C64 C71 C67:C69 C73:C75 C78:C80 C82 C84:C86 C89 C91 C128 C95:C97 C99 C101:C103 C110 C106:C108 C112:C114 C117:C119 C121 C123:C125 C130 C134 C136:C138 C141 C143:C145 C148 C150:C152 C155 C157:C159 C163 C166 C169 C172 C182 C176 C179 C185 C192 C195 C189 C198 C205 C208 C202" xr:uid="{6849C720-FA8A-4A02-AF52-32BF88EA8F96}">
      <formula1>"OK,NOK,NR,NA"</formula1>
    </dataValidation>
  </dataValidations>
  <pageMargins left="0.7" right="0.7" top="0.75" bottom="0.75" header="0.3" footer="0.3"/>
  <pageSetup paperSize="9" orientation="portrait" verticalDpi="598" r:id="rId1"/>
  <headerFooter>
    <oddFooter>&amp;R&amp;1#&amp;"Arial"&amp;10&amp;K000000Confidential 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B24FB-3AB5-4232-9201-70461497FADF}">
  <sheetPr codeName="Feuil21"/>
  <dimension ref="A1:T96"/>
  <sheetViews>
    <sheetView zoomScale="70" zoomScaleNormal="70" workbookViewId="0">
      <selection activeCell="D51" sqref="D51"/>
    </sheetView>
  </sheetViews>
  <sheetFormatPr baseColWidth="10" defaultColWidth="9.1796875" defaultRowHeight="14.5" x14ac:dyDescent="0.35"/>
  <cols>
    <col min="1" max="1" width="6.81640625" style="121" customWidth="1"/>
    <col min="2" max="2" width="18.26953125" style="122" customWidth="1"/>
    <col min="3" max="3" width="63.7265625" style="84" customWidth="1"/>
    <col min="4" max="4" width="43.26953125" style="84" customWidth="1"/>
    <col min="5" max="5" width="99.26953125" style="123" customWidth="1"/>
    <col min="6" max="6" width="50.1796875" style="84" customWidth="1"/>
    <col min="7" max="7" width="3.54296875" style="84" customWidth="1"/>
    <col min="8" max="16384" width="9.1796875" style="84"/>
  </cols>
  <sheetData>
    <row r="1" spans="1:20" ht="15" thickBot="1" x14ac:dyDescent="0.4">
      <c r="A1" s="82"/>
      <c r="B1" s="394" t="s">
        <v>784</v>
      </c>
      <c r="C1" s="395"/>
      <c r="D1" s="395"/>
      <c r="E1" s="395"/>
      <c r="F1" s="396"/>
      <c r="G1" s="83"/>
      <c r="H1" s="394" t="s">
        <v>535</v>
      </c>
      <c r="I1" s="395"/>
      <c r="J1" s="395"/>
      <c r="K1" s="395"/>
      <c r="L1" s="395"/>
      <c r="M1" s="395"/>
      <c r="N1" s="395"/>
      <c r="O1" s="395"/>
      <c r="P1" s="395"/>
      <c r="Q1" s="395"/>
      <c r="R1" s="395"/>
      <c r="S1" s="396"/>
      <c r="T1" s="83"/>
    </row>
    <row r="2" spans="1:20" ht="24" customHeight="1" thickBot="1" x14ac:dyDescent="0.4">
      <c r="A2" s="82"/>
      <c r="B2" s="85" t="s">
        <v>536</v>
      </c>
      <c r="C2" s="402"/>
      <c r="D2" s="402"/>
      <c r="E2" s="402"/>
      <c r="F2" s="403"/>
      <c r="G2" s="83"/>
      <c r="H2" s="404" t="s">
        <v>537</v>
      </c>
      <c r="I2" s="405"/>
      <c r="J2" s="405"/>
      <c r="K2" s="405"/>
      <c r="L2" s="405"/>
      <c r="M2" s="405"/>
      <c r="N2" s="405"/>
      <c r="O2" s="405"/>
      <c r="P2" s="405"/>
      <c r="Q2" s="405"/>
      <c r="R2" s="405"/>
      <c r="S2" s="406"/>
      <c r="T2" s="83"/>
    </row>
    <row r="3" spans="1:20" ht="15" thickBot="1" x14ac:dyDescent="0.4">
      <c r="A3" s="82"/>
      <c r="B3" s="83"/>
      <c r="C3" s="83"/>
      <c r="D3" s="83"/>
      <c r="E3" s="86"/>
      <c r="F3" s="83"/>
      <c r="G3" s="83"/>
      <c r="H3" s="407"/>
      <c r="I3" s="408"/>
      <c r="J3" s="408"/>
      <c r="K3" s="408"/>
      <c r="L3" s="408"/>
      <c r="M3" s="408"/>
      <c r="N3" s="408"/>
      <c r="O3" s="408"/>
      <c r="P3" s="408"/>
      <c r="Q3" s="408"/>
      <c r="R3" s="408"/>
      <c r="S3" s="409"/>
      <c r="T3" s="83"/>
    </row>
    <row r="4" spans="1:20" x14ac:dyDescent="0.35">
      <c r="A4" s="87"/>
      <c r="B4" s="404" t="s">
        <v>538</v>
      </c>
      <c r="C4" s="405"/>
      <c r="D4" s="405"/>
      <c r="E4" s="405"/>
      <c r="F4" s="406"/>
      <c r="G4" s="88"/>
      <c r="H4" s="410"/>
      <c r="I4" s="411"/>
      <c r="J4" s="411"/>
      <c r="K4" s="411"/>
      <c r="L4" s="411"/>
      <c r="M4" s="411"/>
      <c r="N4" s="411"/>
      <c r="O4" s="411"/>
      <c r="P4" s="411"/>
      <c r="Q4" s="411"/>
      <c r="R4" s="411"/>
      <c r="S4" s="412"/>
      <c r="T4" s="83"/>
    </row>
    <row r="5" spans="1:20" ht="18" customHeight="1" x14ac:dyDescent="0.35">
      <c r="A5" s="87" t="str">
        <f>CONCATENATE(B5,C5)</f>
        <v>StepsActions</v>
      </c>
      <c r="B5" s="89" t="s">
        <v>539</v>
      </c>
      <c r="C5" s="90" t="s">
        <v>540</v>
      </c>
      <c r="D5" s="90" t="s">
        <v>541</v>
      </c>
      <c r="E5" s="90" t="s">
        <v>542</v>
      </c>
      <c r="F5" s="91" t="s">
        <v>57</v>
      </c>
      <c r="G5" s="83"/>
      <c r="H5" s="410"/>
      <c r="I5" s="411"/>
      <c r="J5" s="411"/>
      <c r="K5" s="411"/>
      <c r="L5" s="411"/>
      <c r="M5" s="411"/>
      <c r="N5" s="411"/>
      <c r="O5" s="411"/>
      <c r="P5" s="411"/>
      <c r="Q5" s="411"/>
      <c r="R5" s="411"/>
      <c r="S5" s="412"/>
      <c r="T5" s="83"/>
    </row>
    <row r="6" spans="1:20" s="94" customFormat="1" ht="15.5" x14ac:dyDescent="0.35">
      <c r="A6" s="87" t="str">
        <f>CONCATENATE(B6,C6)</f>
        <v>Part 1</v>
      </c>
      <c r="B6" s="92" t="s">
        <v>543</v>
      </c>
      <c r="C6" s="413"/>
      <c r="D6" s="414"/>
      <c r="E6" s="414"/>
      <c r="F6" s="415"/>
      <c r="G6" s="93"/>
      <c r="H6" s="410"/>
      <c r="I6" s="411"/>
      <c r="J6" s="411"/>
      <c r="K6" s="411"/>
      <c r="L6" s="411"/>
      <c r="M6" s="411"/>
      <c r="N6" s="411"/>
      <c r="O6" s="411"/>
      <c r="P6" s="411"/>
      <c r="Q6" s="411"/>
      <c r="R6" s="411"/>
      <c r="S6" s="412"/>
      <c r="T6" s="93"/>
    </row>
    <row r="7" spans="1:20" x14ac:dyDescent="0.35">
      <c r="A7" s="87" t="str">
        <f>CONCATENATE(B7,C7)</f>
        <v>Initial State</v>
      </c>
      <c r="B7" s="95" t="s">
        <v>545</v>
      </c>
      <c r="C7" s="416"/>
      <c r="D7" s="417"/>
      <c r="E7" s="417"/>
      <c r="F7" s="418"/>
      <c r="G7" s="83"/>
      <c r="H7" s="410"/>
      <c r="I7" s="411"/>
      <c r="J7" s="411"/>
      <c r="K7" s="411"/>
      <c r="L7" s="411"/>
      <c r="M7" s="411"/>
      <c r="N7" s="411"/>
      <c r="O7" s="411"/>
      <c r="P7" s="411"/>
      <c r="Q7" s="411"/>
      <c r="R7" s="411"/>
      <c r="S7" s="412"/>
      <c r="T7" s="83"/>
    </row>
    <row r="8" spans="1:20" x14ac:dyDescent="0.35">
      <c r="A8" s="87" t="str">
        <f>CONCATENATE(B8,C8)</f>
        <v>1.1</v>
      </c>
      <c r="B8" s="96" t="s">
        <v>122</v>
      </c>
      <c r="C8" s="97"/>
      <c r="D8" s="98"/>
      <c r="E8" s="99"/>
      <c r="F8" s="100"/>
      <c r="G8" s="83"/>
      <c r="H8" s="410"/>
      <c r="I8" s="411"/>
      <c r="J8" s="411"/>
      <c r="K8" s="411"/>
      <c r="L8" s="411"/>
      <c r="M8" s="411"/>
      <c r="N8" s="411"/>
      <c r="O8" s="411"/>
      <c r="P8" s="411"/>
      <c r="Q8" s="411"/>
      <c r="R8" s="411"/>
      <c r="S8" s="412"/>
      <c r="T8" s="83"/>
    </row>
    <row r="9" spans="1:20" x14ac:dyDescent="0.35">
      <c r="A9" s="87"/>
      <c r="B9" s="101"/>
      <c r="C9" s="129" t="s">
        <v>549</v>
      </c>
      <c r="D9" s="102"/>
      <c r="E9" s="103"/>
      <c r="F9" s="104"/>
      <c r="G9" s="83"/>
      <c r="H9" s="410"/>
      <c r="I9" s="411"/>
      <c r="J9" s="411"/>
      <c r="K9" s="411"/>
      <c r="L9" s="411"/>
      <c r="M9" s="411"/>
      <c r="N9" s="411"/>
      <c r="O9" s="411"/>
      <c r="P9" s="411"/>
      <c r="Q9" s="411"/>
      <c r="R9" s="411"/>
      <c r="S9" s="412"/>
      <c r="T9" s="83"/>
    </row>
    <row r="10" spans="1:20" x14ac:dyDescent="0.35">
      <c r="A10" s="87"/>
      <c r="B10" s="101"/>
      <c r="C10" s="129" t="s">
        <v>549</v>
      </c>
      <c r="D10" s="102"/>
      <c r="E10" s="103"/>
      <c r="F10" s="104"/>
      <c r="G10" s="83"/>
      <c r="H10" s="410"/>
      <c r="I10" s="411"/>
      <c r="J10" s="411"/>
      <c r="K10" s="411"/>
      <c r="L10" s="411"/>
      <c r="M10" s="411"/>
      <c r="N10" s="411"/>
      <c r="O10" s="411"/>
      <c r="P10" s="411"/>
      <c r="Q10" s="411"/>
      <c r="R10" s="411"/>
      <c r="S10" s="412"/>
      <c r="T10" s="83"/>
    </row>
    <row r="11" spans="1:20" x14ac:dyDescent="0.35">
      <c r="A11" s="87"/>
      <c r="B11" s="101"/>
      <c r="C11" s="129" t="s">
        <v>549</v>
      </c>
      <c r="D11" s="102"/>
      <c r="E11" s="103"/>
      <c r="F11" s="104"/>
      <c r="G11" s="83"/>
      <c r="H11" s="410"/>
      <c r="I11" s="411"/>
      <c r="J11" s="411"/>
      <c r="K11" s="411"/>
      <c r="L11" s="411"/>
      <c r="M11" s="411"/>
      <c r="N11" s="411"/>
      <c r="O11" s="411"/>
      <c r="P11" s="411"/>
      <c r="Q11" s="411"/>
      <c r="R11" s="411"/>
      <c r="S11" s="412"/>
      <c r="T11" s="83"/>
    </row>
    <row r="12" spans="1:20" x14ac:dyDescent="0.35">
      <c r="A12" s="87"/>
      <c r="B12" s="96" t="s">
        <v>552</v>
      </c>
      <c r="C12" s="97"/>
      <c r="D12" s="98"/>
      <c r="E12" s="98"/>
      <c r="F12" s="100"/>
      <c r="G12" s="83"/>
      <c r="H12" s="410"/>
      <c r="I12" s="411"/>
      <c r="J12" s="411"/>
      <c r="K12" s="411"/>
      <c r="L12" s="411"/>
      <c r="M12" s="411"/>
      <c r="N12" s="411"/>
      <c r="O12" s="411"/>
      <c r="P12" s="411"/>
      <c r="Q12" s="411"/>
      <c r="R12" s="411"/>
      <c r="S12" s="412"/>
      <c r="T12" s="83"/>
    </row>
    <row r="13" spans="1:20" x14ac:dyDescent="0.35">
      <c r="A13" s="87" t="str">
        <f>CONCATENATE(B16,C16)</f>
        <v>NR</v>
      </c>
      <c r="B13" s="101"/>
      <c r="C13" s="129" t="s">
        <v>549</v>
      </c>
      <c r="D13" s="102"/>
      <c r="E13" s="103"/>
      <c r="F13" s="104"/>
      <c r="G13" s="83"/>
      <c r="H13" s="410"/>
      <c r="I13" s="411"/>
      <c r="J13" s="411"/>
      <c r="K13" s="411"/>
      <c r="L13" s="411"/>
      <c r="M13" s="411"/>
      <c r="N13" s="411"/>
      <c r="O13" s="411"/>
      <c r="P13" s="411"/>
      <c r="Q13" s="411"/>
      <c r="R13" s="411"/>
      <c r="S13" s="412"/>
      <c r="T13" s="83"/>
    </row>
    <row r="14" spans="1:20" x14ac:dyDescent="0.35">
      <c r="A14" s="87"/>
      <c r="B14" s="101"/>
      <c r="C14" s="129" t="s">
        <v>549</v>
      </c>
      <c r="D14" s="102"/>
      <c r="E14" s="103"/>
      <c r="F14" s="104"/>
      <c r="G14" s="83"/>
      <c r="H14" s="410"/>
      <c r="I14" s="411"/>
      <c r="J14" s="411"/>
      <c r="K14" s="411"/>
      <c r="L14" s="411"/>
      <c r="M14" s="411"/>
      <c r="N14" s="411"/>
      <c r="O14" s="411"/>
      <c r="P14" s="411"/>
      <c r="Q14" s="411"/>
      <c r="R14" s="411"/>
      <c r="S14" s="412"/>
      <c r="T14" s="83"/>
    </row>
    <row r="15" spans="1:20" x14ac:dyDescent="0.35">
      <c r="A15" s="87" t="str">
        <f>CONCATENATE(B18,C18)</f>
        <v>NR</v>
      </c>
      <c r="B15" s="101"/>
      <c r="C15" s="129" t="s">
        <v>549</v>
      </c>
      <c r="D15" s="102"/>
      <c r="E15" s="103"/>
      <c r="F15" s="104"/>
      <c r="G15" s="83"/>
      <c r="H15" s="410"/>
      <c r="I15" s="411"/>
      <c r="J15" s="411"/>
      <c r="K15" s="411"/>
      <c r="L15" s="411"/>
      <c r="M15" s="411"/>
      <c r="N15" s="411"/>
      <c r="O15" s="411"/>
      <c r="P15" s="411"/>
      <c r="Q15" s="411"/>
      <c r="R15" s="411"/>
      <c r="S15" s="412"/>
      <c r="T15" s="83"/>
    </row>
    <row r="16" spans="1:20" x14ac:dyDescent="0.35">
      <c r="A16" s="87"/>
      <c r="B16" s="101"/>
      <c r="C16" s="129" t="s">
        <v>549</v>
      </c>
      <c r="D16" s="102"/>
      <c r="E16" s="103"/>
      <c r="F16" s="104"/>
      <c r="G16" s="83"/>
      <c r="H16" s="410"/>
      <c r="I16" s="411"/>
      <c r="J16" s="411"/>
      <c r="K16" s="411"/>
      <c r="L16" s="411"/>
      <c r="M16" s="411"/>
      <c r="N16" s="411"/>
      <c r="O16" s="411"/>
      <c r="P16" s="411"/>
      <c r="Q16" s="411"/>
      <c r="R16" s="411"/>
      <c r="S16" s="412"/>
      <c r="T16" s="83"/>
    </row>
    <row r="17" spans="1:20" x14ac:dyDescent="0.35">
      <c r="A17" s="87"/>
      <c r="B17" s="101"/>
      <c r="C17" s="129" t="s">
        <v>549</v>
      </c>
      <c r="D17" s="102"/>
      <c r="E17" s="103"/>
      <c r="F17" s="104"/>
      <c r="G17" s="83"/>
      <c r="H17" s="410"/>
      <c r="I17" s="411"/>
      <c r="J17" s="411"/>
      <c r="K17" s="411"/>
      <c r="L17" s="411"/>
      <c r="M17" s="411"/>
      <c r="N17" s="411"/>
      <c r="O17" s="411"/>
      <c r="P17" s="411"/>
      <c r="Q17" s="411"/>
      <c r="R17" s="411"/>
      <c r="S17" s="412"/>
      <c r="T17" s="83"/>
    </row>
    <row r="18" spans="1:20" x14ac:dyDescent="0.35">
      <c r="A18" s="87"/>
      <c r="B18" s="101"/>
      <c r="C18" s="129" t="s">
        <v>549</v>
      </c>
      <c r="D18" s="102"/>
      <c r="E18" s="103"/>
      <c r="F18" s="104"/>
      <c r="G18" s="83"/>
      <c r="H18" s="410"/>
      <c r="I18" s="411"/>
      <c r="J18" s="411"/>
      <c r="K18" s="411"/>
      <c r="L18" s="411"/>
      <c r="M18" s="411"/>
      <c r="N18" s="411"/>
      <c r="O18" s="411"/>
      <c r="P18" s="411"/>
      <c r="Q18" s="411"/>
      <c r="R18" s="411"/>
      <c r="S18" s="412"/>
      <c r="T18" s="83"/>
    </row>
    <row r="19" spans="1:20" x14ac:dyDescent="0.35">
      <c r="A19" s="87"/>
      <c r="B19" s="101"/>
      <c r="C19" s="129" t="s">
        <v>549</v>
      </c>
      <c r="D19" s="102"/>
      <c r="E19" s="103"/>
      <c r="F19" s="104"/>
      <c r="G19" s="83"/>
      <c r="H19" s="410"/>
      <c r="I19" s="411"/>
      <c r="J19" s="411"/>
      <c r="K19" s="411"/>
      <c r="L19" s="411"/>
      <c r="M19" s="411"/>
      <c r="N19" s="411"/>
      <c r="O19" s="411"/>
      <c r="P19" s="411"/>
      <c r="Q19" s="411"/>
      <c r="R19" s="411"/>
      <c r="S19" s="412"/>
      <c r="T19" s="83"/>
    </row>
    <row r="20" spans="1:20" x14ac:dyDescent="0.35">
      <c r="A20" s="87"/>
      <c r="B20" s="101"/>
      <c r="C20" s="129" t="s">
        <v>549</v>
      </c>
      <c r="D20" s="102"/>
      <c r="E20" s="103"/>
      <c r="F20" s="104"/>
      <c r="G20" s="83"/>
      <c r="H20" s="410"/>
      <c r="I20" s="411"/>
      <c r="J20" s="411"/>
      <c r="K20" s="411"/>
      <c r="L20" s="411"/>
      <c r="M20" s="411"/>
      <c r="N20" s="411"/>
      <c r="O20" s="411"/>
      <c r="P20" s="411"/>
      <c r="Q20" s="411"/>
      <c r="R20" s="411"/>
      <c r="S20" s="412"/>
      <c r="T20" s="83"/>
    </row>
    <row r="21" spans="1:20" x14ac:dyDescent="0.35">
      <c r="A21" s="87"/>
      <c r="B21" s="101"/>
      <c r="C21" s="129" t="s">
        <v>549</v>
      </c>
      <c r="D21" s="102"/>
      <c r="E21" s="103"/>
      <c r="F21" s="104"/>
      <c r="G21" s="83"/>
      <c r="H21" s="410"/>
      <c r="I21" s="411"/>
      <c r="J21" s="411"/>
      <c r="K21" s="411"/>
      <c r="L21" s="411"/>
      <c r="M21" s="411"/>
      <c r="N21" s="411"/>
      <c r="O21" s="411"/>
      <c r="P21" s="411"/>
      <c r="Q21" s="411"/>
      <c r="R21" s="411"/>
      <c r="S21" s="412"/>
      <c r="T21" s="83"/>
    </row>
    <row r="22" spans="1:20" x14ac:dyDescent="0.35">
      <c r="A22" s="87"/>
      <c r="B22" s="101"/>
      <c r="C22" s="129" t="s">
        <v>549</v>
      </c>
      <c r="D22" s="102"/>
      <c r="E22" s="103"/>
      <c r="F22" s="104"/>
      <c r="G22" s="83"/>
      <c r="H22" s="410"/>
      <c r="I22" s="411"/>
      <c r="J22" s="411"/>
      <c r="K22" s="411"/>
      <c r="L22" s="411"/>
      <c r="M22" s="411"/>
      <c r="N22" s="411"/>
      <c r="O22" s="411"/>
      <c r="P22" s="411"/>
      <c r="Q22" s="411"/>
      <c r="R22" s="411"/>
      <c r="S22" s="412"/>
      <c r="T22" s="83"/>
    </row>
    <row r="23" spans="1:20" x14ac:dyDescent="0.35">
      <c r="A23" s="87"/>
      <c r="B23" s="101"/>
      <c r="C23" s="129" t="s">
        <v>549</v>
      </c>
      <c r="D23" s="102"/>
      <c r="E23" s="103"/>
      <c r="F23" s="104"/>
      <c r="G23" s="83"/>
      <c r="H23" s="410"/>
      <c r="I23" s="411"/>
      <c r="J23" s="411"/>
      <c r="K23" s="411"/>
      <c r="L23" s="411"/>
      <c r="M23" s="411"/>
      <c r="N23" s="411"/>
      <c r="O23" s="411"/>
      <c r="P23" s="411"/>
      <c r="Q23" s="411"/>
      <c r="R23" s="411"/>
      <c r="S23" s="412"/>
      <c r="T23" s="83"/>
    </row>
    <row r="24" spans="1:20" x14ac:dyDescent="0.35">
      <c r="A24" s="87"/>
      <c r="B24" s="101"/>
      <c r="C24" s="129" t="s">
        <v>549</v>
      </c>
      <c r="D24" s="102"/>
      <c r="E24" s="103"/>
      <c r="F24" s="104"/>
      <c r="G24" s="83"/>
      <c r="H24" s="410"/>
      <c r="I24" s="411"/>
      <c r="J24" s="411"/>
      <c r="K24" s="411"/>
      <c r="L24" s="411"/>
      <c r="M24" s="411"/>
      <c r="N24" s="411"/>
      <c r="O24" s="411"/>
      <c r="P24" s="411"/>
      <c r="Q24" s="411"/>
      <c r="R24" s="411"/>
      <c r="S24" s="412"/>
      <c r="T24" s="83"/>
    </row>
    <row r="25" spans="1:20" ht="15.5" x14ac:dyDescent="0.35">
      <c r="A25" s="87"/>
      <c r="B25" s="92" t="s">
        <v>565</v>
      </c>
      <c r="C25" s="413"/>
      <c r="D25" s="414"/>
      <c r="E25" s="414"/>
      <c r="F25" s="415"/>
      <c r="G25" s="83"/>
      <c r="H25" s="410"/>
      <c r="I25" s="411"/>
      <c r="J25" s="411"/>
      <c r="K25" s="411"/>
      <c r="L25" s="411"/>
      <c r="M25" s="411"/>
      <c r="N25" s="411"/>
      <c r="O25" s="411"/>
      <c r="P25" s="411"/>
      <c r="Q25" s="411"/>
      <c r="R25" s="411"/>
      <c r="S25" s="412"/>
      <c r="T25" s="83"/>
    </row>
    <row r="26" spans="1:20" x14ac:dyDescent="0.35">
      <c r="A26" s="87"/>
      <c r="B26" s="95" t="s">
        <v>545</v>
      </c>
      <c r="C26" s="416"/>
      <c r="D26" s="417"/>
      <c r="E26" s="417"/>
      <c r="F26" s="418"/>
      <c r="G26" s="83"/>
      <c r="H26" s="410"/>
      <c r="I26" s="411"/>
      <c r="J26" s="411"/>
      <c r="K26" s="411"/>
      <c r="L26" s="411"/>
      <c r="M26" s="411"/>
      <c r="N26" s="411"/>
      <c r="O26" s="411"/>
      <c r="P26" s="411"/>
      <c r="Q26" s="411"/>
      <c r="R26" s="411"/>
      <c r="S26" s="412"/>
      <c r="T26" s="83"/>
    </row>
    <row r="27" spans="1:20" x14ac:dyDescent="0.35">
      <c r="A27" s="87"/>
      <c r="B27" s="96" t="s">
        <v>568</v>
      </c>
      <c r="C27" s="97"/>
      <c r="D27" s="98"/>
      <c r="E27" s="99"/>
      <c r="F27" s="100"/>
      <c r="G27" s="83"/>
      <c r="H27" s="410"/>
      <c r="I27" s="411"/>
      <c r="J27" s="411"/>
      <c r="K27" s="411"/>
      <c r="L27" s="411"/>
      <c r="M27" s="411"/>
      <c r="N27" s="411"/>
      <c r="O27" s="411"/>
      <c r="P27" s="411"/>
      <c r="Q27" s="411"/>
      <c r="R27" s="411"/>
      <c r="S27" s="412"/>
      <c r="T27" s="83"/>
    </row>
    <row r="28" spans="1:20" x14ac:dyDescent="0.35">
      <c r="A28" s="105"/>
      <c r="B28" s="101"/>
      <c r="C28" s="129" t="s">
        <v>549</v>
      </c>
      <c r="D28" s="102"/>
      <c r="E28" s="103"/>
      <c r="F28" s="104"/>
      <c r="G28" s="88"/>
      <c r="H28" s="410"/>
      <c r="I28" s="411"/>
      <c r="J28" s="411"/>
      <c r="K28" s="411"/>
      <c r="L28" s="411"/>
      <c r="M28" s="411"/>
      <c r="N28" s="411"/>
      <c r="O28" s="411"/>
      <c r="P28" s="411"/>
      <c r="Q28" s="411"/>
      <c r="R28" s="411"/>
      <c r="S28" s="412"/>
      <c r="T28" s="83"/>
    </row>
    <row r="29" spans="1:20" ht="15.5" x14ac:dyDescent="0.35">
      <c r="A29" s="105"/>
      <c r="B29" s="92" t="s">
        <v>785</v>
      </c>
      <c r="C29" s="413"/>
      <c r="D29" s="414"/>
      <c r="E29" s="414"/>
      <c r="F29" s="415"/>
      <c r="G29" s="88"/>
      <c r="H29" s="88"/>
      <c r="I29" s="88"/>
      <c r="J29" s="88"/>
      <c r="K29" s="88"/>
      <c r="L29" s="88"/>
      <c r="M29" s="88"/>
      <c r="N29" s="88"/>
      <c r="O29" s="88"/>
      <c r="P29" s="88"/>
      <c r="Q29" s="88"/>
      <c r="R29" s="88"/>
      <c r="S29" s="88"/>
      <c r="T29" s="88"/>
    </row>
    <row r="30" spans="1:20" x14ac:dyDescent="0.35">
      <c r="A30" s="105"/>
      <c r="B30" s="95" t="s">
        <v>545</v>
      </c>
      <c r="C30" s="416"/>
      <c r="D30" s="417"/>
      <c r="E30" s="417"/>
      <c r="F30" s="418"/>
      <c r="G30" s="88"/>
      <c r="H30" s="88"/>
      <c r="I30" s="88"/>
      <c r="J30" s="88"/>
      <c r="K30" s="88"/>
      <c r="L30" s="88"/>
      <c r="M30" s="88"/>
      <c r="N30" s="88"/>
      <c r="O30" s="88"/>
      <c r="P30" s="88"/>
      <c r="Q30" s="88"/>
      <c r="R30" s="88"/>
      <c r="S30" s="88"/>
      <c r="T30" s="88"/>
    </row>
    <row r="31" spans="1:20" x14ac:dyDescent="0.35">
      <c r="A31" s="105"/>
      <c r="B31" s="96" t="s">
        <v>786</v>
      </c>
      <c r="C31" s="97"/>
      <c r="D31" s="98"/>
      <c r="E31" s="99"/>
      <c r="F31" s="100"/>
      <c r="G31" s="88"/>
      <c r="H31" s="88"/>
      <c r="I31" s="88"/>
      <c r="J31" s="88"/>
      <c r="K31" s="88"/>
      <c r="L31" s="88"/>
      <c r="M31" s="88"/>
      <c r="N31" s="88"/>
      <c r="O31" s="88"/>
      <c r="P31" s="88"/>
      <c r="Q31" s="88"/>
      <c r="R31" s="88"/>
      <c r="S31" s="88"/>
      <c r="T31" s="88"/>
    </row>
    <row r="32" spans="1:20" ht="15" thickBot="1" x14ac:dyDescent="0.4">
      <c r="A32" s="105"/>
      <c r="B32" s="106"/>
      <c r="C32" s="107" t="s">
        <v>549</v>
      </c>
      <c r="D32" s="108"/>
      <c r="E32" s="109"/>
      <c r="F32" s="110"/>
      <c r="G32" s="88"/>
      <c r="H32" s="88"/>
      <c r="I32" s="88"/>
      <c r="J32" s="88"/>
      <c r="K32" s="88"/>
      <c r="L32" s="88"/>
      <c r="M32" s="88"/>
      <c r="N32" s="88"/>
      <c r="O32" s="88"/>
      <c r="P32" s="88"/>
      <c r="Q32" s="88"/>
      <c r="R32" s="88"/>
      <c r="S32" s="88"/>
      <c r="T32" s="88"/>
    </row>
    <row r="33" spans="1:20" ht="15" thickBot="1" x14ac:dyDescent="0.4">
      <c r="A33" s="105"/>
      <c r="B33" s="83"/>
      <c r="C33" s="88"/>
      <c r="D33" s="88"/>
      <c r="E33" s="111"/>
      <c r="F33" s="88"/>
      <c r="G33" s="88"/>
      <c r="H33" s="88"/>
      <c r="I33" s="88"/>
      <c r="J33" s="88"/>
      <c r="K33" s="88"/>
      <c r="L33" s="88"/>
      <c r="M33" s="88"/>
      <c r="N33" s="88"/>
      <c r="O33" s="88"/>
      <c r="P33" s="88"/>
      <c r="Q33" s="88"/>
      <c r="R33" s="88"/>
      <c r="S33" s="88"/>
      <c r="T33" s="88"/>
    </row>
    <row r="34" spans="1:20" ht="15" thickBot="1" x14ac:dyDescent="0.4">
      <c r="A34" s="105"/>
      <c r="B34" s="404" t="s">
        <v>579</v>
      </c>
      <c r="C34" s="405"/>
      <c r="D34" s="405"/>
      <c r="E34" s="405"/>
      <c r="F34" s="406"/>
      <c r="G34" s="88"/>
      <c r="H34" s="88"/>
      <c r="I34" s="88"/>
      <c r="J34" s="88"/>
      <c r="K34" s="88"/>
      <c r="L34" s="88"/>
      <c r="M34" s="88"/>
      <c r="N34" s="88"/>
      <c r="O34" s="88"/>
      <c r="P34" s="88"/>
      <c r="Q34" s="88"/>
      <c r="R34" s="88"/>
      <c r="S34" s="88"/>
      <c r="T34" s="88"/>
    </row>
    <row r="35" spans="1:20" x14ac:dyDescent="0.35">
      <c r="A35" s="105"/>
      <c r="B35" s="112"/>
      <c r="C35" s="419" t="str">
        <f>IF(AND(D55=0,D56=0,D57=0),"NA",IF(AND(D55&gt;0,D56=0),"NR",IF(D56&gt;0,"NOK","OK")))</f>
        <v>NA</v>
      </c>
      <c r="D35" s="419"/>
      <c r="E35" s="419"/>
      <c r="F35" s="420"/>
      <c r="G35" s="88"/>
      <c r="H35" s="88"/>
      <c r="I35" s="88"/>
      <c r="J35" s="88"/>
      <c r="K35" s="88"/>
      <c r="L35" s="88"/>
      <c r="M35" s="88"/>
      <c r="N35" s="88"/>
      <c r="O35" s="88"/>
      <c r="P35" s="88"/>
      <c r="Q35" s="88"/>
      <c r="R35" s="88"/>
      <c r="S35" s="88"/>
      <c r="T35" s="88"/>
    </row>
    <row r="36" spans="1:20" x14ac:dyDescent="0.35">
      <c r="A36" s="105"/>
      <c r="B36" s="113"/>
      <c r="C36" s="392" t="str">
        <f>IF(AND(D58=0,D59=0,D60=0),"NA",IF(AND(D58&gt;0,D59=0),"NR",IF(D59&gt;0,"NOK","OK")))</f>
        <v>NA</v>
      </c>
      <c r="D36" s="392"/>
      <c r="E36" s="392"/>
      <c r="F36" s="393"/>
      <c r="G36" s="88"/>
      <c r="H36" s="88"/>
      <c r="I36" s="88"/>
      <c r="J36" s="88"/>
      <c r="K36" s="88"/>
      <c r="L36" s="88"/>
      <c r="M36" s="88"/>
      <c r="N36" s="88"/>
      <c r="O36" s="88"/>
      <c r="P36" s="88"/>
      <c r="Q36" s="88"/>
      <c r="R36" s="88"/>
      <c r="S36" s="88"/>
      <c r="T36" s="88"/>
    </row>
    <row r="37" spans="1:20" x14ac:dyDescent="0.35">
      <c r="A37" s="105"/>
      <c r="B37" s="113"/>
      <c r="C37" s="392" t="str">
        <f>IF(AND(D61=0,D62=0,D63=0),"NA",IF(AND(D61&gt;0,D62=0),"NR",IF(D62&gt;0,"NOK","OK")))</f>
        <v>NA</v>
      </c>
      <c r="D37" s="392"/>
      <c r="E37" s="392"/>
      <c r="F37" s="393"/>
      <c r="G37" s="88"/>
      <c r="H37" s="88"/>
      <c r="I37" s="88"/>
      <c r="J37" s="88"/>
      <c r="K37" s="88"/>
      <c r="L37" s="88"/>
      <c r="M37" s="88"/>
      <c r="N37" s="88"/>
      <c r="O37" s="88"/>
      <c r="P37" s="88"/>
      <c r="Q37" s="88"/>
      <c r="R37" s="88"/>
      <c r="S37" s="88"/>
      <c r="T37" s="88"/>
    </row>
    <row r="38" spans="1:20" x14ac:dyDescent="0.35">
      <c r="A38" s="105"/>
      <c r="B38" s="113"/>
      <c r="C38" s="392" t="str">
        <f>IF(AND(D64=0,D65=0,D66=0),"NA",IF(AND(D64&gt;0,D65=0),"NR",IF(D65&gt;0,"NOK","OK")))</f>
        <v>NA</v>
      </c>
      <c r="D38" s="392"/>
      <c r="E38" s="392"/>
      <c r="F38" s="393"/>
      <c r="G38" s="88"/>
      <c r="H38" s="88"/>
      <c r="I38" s="88"/>
      <c r="J38" s="88"/>
      <c r="K38" s="88"/>
      <c r="L38" s="88"/>
      <c r="M38" s="88"/>
      <c r="N38" s="88"/>
      <c r="O38" s="88"/>
      <c r="P38" s="88"/>
      <c r="Q38" s="88"/>
      <c r="R38" s="88"/>
      <c r="S38" s="88"/>
      <c r="T38" s="88"/>
    </row>
    <row r="39" spans="1:20" x14ac:dyDescent="0.35">
      <c r="A39" s="105"/>
      <c r="B39" s="113"/>
      <c r="C39" s="392" t="str">
        <f>IF(AND(D67=0,D68=0,D69=0),"NA",IF(AND(D67&gt;0,D68=0),"NR",IF(D68&gt;0,"NOK","OK")))</f>
        <v>NA</v>
      </c>
      <c r="D39" s="392"/>
      <c r="E39" s="392"/>
      <c r="F39" s="393"/>
      <c r="G39" s="88"/>
      <c r="H39" s="88"/>
      <c r="I39" s="88"/>
      <c r="J39" s="88"/>
      <c r="K39" s="88"/>
      <c r="L39" s="88"/>
      <c r="M39" s="88"/>
      <c r="N39" s="88"/>
      <c r="O39" s="88"/>
      <c r="P39" s="88"/>
      <c r="Q39" s="88"/>
      <c r="R39" s="88"/>
      <c r="S39" s="88"/>
      <c r="T39" s="88"/>
    </row>
    <row r="40" spans="1:20" x14ac:dyDescent="0.35">
      <c r="A40" s="105"/>
      <c r="B40" s="113"/>
      <c r="C40" s="392" t="str">
        <f>IF(AND(D70=0,D71=0,D72=0),"NA",IF(AND(D70&gt;0,D71=0),"NR",IF(D71&gt;0,"NOK","OK")))</f>
        <v>NA</v>
      </c>
      <c r="D40" s="392"/>
      <c r="E40" s="392"/>
      <c r="F40" s="393"/>
      <c r="G40" s="88"/>
      <c r="H40" s="88"/>
      <c r="I40" s="88"/>
      <c r="J40" s="88"/>
      <c r="K40" s="88"/>
      <c r="L40" s="88"/>
      <c r="M40" s="88"/>
      <c r="N40" s="88"/>
      <c r="O40" s="88"/>
      <c r="P40" s="88"/>
      <c r="Q40" s="88"/>
      <c r="R40" s="88"/>
      <c r="S40" s="88"/>
      <c r="T40" s="88"/>
    </row>
    <row r="41" spans="1:20" x14ac:dyDescent="0.35">
      <c r="A41" s="105"/>
      <c r="B41" s="113"/>
      <c r="C41" s="392" t="str">
        <f>IF(AND(D73=0,D74=0,D75=0),"NA",IF(AND(D73&gt;0,D74=0),"NR",IF(D74&gt;0,"NOK","OK")))</f>
        <v>NA</v>
      </c>
      <c r="D41" s="392"/>
      <c r="E41" s="392"/>
      <c r="F41" s="393"/>
      <c r="G41" s="88"/>
      <c r="H41" s="88"/>
      <c r="I41" s="88"/>
      <c r="J41" s="88"/>
      <c r="K41" s="88"/>
      <c r="L41" s="88"/>
      <c r="M41" s="88"/>
      <c r="N41" s="88"/>
      <c r="O41" s="88"/>
      <c r="P41" s="88"/>
      <c r="Q41" s="88"/>
      <c r="R41" s="88"/>
      <c r="S41" s="88"/>
      <c r="T41" s="88"/>
    </row>
    <row r="42" spans="1:20" x14ac:dyDescent="0.35">
      <c r="A42" s="105"/>
      <c r="B42" s="113"/>
      <c r="C42" s="392" t="str">
        <f>IF(AND(D76=0,D77=0,D78=0),"NA",IF(AND(D76&gt;0,D77=0),"NR",IF(D77&gt;0,"NOK","OK")))</f>
        <v>NA</v>
      </c>
      <c r="D42" s="392"/>
      <c r="E42" s="392"/>
      <c r="F42" s="393"/>
      <c r="G42" s="88"/>
      <c r="H42" s="88"/>
      <c r="I42" s="88"/>
      <c r="J42" s="88"/>
      <c r="K42" s="88"/>
      <c r="L42" s="88"/>
      <c r="M42" s="88"/>
      <c r="N42" s="88"/>
      <c r="O42" s="88"/>
      <c r="P42" s="88"/>
      <c r="Q42" s="88"/>
      <c r="R42" s="88"/>
      <c r="S42" s="88"/>
      <c r="T42" s="88"/>
    </row>
    <row r="43" spans="1:20" x14ac:dyDescent="0.35">
      <c r="A43" s="105"/>
      <c r="B43" s="113"/>
      <c r="C43" s="392" t="str">
        <f>IF(AND(D79=0,D80=0,D81=0),"NA",IF(AND(D79&gt;0,D80=0),"NR",IF(D80&gt;0,"NOK","OK")))</f>
        <v>NA</v>
      </c>
      <c r="D43" s="392"/>
      <c r="E43" s="392"/>
      <c r="F43" s="393"/>
      <c r="G43" s="88"/>
      <c r="H43" s="88"/>
      <c r="I43" s="88"/>
      <c r="J43" s="88"/>
      <c r="K43" s="88"/>
      <c r="L43" s="88"/>
      <c r="M43" s="88"/>
      <c r="N43" s="88"/>
      <c r="O43" s="88"/>
      <c r="P43" s="88"/>
      <c r="Q43" s="88"/>
      <c r="R43" s="88"/>
      <c r="S43" s="88"/>
      <c r="T43" s="88"/>
    </row>
    <row r="44" spans="1:20" x14ac:dyDescent="0.35">
      <c r="A44" s="105"/>
      <c r="B44" s="113"/>
      <c r="C44" s="392" t="str">
        <f>IF(AND(D82=0,D83=0,D84=0),"NA",IF(AND(D82&gt;0,D83=0),"NR",IF(D83&gt;0,"NOK","OK")))</f>
        <v>NA</v>
      </c>
      <c r="D44" s="392"/>
      <c r="E44" s="392"/>
      <c r="F44" s="393"/>
      <c r="G44" s="88"/>
      <c r="H44" s="88"/>
      <c r="I44" s="88"/>
      <c r="J44" s="88"/>
      <c r="K44" s="88"/>
      <c r="L44" s="88"/>
      <c r="M44" s="88"/>
      <c r="N44" s="88"/>
      <c r="O44" s="88"/>
      <c r="P44" s="88"/>
      <c r="Q44" s="88"/>
      <c r="R44" s="88"/>
      <c r="S44" s="88"/>
      <c r="T44" s="88"/>
    </row>
    <row r="45" spans="1:20" x14ac:dyDescent="0.35">
      <c r="A45" s="105"/>
      <c r="B45" s="113"/>
      <c r="C45" s="392" t="str">
        <f>IF(AND(D85=0,D86=0,D87=0),"NA",IF(AND(D85&gt;0,D86=0),"NR",IF(D86&gt;0,"NOK","OK")))</f>
        <v>NA</v>
      </c>
      <c r="D45" s="392"/>
      <c r="E45" s="392"/>
      <c r="F45" s="393"/>
      <c r="G45" s="88"/>
      <c r="H45" s="88"/>
      <c r="I45" s="88"/>
      <c r="J45" s="88"/>
      <c r="K45" s="88"/>
      <c r="L45" s="88"/>
      <c r="M45" s="88"/>
      <c r="N45" s="88"/>
      <c r="O45" s="88"/>
      <c r="P45" s="88"/>
      <c r="Q45" s="88"/>
      <c r="R45" s="88"/>
      <c r="S45" s="88"/>
      <c r="T45" s="88"/>
    </row>
    <row r="46" spans="1:20" x14ac:dyDescent="0.35">
      <c r="A46" s="105"/>
      <c r="B46" s="113"/>
      <c r="C46" s="392" t="str">
        <f>IF(AND(D88=0,D89=0,D90=0),"NA",IF(AND(D88&gt;0,D89=0),"NR",IF(D89&gt;0,"NOK","OK")))</f>
        <v>NA</v>
      </c>
      <c r="D46" s="392"/>
      <c r="E46" s="392"/>
      <c r="F46" s="393"/>
      <c r="G46" s="88"/>
      <c r="H46" s="88"/>
      <c r="I46" s="88"/>
      <c r="J46" s="88"/>
      <c r="K46" s="88"/>
      <c r="L46" s="88"/>
      <c r="M46" s="88"/>
      <c r="N46" s="88"/>
      <c r="O46" s="88"/>
      <c r="P46" s="88"/>
      <c r="Q46" s="88"/>
      <c r="R46" s="88"/>
      <c r="S46" s="88"/>
      <c r="T46" s="88"/>
    </row>
    <row r="47" spans="1:20" ht="15" thickBot="1" x14ac:dyDescent="0.4">
      <c r="A47" s="105"/>
      <c r="B47" s="114"/>
      <c r="C47" s="400" t="str">
        <f>IF(AND(D91=0,D92=0,D93=0),"NA",IF(AND(D91&gt;0,D92=0),"NR",IF(D92&gt;0,"NOK","OK")))</f>
        <v>NA</v>
      </c>
      <c r="D47" s="400"/>
      <c r="E47" s="400"/>
      <c r="F47" s="401"/>
      <c r="G47" s="88"/>
      <c r="H47" s="88"/>
      <c r="I47" s="88"/>
      <c r="J47" s="88"/>
      <c r="K47" s="88"/>
      <c r="L47" s="88"/>
      <c r="M47" s="88"/>
      <c r="N47" s="88"/>
      <c r="O47" s="88"/>
      <c r="P47" s="88"/>
      <c r="Q47" s="88"/>
      <c r="R47" s="88"/>
      <c r="S47" s="88"/>
      <c r="T47" s="88"/>
    </row>
    <row r="48" spans="1:20" ht="15" thickBot="1" x14ac:dyDescent="0.4">
      <c r="A48" s="105"/>
      <c r="B48" s="115"/>
      <c r="C48" s="116"/>
      <c r="D48" s="116"/>
      <c r="E48" s="117"/>
      <c r="F48" s="116"/>
      <c r="G48" s="88"/>
      <c r="H48" s="88"/>
      <c r="I48" s="88"/>
      <c r="J48" s="88"/>
      <c r="K48" s="88"/>
      <c r="L48" s="88"/>
      <c r="M48" s="88"/>
      <c r="N48" s="88"/>
      <c r="O48" s="88"/>
      <c r="P48" s="88"/>
      <c r="Q48" s="88"/>
      <c r="R48" s="88"/>
      <c r="S48" s="88"/>
      <c r="T48" s="88"/>
    </row>
    <row r="49" spans="1:20" ht="15" thickBot="1" x14ac:dyDescent="0.4">
      <c r="A49" s="105"/>
      <c r="B49" s="394" t="s">
        <v>580</v>
      </c>
      <c r="C49" s="395"/>
      <c r="D49" s="395"/>
      <c r="E49" s="395"/>
      <c r="F49" s="396"/>
      <c r="G49" s="88"/>
      <c r="H49" s="88"/>
      <c r="I49" s="88"/>
      <c r="J49" s="88"/>
      <c r="K49" s="88"/>
      <c r="L49" s="88"/>
      <c r="M49" s="88"/>
      <c r="N49" s="88"/>
      <c r="O49" s="88"/>
      <c r="P49" s="88"/>
      <c r="Q49" s="88"/>
      <c r="R49" s="88"/>
      <c r="S49" s="88"/>
      <c r="T49" s="88"/>
    </row>
    <row r="50" spans="1:20" ht="31.5" thickBot="1" x14ac:dyDescent="0.4">
      <c r="A50" s="105"/>
      <c r="B50" s="118" t="s">
        <v>787</v>
      </c>
      <c r="C50" s="119" t="str">
        <f>IF(AND(COUNTIF(C35:C46,"NOK")=0,COUNTIF(C35:C46,"OK")=0,COUNTIF(C35:C46,"NR")=0),"NA",IF(AND(COUNTIF(C35:C46,"NR")&gt;0,COUNTIF(C35:C46,"NOK")=0),"NR",IF(COUNTIF(C35:C46,"NOK")&gt;0,"NOK","OK")))</f>
        <v>NA</v>
      </c>
      <c r="D50" s="397" t="s">
        <v>57</v>
      </c>
      <c r="E50" s="398"/>
      <c r="F50" s="399"/>
      <c r="G50" s="88"/>
      <c r="H50" s="88"/>
      <c r="I50" s="88"/>
      <c r="J50" s="88"/>
      <c r="K50" s="88"/>
      <c r="L50" s="88"/>
      <c r="M50" s="88"/>
      <c r="N50" s="88"/>
      <c r="O50" s="88"/>
      <c r="P50" s="88"/>
      <c r="Q50" s="88"/>
      <c r="R50" s="88"/>
      <c r="S50" s="88"/>
      <c r="T50" s="88"/>
    </row>
    <row r="51" spans="1:20" x14ac:dyDescent="0.35">
      <c r="A51" s="105"/>
      <c r="B51" s="83"/>
      <c r="C51" s="88"/>
      <c r="D51" s="88"/>
      <c r="E51" s="111"/>
      <c r="F51" s="88"/>
      <c r="G51" s="88"/>
      <c r="H51" s="88"/>
      <c r="I51" s="88"/>
      <c r="J51" s="88"/>
      <c r="K51" s="88"/>
      <c r="L51" s="88"/>
      <c r="M51" s="88"/>
      <c r="N51" s="88"/>
      <c r="O51" s="88"/>
      <c r="P51" s="88"/>
      <c r="Q51" s="88"/>
      <c r="R51" s="88"/>
      <c r="S51" s="88"/>
      <c r="T51" s="88"/>
    </row>
    <row r="52" spans="1:20" x14ac:dyDescent="0.35">
      <c r="A52" s="105"/>
      <c r="B52" s="83"/>
      <c r="C52" s="88"/>
      <c r="D52" s="88"/>
      <c r="E52" s="111"/>
      <c r="F52" s="88"/>
      <c r="G52" s="88"/>
      <c r="H52" s="88"/>
      <c r="I52" s="88"/>
      <c r="J52" s="88"/>
      <c r="K52" s="88"/>
      <c r="L52" s="88"/>
      <c r="M52" s="88"/>
      <c r="N52" s="88"/>
      <c r="O52" s="88"/>
      <c r="P52" s="88"/>
      <c r="Q52" s="88"/>
      <c r="R52" s="88"/>
      <c r="S52" s="88"/>
      <c r="T52" s="88"/>
    </row>
    <row r="53" spans="1:20" x14ac:dyDescent="0.35">
      <c r="A53" s="105"/>
      <c r="B53" s="83"/>
      <c r="C53" s="88"/>
      <c r="D53" s="88"/>
      <c r="E53" s="111"/>
      <c r="F53" s="88"/>
      <c r="G53" s="88"/>
      <c r="H53" s="88"/>
      <c r="I53" s="88"/>
      <c r="J53" s="88"/>
      <c r="K53" s="88"/>
      <c r="L53" s="88"/>
      <c r="M53" s="88"/>
      <c r="N53" s="88"/>
      <c r="O53" s="88"/>
      <c r="P53" s="88"/>
      <c r="Q53" s="88"/>
      <c r="R53" s="88"/>
      <c r="S53" s="88"/>
      <c r="T53" s="88"/>
    </row>
    <row r="54" spans="1:20" x14ac:dyDescent="0.35">
      <c r="A54" s="105"/>
      <c r="B54" s="391" t="s">
        <v>582</v>
      </c>
      <c r="C54" s="391"/>
      <c r="D54" s="391"/>
      <c r="E54" s="88"/>
      <c r="F54" s="88"/>
      <c r="G54" s="88"/>
      <c r="H54" s="88"/>
      <c r="I54" s="88"/>
      <c r="J54" s="88"/>
      <c r="K54" s="88"/>
      <c r="L54" s="88"/>
      <c r="M54" s="88"/>
      <c r="N54" s="88"/>
      <c r="O54" s="88"/>
      <c r="P54" s="88"/>
      <c r="Q54" s="88"/>
      <c r="R54" s="88"/>
      <c r="S54" s="88"/>
      <c r="T54" s="88"/>
    </row>
    <row r="55" spans="1:20" x14ac:dyDescent="0.35">
      <c r="A55" s="105"/>
      <c r="B55" s="390">
        <f>B35</f>
        <v>0</v>
      </c>
      <c r="C55" s="120" t="s">
        <v>549</v>
      </c>
      <c r="D55" s="120">
        <f>IF($B$55=0,0,COUNTIFS($B$8:$B$32,"*"&amp;$B$55&amp;"*",$C$8:$C$32,C55))</f>
        <v>0</v>
      </c>
      <c r="E55" s="88"/>
      <c r="F55" s="88"/>
      <c r="G55" s="88"/>
      <c r="H55" s="88"/>
      <c r="I55" s="88"/>
      <c r="J55" s="88"/>
      <c r="K55" s="88"/>
      <c r="L55" s="88"/>
      <c r="M55" s="88"/>
      <c r="N55" s="88"/>
      <c r="O55" s="88"/>
      <c r="P55" s="88"/>
      <c r="Q55" s="88"/>
      <c r="R55" s="88"/>
      <c r="S55" s="88"/>
      <c r="T55" s="88"/>
    </row>
    <row r="56" spans="1:20" x14ac:dyDescent="0.35">
      <c r="A56" s="105"/>
      <c r="B56" s="390"/>
      <c r="C56" s="120" t="s">
        <v>583</v>
      </c>
      <c r="D56" s="120">
        <f>IF($B$55=0,0,COUNTIFS($B$8:$B$32,"*"&amp;$B$55&amp;"*",$C$8:$C$32,C56))</f>
        <v>0</v>
      </c>
      <c r="E56" s="88"/>
      <c r="F56" s="88"/>
      <c r="G56" s="88"/>
      <c r="H56" s="88"/>
      <c r="I56" s="88"/>
      <c r="J56" s="88"/>
      <c r="K56" s="88"/>
      <c r="L56" s="88"/>
      <c r="M56" s="88"/>
      <c r="N56" s="88"/>
      <c r="O56" s="88"/>
      <c r="P56" s="88"/>
      <c r="Q56" s="88"/>
      <c r="R56" s="88"/>
      <c r="S56" s="88"/>
      <c r="T56" s="88"/>
    </row>
    <row r="57" spans="1:20" x14ac:dyDescent="0.35">
      <c r="A57" s="105"/>
      <c r="B57" s="390"/>
      <c r="C57" s="120" t="s">
        <v>584</v>
      </c>
      <c r="D57" s="120">
        <f>IF($B$55=0,0,COUNTIFS($B$8:$B$32,"*"&amp;$B$55&amp;"*",$C$8:$C$32,C57))</f>
        <v>0</v>
      </c>
      <c r="E57" s="88"/>
      <c r="F57" s="88"/>
      <c r="G57" s="88"/>
      <c r="H57" s="88"/>
      <c r="I57" s="88"/>
      <c r="J57" s="88"/>
      <c r="K57" s="88"/>
      <c r="L57" s="88"/>
      <c r="M57" s="88"/>
      <c r="N57" s="88"/>
      <c r="O57" s="88"/>
      <c r="P57" s="88"/>
      <c r="Q57" s="88"/>
      <c r="R57" s="88"/>
      <c r="S57" s="88"/>
      <c r="T57" s="88"/>
    </row>
    <row r="58" spans="1:20" x14ac:dyDescent="0.35">
      <c r="A58" s="105"/>
      <c r="B58" s="390">
        <f>B36</f>
        <v>0</v>
      </c>
      <c r="C58" s="120" t="s">
        <v>549</v>
      </c>
      <c r="D58" s="120">
        <f>IF($B$58=0,0,COUNTIFS($B$8:$B$32,"*"&amp;$B$58&amp;"*",$C$8:$C$32,C58))</f>
        <v>0</v>
      </c>
      <c r="E58" s="88"/>
      <c r="F58" s="88"/>
      <c r="G58" s="88"/>
      <c r="H58" s="88"/>
      <c r="I58" s="88"/>
      <c r="J58" s="88"/>
      <c r="K58" s="88"/>
      <c r="L58" s="88"/>
      <c r="M58" s="88"/>
      <c r="N58" s="88"/>
      <c r="O58" s="88"/>
      <c r="P58" s="88"/>
      <c r="Q58" s="88"/>
      <c r="R58" s="88"/>
      <c r="S58" s="88"/>
      <c r="T58" s="88"/>
    </row>
    <row r="59" spans="1:20" x14ac:dyDescent="0.35">
      <c r="A59" s="105"/>
      <c r="B59" s="390"/>
      <c r="C59" s="120" t="s">
        <v>583</v>
      </c>
      <c r="D59" s="120">
        <f>IF($B$58=0,0,COUNTIFS($B$8:$B$32,"*"&amp;$B$58&amp;"*",$C$8:$C$32,C59))</f>
        <v>0</v>
      </c>
      <c r="E59" s="88"/>
      <c r="F59" s="88"/>
      <c r="G59" s="88"/>
      <c r="H59" s="88"/>
      <c r="I59" s="88"/>
      <c r="J59" s="88"/>
      <c r="K59" s="88"/>
      <c r="L59" s="88"/>
      <c r="M59" s="88"/>
      <c r="N59" s="88"/>
      <c r="O59" s="88"/>
      <c r="P59" s="88"/>
      <c r="Q59" s="88"/>
      <c r="R59" s="88"/>
      <c r="S59" s="88"/>
      <c r="T59" s="88"/>
    </row>
    <row r="60" spans="1:20" x14ac:dyDescent="0.35">
      <c r="A60" s="105"/>
      <c r="B60" s="390"/>
      <c r="C60" s="120" t="s">
        <v>584</v>
      </c>
      <c r="D60" s="120">
        <f>IF($B$58=0,0,COUNTIFS($B$8:$B$32,"*"&amp;$B$58&amp;"*",$C$8:$C$32,C60))</f>
        <v>0</v>
      </c>
      <c r="E60" s="88"/>
      <c r="F60" s="88"/>
      <c r="G60" s="88"/>
      <c r="H60" s="88"/>
      <c r="I60" s="88"/>
      <c r="J60" s="88"/>
      <c r="K60" s="88"/>
      <c r="L60" s="88"/>
      <c r="M60" s="88"/>
      <c r="N60" s="88"/>
      <c r="O60" s="88"/>
      <c r="P60" s="88"/>
      <c r="Q60" s="88"/>
      <c r="R60" s="88"/>
      <c r="S60" s="88"/>
      <c r="T60" s="88"/>
    </row>
    <row r="61" spans="1:20" x14ac:dyDescent="0.35">
      <c r="A61" s="105"/>
      <c r="B61" s="390">
        <f>B37</f>
        <v>0</v>
      </c>
      <c r="C61" s="120" t="s">
        <v>549</v>
      </c>
      <c r="D61" s="120">
        <f>IF($B$61=0,0,COUNTIFS($B$8:$B$32,"*"&amp;$B$61&amp;"*",$C$8:$C$32,C61))</f>
        <v>0</v>
      </c>
      <c r="E61" s="88"/>
      <c r="F61" s="88"/>
      <c r="G61" s="88"/>
      <c r="H61" s="88"/>
      <c r="I61" s="88"/>
      <c r="J61" s="88"/>
      <c r="K61" s="88"/>
      <c r="L61" s="88"/>
      <c r="M61" s="88"/>
      <c r="N61" s="88"/>
      <c r="O61" s="88"/>
      <c r="P61" s="88"/>
      <c r="Q61" s="88"/>
      <c r="R61" s="88"/>
      <c r="S61" s="88"/>
      <c r="T61" s="88"/>
    </row>
    <row r="62" spans="1:20" x14ac:dyDescent="0.35">
      <c r="A62" s="105"/>
      <c r="B62" s="390"/>
      <c r="C62" s="120" t="s">
        <v>583</v>
      </c>
      <c r="D62" s="120">
        <f>IF($B$61=0,0,COUNTIFS($B$8:$B$32,"*"&amp;$B$61&amp;"*",$C$8:$C$32,C62))</f>
        <v>0</v>
      </c>
      <c r="E62" s="88"/>
      <c r="F62" s="88"/>
      <c r="G62" s="88"/>
      <c r="H62" s="88"/>
      <c r="I62" s="88"/>
      <c r="J62" s="88"/>
      <c r="K62" s="88"/>
      <c r="L62" s="88"/>
      <c r="M62" s="88"/>
      <c r="N62" s="88"/>
      <c r="O62" s="88"/>
      <c r="P62" s="88"/>
      <c r="Q62" s="88"/>
      <c r="R62" s="88"/>
      <c r="S62" s="88"/>
      <c r="T62" s="88"/>
    </row>
    <row r="63" spans="1:20" x14ac:dyDescent="0.35">
      <c r="A63" s="105"/>
      <c r="B63" s="390"/>
      <c r="C63" s="120" t="s">
        <v>584</v>
      </c>
      <c r="D63" s="120">
        <f>IF($B$61=0,0,COUNTIFS($B$8:$B$32,"*"&amp;$B$61&amp;"*",$C$8:$C$32,C63))</f>
        <v>0</v>
      </c>
      <c r="E63" s="88"/>
      <c r="F63" s="88"/>
      <c r="G63" s="88"/>
      <c r="H63" s="88"/>
      <c r="I63" s="88"/>
      <c r="J63" s="88"/>
      <c r="K63" s="88"/>
      <c r="L63" s="88"/>
      <c r="M63" s="88"/>
      <c r="N63" s="88"/>
      <c r="O63" s="88"/>
      <c r="P63" s="88"/>
      <c r="Q63" s="88"/>
      <c r="R63" s="88"/>
      <c r="S63" s="88"/>
      <c r="T63" s="88"/>
    </row>
    <row r="64" spans="1:20" x14ac:dyDescent="0.35">
      <c r="A64" s="105"/>
      <c r="B64" s="390">
        <f>B38</f>
        <v>0</v>
      </c>
      <c r="C64" s="120" t="s">
        <v>549</v>
      </c>
      <c r="D64" s="120">
        <f>IF($B$64=0,0,COUNTIFS($B$8:$B$32,"*"&amp;$B$64&amp;"*",$C$8:$C$32,C64))</f>
        <v>0</v>
      </c>
      <c r="E64" s="88"/>
      <c r="F64" s="88"/>
      <c r="G64" s="88"/>
      <c r="H64" s="88"/>
      <c r="I64" s="88"/>
      <c r="J64" s="88"/>
      <c r="K64" s="88"/>
      <c r="L64" s="88"/>
      <c r="M64" s="88"/>
      <c r="N64" s="88"/>
      <c r="O64" s="88"/>
      <c r="P64" s="88"/>
      <c r="Q64" s="88"/>
      <c r="R64" s="88"/>
      <c r="S64" s="88"/>
      <c r="T64" s="88"/>
    </row>
    <row r="65" spans="1:20" x14ac:dyDescent="0.35">
      <c r="A65" s="105"/>
      <c r="B65" s="390"/>
      <c r="C65" s="120" t="s">
        <v>583</v>
      </c>
      <c r="D65" s="120">
        <f>IF($B$64=0,0,COUNTIFS($B$8:$B$32,"*"&amp;$B$64&amp;"*",$C$8:$C$32,C65))</f>
        <v>0</v>
      </c>
      <c r="E65" s="88"/>
      <c r="F65" s="88"/>
      <c r="G65" s="88"/>
      <c r="H65" s="88"/>
      <c r="I65" s="88"/>
      <c r="J65" s="88"/>
      <c r="K65" s="88"/>
      <c r="L65" s="88"/>
      <c r="M65" s="88"/>
      <c r="N65" s="88"/>
      <c r="O65" s="88"/>
      <c r="P65" s="88"/>
      <c r="Q65" s="88"/>
      <c r="R65" s="88"/>
      <c r="S65" s="88"/>
      <c r="T65" s="88"/>
    </row>
    <row r="66" spans="1:20" x14ac:dyDescent="0.35">
      <c r="A66" s="105"/>
      <c r="B66" s="390"/>
      <c r="C66" s="120" t="s">
        <v>584</v>
      </c>
      <c r="D66" s="120">
        <f>IF($B$64=0,0,COUNTIFS($B$8:$B$32,"*"&amp;$B$64&amp;"*",$C$8:$C$32,C66))</f>
        <v>0</v>
      </c>
      <c r="E66" s="88"/>
      <c r="F66" s="88"/>
      <c r="G66" s="88"/>
      <c r="H66" s="88"/>
      <c r="I66" s="88"/>
      <c r="J66" s="88"/>
      <c r="K66" s="88"/>
      <c r="L66" s="88"/>
      <c r="M66" s="88"/>
      <c r="N66" s="88"/>
      <c r="O66" s="88"/>
      <c r="P66" s="88"/>
      <c r="Q66" s="88"/>
      <c r="R66" s="88"/>
      <c r="S66" s="88"/>
      <c r="T66" s="88"/>
    </row>
    <row r="67" spans="1:20" x14ac:dyDescent="0.35">
      <c r="A67" s="105"/>
      <c r="B67" s="390">
        <f>B39</f>
        <v>0</v>
      </c>
      <c r="C67" s="120" t="s">
        <v>549</v>
      </c>
      <c r="D67" s="120">
        <f>IF($B$67=0,0,COUNTIFS($B$8:$B$32,"*"&amp;$B$67&amp;"*",$C$8:$C$32,C67))</f>
        <v>0</v>
      </c>
      <c r="E67" s="88"/>
      <c r="F67" s="88"/>
      <c r="G67" s="88"/>
      <c r="H67" s="88"/>
      <c r="I67" s="88"/>
      <c r="J67" s="88"/>
      <c r="K67" s="88"/>
      <c r="L67" s="88"/>
      <c r="M67" s="88"/>
      <c r="N67" s="88"/>
      <c r="O67" s="88"/>
      <c r="P67" s="88"/>
      <c r="Q67" s="88"/>
      <c r="R67" s="88"/>
      <c r="S67" s="88"/>
      <c r="T67" s="88"/>
    </row>
    <row r="68" spans="1:20" x14ac:dyDescent="0.35">
      <c r="A68" s="105"/>
      <c r="B68" s="390"/>
      <c r="C68" s="120" t="s">
        <v>583</v>
      </c>
      <c r="D68" s="120">
        <f>IF($B$67=0,0,COUNTIFS($B$8:$B$32,"*"&amp;$B$67&amp;"*",$C$8:$C$32,C68))</f>
        <v>0</v>
      </c>
      <c r="E68" s="88"/>
      <c r="F68" s="88"/>
      <c r="G68" s="88"/>
      <c r="H68" s="88"/>
      <c r="I68" s="88"/>
      <c r="J68" s="88"/>
      <c r="K68" s="88"/>
      <c r="L68" s="88"/>
      <c r="M68" s="88"/>
      <c r="N68" s="88"/>
      <c r="O68" s="88"/>
      <c r="P68" s="88"/>
      <c r="Q68" s="88"/>
      <c r="R68" s="88"/>
      <c r="S68" s="88"/>
      <c r="T68" s="88"/>
    </row>
    <row r="69" spans="1:20" x14ac:dyDescent="0.35">
      <c r="A69" s="105"/>
      <c r="B69" s="390"/>
      <c r="C69" s="120" t="s">
        <v>584</v>
      </c>
      <c r="D69" s="120">
        <f>IF($B$67=0,0,COUNTIFS($B$8:$B$32,"*"&amp;$B$67&amp;"*",$C$8:$C$32,C69))</f>
        <v>0</v>
      </c>
      <c r="E69" s="88"/>
      <c r="F69" s="88"/>
      <c r="G69" s="88"/>
      <c r="H69" s="88"/>
      <c r="I69" s="88"/>
      <c r="J69" s="88"/>
      <c r="K69" s="88"/>
      <c r="L69" s="88"/>
      <c r="M69" s="88"/>
      <c r="N69" s="88"/>
      <c r="O69" s="88"/>
      <c r="P69" s="88"/>
      <c r="Q69" s="88"/>
      <c r="R69" s="88"/>
      <c r="S69" s="88"/>
      <c r="T69" s="88"/>
    </row>
    <row r="70" spans="1:20" x14ac:dyDescent="0.35">
      <c r="A70" s="105"/>
      <c r="B70" s="390">
        <f>B40</f>
        <v>0</v>
      </c>
      <c r="C70" s="120" t="s">
        <v>549</v>
      </c>
      <c r="D70" s="120">
        <f>IF($B$70=0,0,COUNTIFS($B$8:$B$32,"*"&amp;$B$70&amp;"*",$C$8:$C$32,C70))</f>
        <v>0</v>
      </c>
      <c r="E70" s="111"/>
      <c r="F70" s="88"/>
      <c r="G70" s="88"/>
      <c r="H70" s="88"/>
      <c r="I70" s="88"/>
      <c r="J70" s="88"/>
      <c r="K70" s="88"/>
      <c r="L70" s="88"/>
      <c r="M70" s="88"/>
      <c r="N70" s="88"/>
      <c r="O70" s="88"/>
      <c r="P70" s="88"/>
      <c r="Q70" s="88"/>
      <c r="R70" s="88"/>
      <c r="S70" s="88"/>
      <c r="T70" s="88"/>
    </row>
    <row r="71" spans="1:20" x14ac:dyDescent="0.35">
      <c r="A71" s="105"/>
      <c r="B71" s="390"/>
      <c r="C71" s="120" t="s">
        <v>583</v>
      </c>
      <c r="D71" s="120">
        <f>IF($B$70=0,0,COUNTIFS($B$8:$B$32,"*"&amp;$B$70&amp;"*",$C$8:$C$32,C71))</f>
        <v>0</v>
      </c>
      <c r="E71" s="111"/>
      <c r="F71" s="88"/>
      <c r="G71" s="88"/>
      <c r="H71" s="88"/>
      <c r="I71" s="88"/>
      <c r="J71" s="88"/>
      <c r="K71" s="88"/>
      <c r="L71" s="88"/>
      <c r="M71" s="88"/>
      <c r="N71" s="88"/>
      <c r="O71" s="88"/>
      <c r="P71" s="88"/>
      <c r="Q71" s="88"/>
      <c r="R71" s="88"/>
      <c r="S71" s="88"/>
      <c r="T71" s="88"/>
    </row>
    <row r="72" spans="1:20" x14ac:dyDescent="0.35">
      <c r="A72" s="105"/>
      <c r="B72" s="390"/>
      <c r="C72" s="120" t="s">
        <v>584</v>
      </c>
      <c r="D72" s="120">
        <f>IF($B$70=0,0,COUNTIFS($B$8:$B$32,"*"&amp;$B$70&amp;"*",$C$8:$C$32,C72))</f>
        <v>0</v>
      </c>
      <c r="E72" s="111"/>
      <c r="F72" s="88"/>
      <c r="G72" s="88"/>
      <c r="H72" s="88"/>
      <c r="I72" s="88"/>
      <c r="J72" s="88"/>
      <c r="K72" s="88"/>
      <c r="L72" s="88"/>
      <c r="M72" s="88"/>
      <c r="N72" s="88"/>
      <c r="O72" s="88"/>
      <c r="P72" s="88"/>
      <c r="Q72" s="88"/>
      <c r="R72" s="88"/>
      <c r="S72" s="88"/>
      <c r="T72" s="88"/>
    </row>
    <row r="73" spans="1:20" x14ac:dyDescent="0.35">
      <c r="A73" s="105"/>
      <c r="B73" s="390">
        <f>B41</f>
        <v>0</v>
      </c>
      <c r="C73" s="120" t="s">
        <v>549</v>
      </c>
      <c r="D73" s="120">
        <f>IF($B$73=0,0,COUNTIFS($B$8:$B$32,"*"&amp;$B$73&amp;"*",$C$8:$C$32,C73))</f>
        <v>0</v>
      </c>
      <c r="E73" s="111"/>
      <c r="F73" s="88"/>
      <c r="G73" s="88"/>
      <c r="H73" s="88"/>
      <c r="I73" s="88"/>
      <c r="J73" s="88"/>
      <c r="K73" s="88"/>
      <c r="L73" s="88"/>
      <c r="M73" s="88"/>
      <c r="N73" s="88"/>
      <c r="O73" s="88"/>
      <c r="P73" s="88"/>
      <c r="Q73" s="88"/>
      <c r="R73" s="88"/>
      <c r="S73" s="88"/>
      <c r="T73" s="88"/>
    </row>
    <row r="74" spans="1:20" x14ac:dyDescent="0.35">
      <c r="A74" s="105"/>
      <c r="B74" s="390"/>
      <c r="C74" s="120" t="s">
        <v>583</v>
      </c>
      <c r="D74" s="120">
        <f>IF($B$73=0,0,COUNTIFS($B$8:$B$32,"*"&amp;$B$73&amp;"*",$C$8:$C$32,C74))</f>
        <v>0</v>
      </c>
      <c r="E74" s="111"/>
      <c r="F74" s="88"/>
      <c r="G74" s="88"/>
      <c r="H74" s="88"/>
      <c r="I74" s="88"/>
      <c r="J74" s="88"/>
      <c r="K74" s="88"/>
      <c r="L74" s="88"/>
      <c r="M74" s="88"/>
      <c r="N74" s="88"/>
      <c r="O74" s="88"/>
      <c r="P74" s="88"/>
      <c r="Q74" s="88"/>
      <c r="R74" s="88"/>
      <c r="S74" s="88"/>
      <c r="T74" s="88"/>
    </row>
    <row r="75" spans="1:20" x14ac:dyDescent="0.35">
      <c r="A75" s="105"/>
      <c r="B75" s="390"/>
      <c r="C75" s="120" t="s">
        <v>584</v>
      </c>
      <c r="D75" s="120">
        <f>IF($B$73=0,0,COUNTIFS($B$8:$B$32,"*"&amp;$B$73&amp;"*",$C$8:$C$32,C75))</f>
        <v>0</v>
      </c>
      <c r="E75" s="111"/>
      <c r="F75" s="88"/>
      <c r="G75" s="88"/>
      <c r="H75" s="88"/>
      <c r="I75" s="88"/>
      <c r="J75" s="88"/>
      <c r="K75" s="88"/>
      <c r="L75" s="88"/>
      <c r="M75" s="88"/>
      <c r="N75" s="88"/>
      <c r="O75" s="88"/>
      <c r="P75" s="88"/>
      <c r="Q75" s="88"/>
      <c r="R75" s="88"/>
      <c r="S75" s="88"/>
      <c r="T75" s="88"/>
    </row>
    <row r="76" spans="1:20" x14ac:dyDescent="0.35">
      <c r="A76" s="105"/>
      <c r="B76" s="390">
        <f>B42</f>
        <v>0</v>
      </c>
      <c r="C76" s="120" t="s">
        <v>549</v>
      </c>
      <c r="D76" s="120">
        <f>IF($B$76=0,0,COUNTIFS($B$8:$B$32,"*"&amp;$B$76&amp;"*",$C$8:$C$32,C76))</f>
        <v>0</v>
      </c>
      <c r="E76" s="111"/>
      <c r="F76" s="88"/>
      <c r="G76" s="88"/>
      <c r="H76" s="88"/>
      <c r="I76" s="88"/>
      <c r="J76" s="88"/>
      <c r="K76" s="88"/>
      <c r="L76" s="88"/>
      <c r="M76" s="88"/>
      <c r="N76" s="88"/>
      <c r="O76" s="88"/>
      <c r="P76" s="88"/>
      <c r="Q76" s="88"/>
      <c r="R76" s="88"/>
      <c r="S76" s="88"/>
      <c r="T76" s="88"/>
    </row>
    <row r="77" spans="1:20" x14ac:dyDescent="0.35">
      <c r="A77" s="105"/>
      <c r="B77" s="390"/>
      <c r="C77" s="120" t="s">
        <v>583</v>
      </c>
      <c r="D77" s="120">
        <f>IF($B$76=0,0,COUNTIFS($B$8:$B$32,"*"&amp;$B$76&amp;"*",$C$8:$C$32,C77))</f>
        <v>0</v>
      </c>
      <c r="E77" s="111"/>
      <c r="F77" s="88"/>
      <c r="G77" s="88"/>
      <c r="H77" s="88"/>
      <c r="I77" s="88"/>
      <c r="J77" s="88"/>
      <c r="K77" s="88"/>
      <c r="L77" s="88"/>
      <c r="M77" s="88"/>
      <c r="N77" s="88"/>
      <c r="O77" s="88"/>
      <c r="P77" s="88"/>
      <c r="Q77" s="88"/>
      <c r="R77" s="88"/>
      <c r="S77" s="88"/>
      <c r="T77" s="88"/>
    </row>
    <row r="78" spans="1:20" x14ac:dyDescent="0.35">
      <c r="A78" s="105"/>
      <c r="B78" s="390"/>
      <c r="C78" s="120" t="s">
        <v>584</v>
      </c>
      <c r="D78" s="120">
        <f>IF($B$76=0,0,COUNTIFS($B$8:$B$32,"*"&amp;$B$76&amp;"*",$C$8:$C$32,C78))</f>
        <v>0</v>
      </c>
      <c r="E78" s="111"/>
      <c r="F78" s="88"/>
      <c r="G78" s="88"/>
      <c r="H78" s="88"/>
      <c r="I78" s="88"/>
      <c r="J78" s="88"/>
      <c r="K78" s="88"/>
      <c r="L78" s="88"/>
      <c r="M78" s="88"/>
      <c r="N78" s="88"/>
      <c r="O78" s="88"/>
      <c r="P78" s="88"/>
      <c r="Q78" s="88"/>
      <c r="R78" s="88"/>
      <c r="S78" s="88"/>
      <c r="T78" s="88"/>
    </row>
    <row r="79" spans="1:20" x14ac:dyDescent="0.35">
      <c r="A79" s="105"/>
      <c r="B79" s="390">
        <f>B43</f>
        <v>0</v>
      </c>
      <c r="C79" s="120" t="s">
        <v>549</v>
      </c>
      <c r="D79" s="120">
        <f>IF($B$79=0,0,COUNTIFS($B$8:$B$32,"*"&amp;$B$79&amp;"*",$C$8:$C$32,C79))</f>
        <v>0</v>
      </c>
      <c r="E79" s="111"/>
      <c r="F79" s="88"/>
      <c r="G79" s="88"/>
      <c r="H79" s="88"/>
      <c r="I79" s="88"/>
      <c r="J79" s="88"/>
      <c r="K79" s="88"/>
      <c r="L79" s="88"/>
      <c r="M79" s="88"/>
      <c r="N79" s="88"/>
      <c r="O79" s="88"/>
      <c r="P79" s="88"/>
      <c r="Q79" s="88"/>
      <c r="R79" s="88"/>
      <c r="S79" s="88"/>
      <c r="T79" s="88"/>
    </row>
    <row r="80" spans="1:20" x14ac:dyDescent="0.35">
      <c r="A80" s="105"/>
      <c r="B80" s="390"/>
      <c r="C80" s="120" t="s">
        <v>583</v>
      </c>
      <c r="D80" s="120">
        <f>IF($B$79=0,0,COUNTIFS($B$8:$B$32,"*"&amp;$B$79&amp;"*",$C$8:$C$32,C80))</f>
        <v>0</v>
      </c>
      <c r="E80" s="111"/>
      <c r="F80" s="88"/>
      <c r="G80" s="88"/>
      <c r="H80" s="88"/>
      <c r="I80" s="88"/>
      <c r="J80" s="88"/>
      <c r="K80" s="88"/>
      <c r="L80" s="88"/>
      <c r="M80" s="88"/>
      <c r="N80" s="88"/>
      <c r="O80" s="88"/>
      <c r="P80" s="88"/>
      <c r="Q80" s="88"/>
      <c r="R80" s="88"/>
      <c r="S80" s="88"/>
      <c r="T80" s="88"/>
    </row>
    <row r="81" spans="1:20" x14ac:dyDescent="0.35">
      <c r="A81" s="105"/>
      <c r="B81" s="390"/>
      <c r="C81" s="120" t="s">
        <v>584</v>
      </c>
      <c r="D81" s="120">
        <f>IF($B$79=0,0,COUNTIFS($B$8:$B$32,"*"&amp;$B$79&amp;"*",$C$8:$C$32,C81))</f>
        <v>0</v>
      </c>
      <c r="E81" s="111"/>
      <c r="F81" s="88"/>
      <c r="G81" s="88"/>
      <c r="H81" s="88"/>
      <c r="I81" s="88"/>
      <c r="J81" s="88"/>
      <c r="K81" s="88"/>
      <c r="L81" s="88"/>
      <c r="M81" s="88"/>
      <c r="N81" s="88"/>
      <c r="O81" s="88"/>
      <c r="P81" s="88"/>
      <c r="Q81" s="88"/>
      <c r="R81" s="88"/>
      <c r="S81" s="88"/>
      <c r="T81" s="88"/>
    </row>
    <row r="82" spans="1:20" x14ac:dyDescent="0.35">
      <c r="A82" s="105"/>
      <c r="B82" s="390">
        <f>B44</f>
        <v>0</v>
      </c>
      <c r="C82" s="120" t="s">
        <v>549</v>
      </c>
      <c r="D82" s="120">
        <f>IF($B$82=0,0,COUNTIFS($B$8:$B$32,"*"&amp;$B$82&amp;"*",$C$8:$C$32,C82))</f>
        <v>0</v>
      </c>
      <c r="E82" s="111"/>
      <c r="F82" s="88"/>
      <c r="G82" s="88"/>
      <c r="H82" s="88"/>
      <c r="I82" s="88"/>
      <c r="J82" s="88"/>
      <c r="K82" s="88"/>
      <c r="L82" s="88"/>
      <c r="M82" s="88"/>
      <c r="N82" s="88"/>
      <c r="O82" s="88"/>
      <c r="P82" s="88"/>
      <c r="Q82" s="88"/>
      <c r="R82" s="88"/>
      <c r="S82" s="88"/>
      <c r="T82" s="88"/>
    </row>
    <row r="83" spans="1:20" x14ac:dyDescent="0.35">
      <c r="A83" s="105"/>
      <c r="B83" s="390"/>
      <c r="C83" s="120" t="s">
        <v>583</v>
      </c>
      <c r="D83" s="120">
        <f>IF($B$82=0,0,COUNTIFS($B$8:$B$32,"*"&amp;$B$82&amp;"*",$C$8:$C$32,C83))</f>
        <v>0</v>
      </c>
      <c r="E83" s="111"/>
      <c r="F83" s="88"/>
      <c r="G83" s="88"/>
      <c r="H83" s="88"/>
      <c r="I83" s="88"/>
      <c r="J83" s="88"/>
      <c r="K83" s="88"/>
      <c r="L83" s="88"/>
      <c r="M83" s="88"/>
      <c r="N83" s="88"/>
      <c r="O83" s="88"/>
      <c r="P83" s="88"/>
      <c r="Q83" s="88"/>
      <c r="R83" s="88"/>
      <c r="S83" s="88"/>
      <c r="T83" s="88"/>
    </row>
    <row r="84" spans="1:20" x14ac:dyDescent="0.35">
      <c r="A84" s="105"/>
      <c r="B84" s="390"/>
      <c r="C84" s="120" t="s">
        <v>584</v>
      </c>
      <c r="D84" s="120">
        <f>IF($B$82=0,0,COUNTIFS($B$8:$B$32,"*"&amp;$B$82&amp;"*",$C$8:$C$32,C84))</f>
        <v>0</v>
      </c>
      <c r="E84" s="111"/>
      <c r="F84" s="88"/>
      <c r="G84" s="88"/>
      <c r="H84" s="88"/>
      <c r="I84" s="88"/>
      <c r="J84" s="88"/>
      <c r="K84" s="88"/>
      <c r="L84" s="88"/>
      <c r="M84" s="88"/>
      <c r="N84" s="88"/>
      <c r="O84" s="88"/>
      <c r="P84" s="88"/>
      <c r="Q84" s="88"/>
      <c r="R84" s="88"/>
      <c r="S84" s="88"/>
      <c r="T84" s="88"/>
    </row>
    <row r="85" spans="1:20" x14ac:dyDescent="0.35">
      <c r="A85" s="105"/>
      <c r="B85" s="390">
        <f>B45</f>
        <v>0</v>
      </c>
      <c r="C85" s="120" t="s">
        <v>549</v>
      </c>
      <c r="D85" s="120">
        <f>IF($B$85=0,0,COUNTIFS($B$8:$B$32,"*"&amp;$B$85&amp;"*",$C$8:$C$32,C85))</f>
        <v>0</v>
      </c>
      <c r="E85" s="111"/>
      <c r="F85" s="88"/>
      <c r="G85" s="88"/>
      <c r="H85" s="88"/>
      <c r="I85" s="88"/>
      <c r="J85" s="88"/>
      <c r="K85" s="88"/>
      <c r="L85" s="88"/>
      <c r="M85" s="88"/>
      <c r="N85" s="88"/>
      <c r="O85" s="88"/>
      <c r="P85" s="88"/>
      <c r="Q85" s="88"/>
      <c r="R85" s="88"/>
      <c r="S85" s="88"/>
      <c r="T85" s="88"/>
    </row>
    <row r="86" spans="1:20" x14ac:dyDescent="0.35">
      <c r="A86" s="105"/>
      <c r="B86" s="390"/>
      <c r="C86" s="120" t="s">
        <v>583</v>
      </c>
      <c r="D86" s="120">
        <f>IF($B$85=0,0,COUNTIFS($B$8:$B$32,"*"&amp;$B$85&amp;"*",$C$8:$C$32,C86))</f>
        <v>0</v>
      </c>
      <c r="E86" s="111"/>
      <c r="F86" s="88"/>
      <c r="G86" s="88"/>
      <c r="H86" s="88"/>
      <c r="I86" s="88"/>
      <c r="J86" s="88"/>
      <c r="K86" s="88"/>
      <c r="L86" s="88"/>
      <c r="M86" s="88"/>
      <c r="N86" s="88"/>
      <c r="O86" s="88"/>
      <c r="P86" s="88"/>
      <c r="Q86" s="88"/>
      <c r="R86" s="88"/>
      <c r="S86" s="88"/>
      <c r="T86" s="88"/>
    </row>
    <row r="87" spans="1:20" x14ac:dyDescent="0.35">
      <c r="A87" s="105"/>
      <c r="B87" s="390"/>
      <c r="C87" s="120" t="s">
        <v>584</v>
      </c>
      <c r="D87" s="120">
        <f>IF($B$85=0,0,COUNTIFS($B$8:$B$32,"*"&amp;$B$85&amp;"*",$C$8:$C$32,C87))</f>
        <v>0</v>
      </c>
      <c r="E87" s="111"/>
      <c r="F87" s="88"/>
      <c r="G87" s="88"/>
      <c r="H87" s="88"/>
      <c r="I87" s="88"/>
      <c r="J87" s="88"/>
      <c r="K87" s="88"/>
      <c r="L87" s="88"/>
      <c r="M87" s="88"/>
      <c r="N87" s="88"/>
      <c r="O87" s="88"/>
      <c r="P87" s="88"/>
      <c r="Q87" s="88"/>
      <c r="R87" s="88"/>
      <c r="S87" s="88"/>
      <c r="T87" s="88"/>
    </row>
    <row r="88" spans="1:20" x14ac:dyDescent="0.35">
      <c r="A88" s="105"/>
      <c r="B88" s="390">
        <f>B46</f>
        <v>0</v>
      </c>
      <c r="C88" s="120" t="s">
        <v>549</v>
      </c>
      <c r="D88" s="120">
        <f>IF($B$88=0,0,COUNTIFS($B$8:$B$32,"*"&amp;$B$88&amp;"*",$C$8:$C$32,C88))</f>
        <v>0</v>
      </c>
      <c r="E88" s="111"/>
      <c r="F88" s="88"/>
      <c r="G88" s="88"/>
      <c r="H88" s="88"/>
      <c r="I88" s="88"/>
      <c r="J88" s="88"/>
      <c r="K88" s="88"/>
      <c r="L88" s="88"/>
      <c r="M88" s="88"/>
      <c r="N88" s="88"/>
      <c r="O88" s="88"/>
      <c r="P88" s="88"/>
      <c r="Q88" s="88"/>
      <c r="R88" s="88"/>
      <c r="S88" s="88"/>
      <c r="T88" s="88"/>
    </row>
    <row r="89" spans="1:20" x14ac:dyDescent="0.35">
      <c r="A89" s="105"/>
      <c r="B89" s="390"/>
      <c r="C89" s="120" t="s">
        <v>583</v>
      </c>
      <c r="D89" s="120">
        <f>IF($B$88=0,0,COUNTIFS($B$8:$B$32,"*"&amp;$B$88&amp;"*",$C$8:$C$32,C89))</f>
        <v>0</v>
      </c>
      <c r="E89" s="111"/>
      <c r="F89" s="88"/>
      <c r="G89" s="88"/>
      <c r="H89" s="88"/>
      <c r="I89" s="88"/>
      <c r="J89" s="88"/>
      <c r="K89" s="88"/>
      <c r="L89" s="88"/>
      <c r="M89" s="88"/>
      <c r="N89" s="88"/>
      <c r="O89" s="88"/>
      <c r="P89" s="88"/>
      <c r="Q89" s="88"/>
      <c r="R89" s="88"/>
      <c r="S89" s="88"/>
      <c r="T89" s="88"/>
    </row>
    <row r="90" spans="1:20" x14ac:dyDescent="0.35">
      <c r="A90" s="105"/>
      <c r="B90" s="390"/>
      <c r="C90" s="120" t="s">
        <v>584</v>
      </c>
      <c r="D90" s="120">
        <f>IF($B$88=0,0,COUNTIFS($B$8:$B$32,"*"&amp;$B$88&amp;"*",$C$8:$C$32,C90))</f>
        <v>0</v>
      </c>
      <c r="E90" s="111"/>
      <c r="F90" s="88"/>
      <c r="G90" s="88"/>
      <c r="H90" s="88"/>
      <c r="I90" s="88"/>
      <c r="J90" s="88"/>
      <c r="K90" s="88"/>
      <c r="L90" s="88"/>
      <c r="M90" s="88"/>
      <c r="N90" s="88"/>
      <c r="O90" s="88"/>
      <c r="P90" s="88"/>
      <c r="Q90" s="88"/>
      <c r="R90" s="88"/>
      <c r="S90" s="88"/>
      <c r="T90" s="88"/>
    </row>
    <row r="91" spans="1:20" x14ac:dyDescent="0.35">
      <c r="A91" s="105"/>
      <c r="B91" s="390">
        <f>B47</f>
        <v>0</v>
      </c>
      <c r="C91" s="120" t="s">
        <v>549</v>
      </c>
      <c r="D91" s="120">
        <f>IF($B$91=0,0,COUNTIFS($B$8:$B$32,"*"&amp;$B$91&amp;"*",$C$8:$C$32,C91))</f>
        <v>0</v>
      </c>
      <c r="E91" s="111"/>
      <c r="F91" s="88"/>
      <c r="G91" s="88"/>
      <c r="H91" s="88"/>
      <c r="I91" s="88"/>
      <c r="J91" s="88"/>
      <c r="K91" s="88"/>
      <c r="L91" s="88"/>
      <c r="M91" s="88"/>
      <c r="N91" s="88"/>
      <c r="O91" s="88"/>
      <c r="P91" s="88"/>
      <c r="Q91" s="88"/>
      <c r="R91" s="88"/>
      <c r="S91" s="88"/>
      <c r="T91" s="88"/>
    </row>
    <row r="92" spans="1:20" x14ac:dyDescent="0.35">
      <c r="A92" s="105"/>
      <c r="B92" s="390"/>
      <c r="C92" s="120" t="s">
        <v>583</v>
      </c>
      <c r="D92" s="120">
        <f>IF($B$91=0,0,COUNTIFS($B$8:$B$32,"*"&amp;$B$91&amp;"*",$C$8:$C$32,C92))</f>
        <v>0</v>
      </c>
      <c r="E92" s="111"/>
      <c r="F92" s="88"/>
      <c r="G92" s="88"/>
      <c r="H92" s="88"/>
      <c r="I92" s="88"/>
      <c r="J92" s="88"/>
      <c r="K92" s="88"/>
      <c r="L92" s="88"/>
      <c r="M92" s="88"/>
      <c r="N92" s="88"/>
      <c r="O92" s="88"/>
      <c r="P92" s="88"/>
      <c r="Q92" s="88"/>
      <c r="R92" s="88"/>
      <c r="S92" s="88"/>
      <c r="T92" s="88"/>
    </row>
    <row r="93" spans="1:20" x14ac:dyDescent="0.35">
      <c r="A93" s="105"/>
      <c r="B93" s="390"/>
      <c r="C93" s="120" t="s">
        <v>584</v>
      </c>
      <c r="D93" s="120">
        <f>IF($B$91=0,0,COUNTIFS($B$8:$B$32,"*"&amp;$B$91&amp;"*",$C$8:$C$32,C93))</f>
        <v>0</v>
      </c>
      <c r="E93" s="111"/>
      <c r="F93" s="88"/>
      <c r="G93" s="88"/>
      <c r="H93" s="88"/>
      <c r="I93" s="88"/>
      <c r="J93" s="88"/>
      <c r="K93" s="88"/>
      <c r="L93" s="88"/>
      <c r="M93" s="88"/>
      <c r="N93" s="88"/>
      <c r="O93" s="88"/>
      <c r="P93" s="88"/>
      <c r="Q93" s="88"/>
      <c r="R93" s="88"/>
      <c r="S93" s="88"/>
      <c r="T93" s="88"/>
    </row>
    <row r="94" spans="1:20" x14ac:dyDescent="0.35">
      <c r="A94" s="105"/>
      <c r="B94" s="83"/>
      <c r="C94" s="88"/>
      <c r="D94" s="88"/>
      <c r="E94" s="111"/>
      <c r="F94" s="88"/>
      <c r="G94" s="88"/>
      <c r="H94" s="88"/>
      <c r="I94" s="88"/>
      <c r="J94" s="88"/>
      <c r="K94" s="88"/>
      <c r="L94" s="88"/>
      <c r="M94" s="88"/>
      <c r="N94" s="88"/>
      <c r="O94" s="88"/>
      <c r="P94" s="88"/>
      <c r="Q94" s="88"/>
      <c r="R94" s="88"/>
      <c r="S94" s="88"/>
      <c r="T94" s="88"/>
    </row>
    <row r="95" spans="1:20" x14ac:dyDescent="0.35">
      <c r="A95" s="105"/>
      <c r="B95" s="83"/>
      <c r="C95" s="88"/>
      <c r="D95" s="88"/>
      <c r="E95" s="111"/>
      <c r="F95" s="88"/>
      <c r="G95" s="88"/>
      <c r="H95" s="88"/>
      <c r="I95" s="88"/>
      <c r="J95" s="88"/>
      <c r="K95" s="88"/>
      <c r="L95" s="88"/>
      <c r="M95" s="88"/>
      <c r="N95" s="88"/>
      <c r="O95" s="88"/>
      <c r="P95" s="88"/>
      <c r="Q95" s="88"/>
      <c r="R95" s="88"/>
      <c r="S95" s="88"/>
      <c r="T95" s="88"/>
    </row>
    <row r="96" spans="1:20" x14ac:dyDescent="0.35">
      <c r="A96" s="105"/>
      <c r="B96" s="83"/>
      <c r="C96" s="88"/>
      <c r="D96" s="88"/>
      <c r="E96" s="111"/>
      <c r="F96" s="88"/>
      <c r="G96" s="88"/>
      <c r="H96" s="88"/>
      <c r="I96" s="88"/>
      <c r="J96" s="88"/>
      <c r="K96" s="88"/>
      <c r="L96" s="88"/>
      <c r="M96" s="88"/>
      <c r="N96" s="88"/>
      <c r="O96" s="88"/>
      <c r="P96" s="88"/>
      <c r="Q96" s="88"/>
      <c r="R96" s="88"/>
      <c r="S96" s="88"/>
      <c r="T96" s="88"/>
    </row>
  </sheetData>
  <mergeCells count="42">
    <mergeCell ref="B1:F1"/>
    <mergeCell ref="H1:S1"/>
    <mergeCell ref="C2:F2"/>
    <mergeCell ref="H2:S2"/>
    <mergeCell ref="H3:S28"/>
    <mergeCell ref="B4:F4"/>
    <mergeCell ref="C6:F6"/>
    <mergeCell ref="C7:F7"/>
    <mergeCell ref="C25:F25"/>
    <mergeCell ref="C26:F26"/>
    <mergeCell ref="C43:F43"/>
    <mergeCell ref="C29:F29"/>
    <mergeCell ref="C30:F30"/>
    <mergeCell ref="B34:F34"/>
    <mergeCell ref="C35:F35"/>
    <mergeCell ref="C36:F36"/>
    <mergeCell ref="C37:F37"/>
    <mergeCell ref="C38:F38"/>
    <mergeCell ref="C39:F39"/>
    <mergeCell ref="C40:F40"/>
    <mergeCell ref="C41:F41"/>
    <mergeCell ref="C42:F42"/>
    <mergeCell ref="B54:D54"/>
    <mergeCell ref="B55:B57"/>
    <mergeCell ref="B58:B60"/>
    <mergeCell ref="B61:B63"/>
    <mergeCell ref="C44:F44"/>
    <mergeCell ref="C45:F45"/>
    <mergeCell ref="C46:F46"/>
    <mergeCell ref="C47:F47"/>
    <mergeCell ref="B49:F49"/>
    <mergeCell ref="D50:F50"/>
    <mergeCell ref="B91:B93"/>
    <mergeCell ref="B64:B66"/>
    <mergeCell ref="B67:B69"/>
    <mergeCell ref="B70:B72"/>
    <mergeCell ref="B73:B75"/>
    <mergeCell ref="B76:B78"/>
    <mergeCell ref="B79:B81"/>
    <mergeCell ref="B82:B84"/>
    <mergeCell ref="B85:B87"/>
    <mergeCell ref="B88:B90"/>
  </mergeCells>
  <conditionalFormatting sqref="B8 B12">
    <cfRule type="cellIs" dxfId="1454" priority="46" operator="equal">
      <formula>"NR"</formula>
    </cfRule>
    <cfRule type="cellIs" dxfId="1453" priority="47" operator="equal">
      <formula>"NOK"</formula>
    </cfRule>
    <cfRule type="cellIs" dxfId="1452" priority="48" operator="equal">
      <formula>"OK"</formula>
    </cfRule>
  </conditionalFormatting>
  <conditionalFormatting sqref="C17:C22">
    <cfRule type="cellIs" dxfId="1451" priority="43" operator="equal">
      <formula>"NR"</formula>
    </cfRule>
    <cfRule type="cellIs" dxfId="1450" priority="44" operator="equal">
      <formula>"NOK"</formula>
    </cfRule>
    <cfRule type="cellIs" dxfId="1449" priority="45" operator="equal">
      <formula>"OK"</formula>
    </cfRule>
  </conditionalFormatting>
  <conditionalFormatting sqref="B29">
    <cfRule type="cellIs" dxfId="1448" priority="40" operator="equal">
      <formula>"NR"</formula>
    </cfRule>
    <cfRule type="cellIs" dxfId="1447" priority="41" operator="equal">
      <formula>"NOK"</formula>
    </cfRule>
    <cfRule type="cellIs" dxfId="1446" priority="42" operator="equal">
      <formula>"OK"</formula>
    </cfRule>
  </conditionalFormatting>
  <conditionalFormatting sqref="B2 B51:B53">
    <cfRule type="cellIs" dxfId="1445" priority="67" operator="equal">
      <formula>"NR"</formula>
    </cfRule>
    <cfRule type="cellIs" dxfId="1444" priority="68" operator="equal">
      <formula>"NOK"</formula>
    </cfRule>
    <cfRule type="cellIs" dxfId="1443" priority="69" operator="equal">
      <formula>"OK"</formula>
    </cfRule>
  </conditionalFormatting>
  <conditionalFormatting sqref="B4">
    <cfRule type="cellIs" dxfId="1442" priority="70" operator="equal">
      <formula>"NR"</formula>
    </cfRule>
    <cfRule type="cellIs" dxfId="1441" priority="71" operator="equal">
      <formula>"NOK"</formula>
    </cfRule>
    <cfRule type="cellIs" dxfId="1440" priority="72" operator="equal">
      <formula>"OK"</formula>
    </cfRule>
  </conditionalFormatting>
  <conditionalFormatting sqref="B3 B33 B5 B49 B94:B1048576">
    <cfRule type="cellIs" dxfId="1439" priority="82" operator="equal">
      <formula>"NR"</formula>
    </cfRule>
    <cfRule type="cellIs" dxfId="1438" priority="83" operator="equal">
      <formula>"NOK"</formula>
    </cfRule>
    <cfRule type="cellIs" dxfId="1437" priority="84" operator="equal">
      <formula>"OK"</formula>
    </cfRule>
  </conditionalFormatting>
  <conditionalFormatting sqref="B1">
    <cfRule type="cellIs" dxfId="1436" priority="79" operator="equal">
      <formula>"NR"</formula>
    </cfRule>
    <cfRule type="cellIs" dxfId="1435" priority="80" operator="equal">
      <formula>"NOK"</formula>
    </cfRule>
    <cfRule type="cellIs" dxfId="1434" priority="81" operator="equal">
      <formula>"OK"</formula>
    </cfRule>
  </conditionalFormatting>
  <conditionalFormatting sqref="B34">
    <cfRule type="cellIs" dxfId="1433" priority="76" operator="equal">
      <formula>"NR"</formula>
    </cfRule>
    <cfRule type="cellIs" dxfId="1432" priority="77" operator="equal">
      <formula>"NOK"</formula>
    </cfRule>
    <cfRule type="cellIs" dxfId="1431" priority="78" operator="equal">
      <formula>"OK"</formula>
    </cfRule>
  </conditionalFormatting>
  <conditionalFormatting sqref="C35:C45 C48">
    <cfRule type="cellIs" dxfId="1430" priority="73" operator="equal">
      <formula>"NR"</formula>
    </cfRule>
    <cfRule type="cellIs" dxfId="1429" priority="74" operator="equal">
      <formula>"NOK"</formula>
    </cfRule>
    <cfRule type="cellIs" dxfId="1428" priority="75" operator="equal">
      <formula>"OK"</formula>
    </cfRule>
  </conditionalFormatting>
  <conditionalFormatting sqref="B6:B7">
    <cfRule type="cellIs" dxfId="1427" priority="64" operator="equal">
      <formula>"NR"</formula>
    </cfRule>
    <cfRule type="cellIs" dxfId="1426" priority="65" operator="equal">
      <formula>"NOK"</formula>
    </cfRule>
    <cfRule type="cellIs" dxfId="1425" priority="66" operator="equal">
      <formula>"OK"</formula>
    </cfRule>
  </conditionalFormatting>
  <conditionalFormatting sqref="C50">
    <cfRule type="cellIs" dxfId="1424" priority="52" operator="equal">
      <formula>"NR"</formula>
    </cfRule>
    <cfRule type="cellIs" dxfId="1423" priority="53" operator="equal">
      <formula>"NOK"</formula>
    </cfRule>
    <cfRule type="cellIs" dxfId="1422" priority="54" operator="equal">
      <formula>"OK"</formula>
    </cfRule>
  </conditionalFormatting>
  <conditionalFormatting sqref="C15:C16 C23:C24">
    <cfRule type="cellIs" dxfId="1421" priority="58" operator="equal">
      <formula>"NR"</formula>
    </cfRule>
    <cfRule type="cellIs" dxfId="1420" priority="59" operator="equal">
      <formula>"NOK"</formula>
    </cfRule>
    <cfRule type="cellIs" dxfId="1419" priority="60" operator="equal">
      <formula>"OK"</formula>
    </cfRule>
  </conditionalFormatting>
  <conditionalFormatting sqref="C13:C14">
    <cfRule type="cellIs" dxfId="1418" priority="61" operator="equal">
      <formula>"NR"</formula>
    </cfRule>
    <cfRule type="cellIs" dxfId="1417" priority="62" operator="equal">
      <formula>"NOK"</formula>
    </cfRule>
    <cfRule type="cellIs" dxfId="1416" priority="63" operator="equal">
      <formula>"OK"</formula>
    </cfRule>
  </conditionalFormatting>
  <conditionalFormatting sqref="B50">
    <cfRule type="cellIs" dxfId="1415" priority="55" operator="equal">
      <formula>"NR"</formula>
    </cfRule>
    <cfRule type="cellIs" dxfId="1414" priority="56" operator="equal">
      <formula>"NOK"</formula>
    </cfRule>
    <cfRule type="cellIs" dxfId="1413" priority="57" operator="equal">
      <formula>"OK"</formula>
    </cfRule>
  </conditionalFormatting>
  <conditionalFormatting sqref="B54:B55 B58 B61 B67 B73 B79 B85 B64 B70 B76 B82 B88">
    <cfRule type="cellIs" dxfId="1412" priority="49" operator="equal">
      <formula>"NR"</formula>
    </cfRule>
    <cfRule type="cellIs" dxfId="1411" priority="50" operator="equal">
      <formula>"NOK"</formula>
    </cfRule>
    <cfRule type="cellIs" dxfId="1410" priority="51" operator="equal">
      <formula>"OK"</formula>
    </cfRule>
  </conditionalFormatting>
  <conditionalFormatting sqref="C32">
    <cfRule type="cellIs" dxfId="1409" priority="37" operator="equal">
      <formula>"NR"</formula>
    </cfRule>
    <cfRule type="cellIs" dxfId="1408" priority="38" operator="equal">
      <formula>"NOK"</formula>
    </cfRule>
    <cfRule type="cellIs" dxfId="1407" priority="39" operator="equal">
      <formula>"OK"</formula>
    </cfRule>
  </conditionalFormatting>
  <conditionalFormatting sqref="C28">
    <cfRule type="cellIs" dxfId="1406" priority="31" operator="equal">
      <formula>"NR"</formula>
    </cfRule>
    <cfRule type="cellIs" dxfId="1405" priority="32" operator="equal">
      <formula>"NOK"</formula>
    </cfRule>
    <cfRule type="cellIs" dxfId="1404" priority="33" operator="equal">
      <formula>"OK"</formula>
    </cfRule>
  </conditionalFormatting>
  <conditionalFormatting sqref="B25">
    <cfRule type="cellIs" dxfId="1403" priority="34" operator="equal">
      <formula>"NR"</formula>
    </cfRule>
    <cfRule type="cellIs" dxfId="1402" priority="35" operator="equal">
      <formula>"NOK"</formula>
    </cfRule>
    <cfRule type="cellIs" dxfId="1401" priority="36" operator="equal">
      <formula>"OK"</formula>
    </cfRule>
  </conditionalFormatting>
  <conditionalFormatting sqref="C11">
    <cfRule type="cellIs" dxfId="1400" priority="28" operator="equal">
      <formula>"NR"</formula>
    </cfRule>
    <cfRule type="cellIs" dxfId="1399" priority="29" operator="equal">
      <formula>"NOK"</formula>
    </cfRule>
    <cfRule type="cellIs" dxfId="1398" priority="30" operator="equal">
      <formula>"OK"</formula>
    </cfRule>
  </conditionalFormatting>
  <conditionalFormatting sqref="C9">
    <cfRule type="cellIs" dxfId="1397" priority="25" operator="equal">
      <formula>"NR"</formula>
    </cfRule>
    <cfRule type="cellIs" dxfId="1396" priority="26" operator="equal">
      <formula>"NOK"</formula>
    </cfRule>
    <cfRule type="cellIs" dxfId="1395" priority="27" operator="equal">
      <formula>"OK"</formula>
    </cfRule>
  </conditionalFormatting>
  <conditionalFormatting sqref="C10">
    <cfRule type="cellIs" dxfId="1394" priority="22" operator="equal">
      <formula>"NR"</formula>
    </cfRule>
    <cfRule type="cellIs" dxfId="1393" priority="23" operator="equal">
      <formula>"NOK"</formula>
    </cfRule>
    <cfRule type="cellIs" dxfId="1392" priority="24" operator="equal">
      <formula>"OK"</formula>
    </cfRule>
  </conditionalFormatting>
  <conditionalFormatting sqref="B27">
    <cfRule type="cellIs" dxfId="1391" priority="16" operator="equal">
      <formula>"NR"</formula>
    </cfRule>
    <cfRule type="cellIs" dxfId="1390" priority="17" operator="equal">
      <formula>"NOK"</formula>
    </cfRule>
    <cfRule type="cellIs" dxfId="1389" priority="18" operator="equal">
      <formula>"OK"</formula>
    </cfRule>
  </conditionalFormatting>
  <conditionalFormatting sqref="B26">
    <cfRule type="cellIs" dxfId="1388" priority="19" operator="equal">
      <formula>"NR"</formula>
    </cfRule>
    <cfRule type="cellIs" dxfId="1387" priority="20" operator="equal">
      <formula>"NOK"</formula>
    </cfRule>
    <cfRule type="cellIs" dxfId="1386" priority="21" operator="equal">
      <formula>"OK"</formula>
    </cfRule>
  </conditionalFormatting>
  <conditionalFormatting sqref="B31">
    <cfRule type="cellIs" dxfId="1385" priority="10" operator="equal">
      <formula>"NR"</formula>
    </cfRule>
    <cfRule type="cellIs" dxfId="1384" priority="11" operator="equal">
      <formula>"NOK"</formula>
    </cfRule>
    <cfRule type="cellIs" dxfId="1383" priority="12" operator="equal">
      <formula>"OK"</formula>
    </cfRule>
  </conditionalFormatting>
  <conditionalFormatting sqref="B30">
    <cfRule type="cellIs" dxfId="1382" priority="13" operator="equal">
      <formula>"NR"</formula>
    </cfRule>
    <cfRule type="cellIs" dxfId="1381" priority="14" operator="equal">
      <formula>"NOK"</formula>
    </cfRule>
    <cfRule type="cellIs" dxfId="1380" priority="15" operator="equal">
      <formula>"OK"</formula>
    </cfRule>
  </conditionalFormatting>
  <conditionalFormatting sqref="C47">
    <cfRule type="cellIs" dxfId="1379" priority="7" operator="equal">
      <formula>"NR"</formula>
    </cfRule>
    <cfRule type="cellIs" dxfId="1378" priority="8" operator="equal">
      <formula>"NOK"</formula>
    </cfRule>
    <cfRule type="cellIs" dxfId="1377" priority="9" operator="equal">
      <formula>"OK"</formula>
    </cfRule>
  </conditionalFormatting>
  <conditionalFormatting sqref="C46">
    <cfRule type="cellIs" dxfId="1376" priority="4" operator="equal">
      <formula>"NR"</formula>
    </cfRule>
    <cfRule type="cellIs" dxfId="1375" priority="5" operator="equal">
      <formula>"NOK"</formula>
    </cfRule>
    <cfRule type="cellIs" dxfId="1374" priority="6" operator="equal">
      <formula>"OK"</formula>
    </cfRule>
  </conditionalFormatting>
  <conditionalFormatting sqref="B91">
    <cfRule type="cellIs" dxfId="1373" priority="1" operator="equal">
      <formula>"NR"</formula>
    </cfRule>
    <cfRule type="cellIs" dxfId="1372" priority="2" operator="equal">
      <formula>"NOK"</formula>
    </cfRule>
    <cfRule type="cellIs" dxfId="1371" priority="3" operator="equal">
      <formula>"OK"</formula>
    </cfRule>
  </conditionalFormatting>
  <dataValidations count="1">
    <dataValidation type="list" allowBlank="1" showInputMessage="1" showErrorMessage="1" errorTitle="Remplissage Obligatoire" error="OK -&gt; Criteria Validated_x000a_NOK -&gt; Criteria Not Validated_x000a_NR -&gt; Impossiblity to check the criteria_x000a_NA -&gt; Impossiblity to validate the criteria" prompt="NO EMPTY CELLS" sqref="C50 C9:C11 C32 C13:C24 C28 C35:C48" xr:uid="{909F1E0A-6A66-4059-8637-638272450FD8}">
      <formula1>"OK,NOK,NR,NA"</formula1>
    </dataValidation>
  </dataValidations>
  <pageMargins left="0.7" right="0.7" top="0.75" bottom="0.75" header="0.3" footer="0.3"/>
  <pageSetup paperSize="9" orientation="portrait" verticalDpi="598" r:id="rId1"/>
  <headerFooter>
    <oddFooter>&amp;R&amp;1#&amp;"Arial"&amp;10&amp;K000000Confidential 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DEE85-22A5-47CD-8171-797EF7927645}">
  <sheetPr codeName="Feuil22"/>
  <dimension ref="A1:T109"/>
  <sheetViews>
    <sheetView topLeftCell="B1" zoomScale="90" zoomScaleNormal="90" workbookViewId="0">
      <selection activeCell="E8" sqref="E8"/>
    </sheetView>
  </sheetViews>
  <sheetFormatPr baseColWidth="10" defaultColWidth="9.1796875" defaultRowHeight="14.5" x14ac:dyDescent="0.35"/>
  <cols>
    <col min="1" max="1" width="6.81640625" style="121" customWidth="1"/>
    <col min="2" max="2" width="34.81640625" style="122" customWidth="1"/>
    <col min="3" max="3" width="63.7265625" style="84" customWidth="1"/>
    <col min="4" max="4" width="76" style="84" customWidth="1"/>
    <col min="5" max="5" width="69.453125" style="123" customWidth="1"/>
    <col min="6" max="6" width="50.1796875" style="84" customWidth="1"/>
    <col min="7" max="7" width="3.54296875" style="84" customWidth="1"/>
    <col min="8" max="16384" width="9.1796875" style="84"/>
  </cols>
  <sheetData>
    <row r="1" spans="1:20" ht="15" thickBot="1" x14ac:dyDescent="0.4">
      <c r="A1" s="82"/>
      <c r="B1" s="394" t="s">
        <v>788</v>
      </c>
      <c r="C1" s="395"/>
      <c r="D1" s="395"/>
      <c r="E1" s="395"/>
      <c r="F1" s="396"/>
      <c r="G1" s="83"/>
      <c r="H1" s="394" t="s">
        <v>535</v>
      </c>
      <c r="I1" s="395"/>
      <c r="J1" s="395"/>
      <c r="K1" s="395"/>
      <c r="L1" s="395"/>
      <c r="M1" s="395"/>
      <c r="N1" s="395"/>
      <c r="O1" s="395"/>
      <c r="P1" s="395"/>
      <c r="Q1" s="395"/>
      <c r="R1" s="395"/>
      <c r="S1" s="396"/>
      <c r="T1" s="83"/>
    </row>
    <row r="2" spans="1:20" ht="24" customHeight="1" thickBot="1" x14ac:dyDescent="0.4">
      <c r="A2" s="82"/>
      <c r="B2" s="85" t="s">
        <v>536</v>
      </c>
      <c r="C2" s="402"/>
      <c r="D2" s="402"/>
      <c r="E2" s="402"/>
      <c r="F2" s="403"/>
      <c r="G2" s="83"/>
      <c r="H2" s="404" t="s">
        <v>537</v>
      </c>
      <c r="I2" s="405"/>
      <c r="J2" s="405"/>
      <c r="K2" s="405"/>
      <c r="L2" s="405"/>
      <c r="M2" s="405"/>
      <c r="N2" s="405"/>
      <c r="O2" s="405"/>
      <c r="P2" s="405"/>
      <c r="Q2" s="405"/>
      <c r="R2" s="405"/>
      <c r="S2" s="406"/>
      <c r="T2" s="83"/>
    </row>
    <row r="3" spans="1:20" ht="15" thickBot="1" x14ac:dyDescent="0.4">
      <c r="A3" s="82"/>
      <c r="B3" s="83"/>
      <c r="C3" s="83"/>
      <c r="D3" s="83"/>
      <c r="E3" s="86"/>
      <c r="F3" s="83"/>
      <c r="G3" s="83"/>
      <c r="H3" s="407"/>
      <c r="I3" s="408"/>
      <c r="J3" s="408"/>
      <c r="K3" s="408"/>
      <c r="L3" s="408"/>
      <c r="M3" s="408"/>
      <c r="N3" s="408"/>
      <c r="O3" s="408"/>
      <c r="P3" s="408"/>
      <c r="Q3" s="408"/>
      <c r="R3" s="408"/>
      <c r="S3" s="409"/>
      <c r="T3" s="83"/>
    </row>
    <row r="4" spans="1:20" x14ac:dyDescent="0.35">
      <c r="A4" s="87"/>
      <c r="B4" s="404" t="s">
        <v>538</v>
      </c>
      <c r="C4" s="405"/>
      <c r="D4" s="405"/>
      <c r="E4" s="405"/>
      <c r="F4" s="406"/>
      <c r="G4" s="88"/>
      <c r="H4" s="410"/>
      <c r="I4" s="411"/>
      <c r="J4" s="411"/>
      <c r="K4" s="411"/>
      <c r="L4" s="411"/>
      <c r="M4" s="411"/>
      <c r="N4" s="411"/>
      <c r="O4" s="411"/>
      <c r="P4" s="411"/>
      <c r="Q4" s="411"/>
      <c r="R4" s="411"/>
      <c r="S4" s="412"/>
      <c r="T4" s="83"/>
    </row>
    <row r="5" spans="1:20" ht="18" customHeight="1" x14ac:dyDescent="0.35">
      <c r="A5" s="87" t="str">
        <f>CONCATENATE(B5,C5)</f>
        <v>StepsActions</v>
      </c>
      <c r="B5" s="89" t="s">
        <v>539</v>
      </c>
      <c r="C5" s="90" t="s">
        <v>540</v>
      </c>
      <c r="D5" s="90" t="s">
        <v>541</v>
      </c>
      <c r="E5" s="90" t="s">
        <v>542</v>
      </c>
      <c r="F5" s="91" t="s">
        <v>57</v>
      </c>
      <c r="G5" s="83"/>
      <c r="H5" s="410"/>
      <c r="I5" s="411"/>
      <c r="J5" s="411"/>
      <c r="K5" s="411"/>
      <c r="L5" s="411"/>
      <c r="M5" s="411"/>
      <c r="N5" s="411"/>
      <c r="O5" s="411"/>
      <c r="P5" s="411"/>
      <c r="Q5" s="411"/>
      <c r="R5" s="411"/>
      <c r="S5" s="412"/>
      <c r="T5" s="83"/>
    </row>
    <row r="6" spans="1:20" s="94" customFormat="1" ht="15.5" x14ac:dyDescent="0.35">
      <c r="A6" s="87" t="str">
        <f>CONCATENATE(B6,C6)</f>
        <v>Part 110 successives charge</v>
      </c>
      <c r="B6" s="92" t="s">
        <v>543</v>
      </c>
      <c r="C6" s="413" t="s">
        <v>789</v>
      </c>
      <c r="D6" s="414"/>
      <c r="E6" s="414"/>
      <c r="F6" s="415"/>
      <c r="G6" s="93"/>
      <c r="H6" s="410"/>
      <c r="I6" s="411"/>
      <c r="J6" s="411"/>
      <c r="K6" s="411"/>
      <c r="L6" s="411"/>
      <c r="M6" s="411"/>
      <c r="N6" s="411"/>
      <c r="O6" s="411"/>
      <c r="P6" s="411"/>
      <c r="Q6" s="411"/>
      <c r="R6" s="411"/>
      <c r="S6" s="412"/>
      <c r="T6" s="93"/>
    </row>
    <row r="7" spans="1:20" x14ac:dyDescent="0.35">
      <c r="A7" s="87" t="str">
        <f>CONCATENATE(B7,C7)</f>
        <v>Initial StateVehicle ready to charge in AC</v>
      </c>
      <c r="B7" s="95" t="s">
        <v>545</v>
      </c>
      <c r="C7" s="416" t="s">
        <v>790</v>
      </c>
      <c r="D7" s="417"/>
      <c r="E7" s="417"/>
      <c r="F7" s="418"/>
      <c r="G7" s="83"/>
      <c r="H7" s="410"/>
      <c r="I7" s="411"/>
      <c r="J7" s="411"/>
      <c r="K7" s="411"/>
      <c r="L7" s="411"/>
      <c r="M7" s="411"/>
      <c r="N7" s="411"/>
      <c r="O7" s="411"/>
      <c r="P7" s="411"/>
      <c r="Q7" s="411"/>
      <c r="R7" s="411"/>
      <c r="S7" s="412"/>
      <c r="T7" s="83"/>
    </row>
    <row r="8" spans="1:20" ht="29" x14ac:dyDescent="0.35">
      <c r="A8" s="87" t="str">
        <f>CONCATENATE(B8,C8)</f>
        <v>1.1Realise 10 AC succesives charge of 5 minutes with sleeping of the vehicle between each charge</v>
      </c>
      <c r="B8" s="96" t="s">
        <v>122</v>
      </c>
      <c r="C8" s="97" t="s">
        <v>791</v>
      </c>
      <c r="D8" s="98"/>
      <c r="E8" s="99"/>
      <c r="F8" s="100"/>
      <c r="G8" s="83"/>
      <c r="H8" s="410"/>
      <c r="I8" s="411"/>
      <c r="J8" s="411"/>
      <c r="K8" s="411"/>
      <c r="L8" s="411"/>
      <c r="M8" s="411"/>
      <c r="N8" s="411"/>
      <c r="O8" s="411"/>
      <c r="P8" s="411"/>
      <c r="Q8" s="411"/>
      <c r="R8" s="411"/>
      <c r="S8" s="412"/>
      <c r="T8" s="83"/>
    </row>
    <row r="9" spans="1:20" x14ac:dyDescent="0.35">
      <c r="A9" s="87"/>
      <c r="B9" s="101" t="s">
        <v>108</v>
      </c>
      <c r="C9" s="129" t="s">
        <v>549</v>
      </c>
      <c r="D9" s="102" t="s">
        <v>792</v>
      </c>
      <c r="E9" s="103"/>
      <c r="F9" s="104"/>
      <c r="G9" s="83"/>
      <c r="H9" s="410"/>
      <c r="I9" s="411"/>
      <c r="J9" s="411"/>
      <c r="K9" s="411"/>
      <c r="L9" s="411"/>
      <c r="M9" s="411"/>
      <c r="N9" s="411"/>
      <c r="O9" s="411"/>
      <c r="P9" s="411"/>
      <c r="Q9" s="411"/>
      <c r="R9" s="411"/>
      <c r="S9" s="412"/>
      <c r="T9" s="83"/>
    </row>
    <row r="10" spans="1:20" ht="29" x14ac:dyDescent="0.35">
      <c r="A10" s="87"/>
      <c r="B10" s="96" t="s">
        <v>552</v>
      </c>
      <c r="C10" s="97" t="s">
        <v>793</v>
      </c>
      <c r="D10" s="98"/>
      <c r="E10" s="98"/>
      <c r="F10" s="100"/>
      <c r="G10" s="83"/>
      <c r="H10" s="410"/>
      <c r="I10" s="411"/>
      <c r="J10" s="411"/>
      <c r="K10" s="411"/>
      <c r="L10" s="411"/>
      <c r="M10" s="411"/>
      <c r="N10" s="411"/>
      <c r="O10" s="411"/>
      <c r="P10" s="411"/>
      <c r="Q10" s="411"/>
      <c r="R10" s="411"/>
      <c r="S10" s="412"/>
      <c r="T10" s="83"/>
    </row>
    <row r="11" spans="1:20" x14ac:dyDescent="0.35">
      <c r="A11" s="87" t="str">
        <f>CONCATENATE(B14,C14)</f>
        <v>REQ_ROB_5NR</v>
      </c>
      <c r="B11" s="101" t="s">
        <v>108</v>
      </c>
      <c r="C11" s="129" t="s">
        <v>549</v>
      </c>
      <c r="D11" s="102" t="s">
        <v>792</v>
      </c>
      <c r="E11" s="103"/>
      <c r="F11" s="104"/>
      <c r="G11" s="83"/>
      <c r="H11" s="410"/>
      <c r="I11" s="411"/>
      <c r="J11" s="411"/>
      <c r="K11" s="411"/>
      <c r="L11" s="411"/>
      <c r="M11" s="411"/>
      <c r="N11" s="411"/>
      <c r="O11" s="411"/>
      <c r="P11" s="411"/>
      <c r="Q11" s="411"/>
      <c r="R11" s="411"/>
      <c r="S11" s="412"/>
      <c r="T11" s="83"/>
    </row>
    <row r="12" spans="1:20" x14ac:dyDescent="0.35">
      <c r="A12" s="87"/>
      <c r="B12" s="95" t="s">
        <v>545</v>
      </c>
      <c r="C12" s="416" t="s">
        <v>794</v>
      </c>
      <c r="D12" s="417"/>
      <c r="E12" s="417"/>
      <c r="F12" s="418"/>
      <c r="G12" s="83"/>
      <c r="H12" s="410"/>
      <c r="I12" s="411"/>
      <c r="J12" s="411"/>
      <c r="K12" s="411"/>
      <c r="L12" s="411"/>
      <c r="M12" s="411"/>
      <c r="N12" s="411"/>
      <c r="O12" s="411"/>
      <c r="P12" s="411"/>
      <c r="Q12" s="411"/>
      <c r="R12" s="411"/>
      <c r="S12" s="412"/>
      <c r="T12" s="83"/>
    </row>
    <row r="13" spans="1:20" ht="29" x14ac:dyDescent="0.35">
      <c r="A13" s="87" t="str">
        <f>CONCATENATE(B16,C16)</f>
        <v>REQ_ROB_5NR</v>
      </c>
      <c r="B13" s="96" t="s">
        <v>424</v>
      </c>
      <c r="C13" s="97" t="s">
        <v>795</v>
      </c>
      <c r="D13" s="98"/>
      <c r="E13" s="99"/>
      <c r="F13" s="125" t="s">
        <v>796</v>
      </c>
      <c r="G13" s="83"/>
      <c r="H13" s="410"/>
      <c r="I13" s="411"/>
      <c r="J13" s="411"/>
      <c r="K13" s="411"/>
      <c r="L13" s="411"/>
      <c r="M13" s="411"/>
      <c r="N13" s="411"/>
      <c r="O13" s="411"/>
      <c r="P13" s="411"/>
      <c r="Q13" s="411"/>
      <c r="R13" s="411"/>
      <c r="S13" s="412"/>
      <c r="T13" s="83"/>
    </row>
    <row r="14" spans="1:20" x14ac:dyDescent="0.35">
      <c r="A14" s="87"/>
      <c r="B14" s="101" t="s">
        <v>108</v>
      </c>
      <c r="C14" s="129" t="s">
        <v>549</v>
      </c>
      <c r="D14" s="102" t="s">
        <v>792</v>
      </c>
      <c r="E14" s="103"/>
      <c r="F14" s="104"/>
      <c r="G14" s="83"/>
      <c r="H14" s="410"/>
      <c r="I14" s="411"/>
      <c r="J14" s="411"/>
      <c r="K14" s="411"/>
      <c r="L14" s="411"/>
      <c r="M14" s="411"/>
      <c r="N14" s="411"/>
      <c r="O14" s="411"/>
      <c r="P14" s="411"/>
      <c r="Q14" s="411"/>
      <c r="R14" s="411"/>
      <c r="S14" s="412"/>
      <c r="T14" s="83"/>
    </row>
    <row r="15" spans="1:20" ht="29" x14ac:dyDescent="0.35">
      <c r="A15" s="87"/>
      <c r="B15" s="96" t="s">
        <v>559</v>
      </c>
      <c r="C15" s="97" t="s">
        <v>797</v>
      </c>
      <c r="D15" s="98"/>
      <c r="E15" s="98"/>
      <c r="F15" s="100"/>
      <c r="G15" s="83"/>
      <c r="H15" s="410"/>
      <c r="I15" s="411"/>
      <c r="J15" s="411"/>
      <c r="K15" s="411"/>
      <c r="L15" s="411"/>
      <c r="M15" s="411"/>
      <c r="N15" s="411"/>
      <c r="O15" s="411"/>
      <c r="P15" s="411"/>
      <c r="Q15" s="411"/>
      <c r="R15" s="411"/>
      <c r="S15" s="412"/>
      <c r="T15" s="83"/>
    </row>
    <row r="16" spans="1:20" x14ac:dyDescent="0.35">
      <c r="A16" s="87"/>
      <c r="B16" s="101" t="s">
        <v>108</v>
      </c>
      <c r="C16" s="129" t="s">
        <v>549</v>
      </c>
      <c r="D16" s="102" t="s">
        <v>792</v>
      </c>
      <c r="E16" s="103"/>
      <c r="F16" s="104"/>
      <c r="G16" s="83"/>
      <c r="H16" s="410"/>
      <c r="I16" s="411"/>
      <c r="J16" s="411"/>
      <c r="K16" s="411"/>
      <c r="L16" s="411"/>
      <c r="M16" s="411"/>
      <c r="N16" s="411"/>
      <c r="O16" s="411"/>
      <c r="P16" s="411"/>
      <c r="Q16" s="411"/>
      <c r="R16" s="411"/>
      <c r="S16" s="412"/>
      <c r="T16" s="83"/>
    </row>
    <row r="17" spans="1:20" x14ac:dyDescent="0.35">
      <c r="A17" s="87"/>
      <c r="B17" s="95" t="s">
        <v>545</v>
      </c>
      <c r="C17" s="416" t="s">
        <v>798</v>
      </c>
      <c r="D17" s="417"/>
      <c r="E17" s="417"/>
      <c r="F17" s="418"/>
      <c r="G17" s="83"/>
      <c r="H17" s="410"/>
      <c r="I17" s="411"/>
      <c r="J17" s="411"/>
      <c r="K17" s="411"/>
      <c r="L17" s="411"/>
      <c r="M17" s="411"/>
      <c r="N17" s="411"/>
      <c r="O17" s="411"/>
      <c r="P17" s="411"/>
      <c r="Q17" s="411"/>
      <c r="R17" s="411"/>
      <c r="S17" s="412"/>
      <c r="T17" s="83"/>
    </row>
    <row r="18" spans="1:20" ht="29" x14ac:dyDescent="0.35">
      <c r="A18" s="87" t="str">
        <f>CONCATENATE(B21,C21)</f>
        <v>REQ_ROB_5NR</v>
      </c>
      <c r="B18" s="96" t="s">
        <v>560</v>
      </c>
      <c r="C18" s="97" t="s">
        <v>799</v>
      </c>
      <c r="D18" s="98"/>
      <c r="E18" s="99"/>
      <c r="F18" s="125" t="s">
        <v>796</v>
      </c>
      <c r="G18" s="83"/>
      <c r="H18" s="410"/>
      <c r="I18" s="411"/>
      <c r="J18" s="411"/>
      <c r="K18" s="411"/>
      <c r="L18" s="411"/>
      <c r="M18" s="411"/>
      <c r="N18" s="411"/>
      <c r="O18" s="411"/>
      <c r="P18" s="411"/>
      <c r="Q18" s="411"/>
      <c r="R18" s="411"/>
      <c r="S18" s="412"/>
      <c r="T18" s="83"/>
    </row>
    <row r="19" spans="1:20" x14ac:dyDescent="0.35">
      <c r="A19" s="87"/>
      <c r="B19" s="101" t="s">
        <v>108</v>
      </c>
      <c r="C19" s="129" t="s">
        <v>549</v>
      </c>
      <c r="D19" s="102" t="s">
        <v>792</v>
      </c>
      <c r="E19" s="103"/>
      <c r="F19" s="104"/>
      <c r="G19" s="83"/>
      <c r="H19" s="410"/>
      <c r="I19" s="411"/>
      <c r="J19" s="411"/>
      <c r="K19" s="411"/>
      <c r="L19" s="411"/>
      <c r="M19" s="411"/>
      <c r="N19" s="411"/>
      <c r="O19" s="411"/>
      <c r="P19" s="411"/>
      <c r="Q19" s="411"/>
      <c r="R19" s="411"/>
      <c r="S19" s="412"/>
      <c r="T19" s="83"/>
    </row>
    <row r="20" spans="1:20" ht="29" x14ac:dyDescent="0.35">
      <c r="A20" s="87"/>
      <c r="B20" s="96" t="s">
        <v>562</v>
      </c>
      <c r="C20" s="97" t="s">
        <v>800</v>
      </c>
      <c r="D20" s="98"/>
      <c r="E20" s="98"/>
      <c r="F20" s="100"/>
      <c r="G20" s="83"/>
      <c r="H20" s="410"/>
      <c r="I20" s="411"/>
      <c r="J20" s="411"/>
      <c r="K20" s="411"/>
      <c r="L20" s="411"/>
      <c r="M20" s="411"/>
      <c r="N20" s="411"/>
      <c r="O20" s="411"/>
      <c r="P20" s="411"/>
      <c r="Q20" s="411"/>
      <c r="R20" s="411"/>
      <c r="S20" s="412"/>
      <c r="T20" s="83"/>
    </row>
    <row r="21" spans="1:20" x14ac:dyDescent="0.35">
      <c r="A21" s="87"/>
      <c r="B21" s="101" t="s">
        <v>108</v>
      </c>
      <c r="C21" s="129" t="s">
        <v>549</v>
      </c>
      <c r="D21" s="102" t="s">
        <v>792</v>
      </c>
      <c r="E21" s="103"/>
      <c r="F21" s="104"/>
      <c r="G21" s="83"/>
      <c r="H21" s="410"/>
      <c r="I21" s="411"/>
      <c r="J21" s="411"/>
      <c r="K21" s="411"/>
      <c r="L21" s="411"/>
      <c r="M21" s="411"/>
      <c r="N21" s="411"/>
      <c r="O21" s="411"/>
      <c r="P21" s="411"/>
      <c r="Q21" s="411"/>
      <c r="R21" s="411"/>
      <c r="S21" s="412"/>
      <c r="T21" s="83"/>
    </row>
    <row r="22" spans="1:20" ht="15.5" x14ac:dyDescent="0.35">
      <c r="A22" s="87"/>
      <c r="B22" s="92" t="s">
        <v>565</v>
      </c>
      <c r="C22" s="413" t="s">
        <v>801</v>
      </c>
      <c r="D22" s="414"/>
      <c r="E22" s="414"/>
      <c r="F22" s="415"/>
      <c r="G22" s="83"/>
      <c r="H22" s="410"/>
      <c r="I22" s="411"/>
      <c r="J22" s="411"/>
      <c r="K22" s="411"/>
      <c r="L22" s="411"/>
      <c r="M22" s="411"/>
      <c r="N22" s="411"/>
      <c r="O22" s="411"/>
      <c r="P22" s="411"/>
      <c r="Q22" s="411"/>
      <c r="R22" s="411"/>
      <c r="S22" s="412"/>
      <c r="T22" s="83"/>
    </row>
    <row r="23" spans="1:20" x14ac:dyDescent="0.35">
      <c r="A23" s="87"/>
      <c r="B23" s="95" t="s">
        <v>545</v>
      </c>
      <c r="C23" s="416" t="s">
        <v>802</v>
      </c>
      <c r="D23" s="417"/>
      <c r="E23" s="417"/>
      <c r="F23" s="418"/>
      <c r="G23" s="83"/>
      <c r="H23" s="410"/>
      <c r="I23" s="411"/>
      <c r="J23" s="411"/>
      <c r="K23" s="411"/>
      <c r="L23" s="411"/>
      <c r="M23" s="411"/>
      <c r="N23" s="411"/>
      <c r="O23" s="411"/>
      <c r="P23" s="411"/>
      <c r="Q23" s="411"/>
      <c r="R23" s="411"/>
      <c r="S23" s="412"/>
      <c r="T23" s="83"/>
    </row>
    <row r="24" spans="1:20" x14ac:dyDescent="0.35">
      <c r="A24" s="87"/>
      <c r="B24" s="96" t="s">
        <v>568</v>
      </c>
      <c r="C24" s="97" t="s">
        <v>803</v>
      </c>
      <c r="D24" s="98"/>
      <c r="E24" s="99"/>
      <c r="F24" s="125" t="s">
        <v>796</v>
      </c>
      <c r="G24" s="83"/>
      <c r="H24" s="410"/>
      <c r="I24" s="411"/>
      <c r="J24" s="411"/>
      <c r="K24" s="411"/>
      <c r="L24" s="411"/>
      <c r="M24" s="411"/>
      <c r="N24" s="411"/>
      <c r="O24" s="411"/>
      <c r="P24" s="411"/>
      <c r="Q24" s="411"/>
      <c r="R24" s="411"/>
      <c r="S24" s="412"/>
      <c r="T24" s="83"/>
    </row>
    <row r="25" spans="1:20" ht="43.5" x14ac:dyDescent="0.35">
      <c r="A25" s="105"/>
      <c r="B25" s="101" t="s">
        <v>101</v>
      </c>
      <c r="C25" s="129" t="s">
        <v>549</v>
      </c>
      <c r="D25" s="102" t="s">
        <v>804</v>
      </c>
      <c r="E25" s="103"/>
      <c r="F25" s="104"/>
      <c r="G25" s="88"/>
      <c r="H25" s="410"/>
      <c r="I25" s="411"/>
      <c r="J25" s="411"/>
      <c r="K25" s="411"/>
      <c r="L25" s="411"/>
      <c r="M25" s="411"/>
      <c r="N25" s="411"/>
      <c r="O25" s="411"/>
      <c r="P25" s="411"/>
      <c r="Q25" s="411"/>
      <c r="R25" s="411"/>
      <c r="S25" s="412"/>
      <c r="T25" s="83"/>
    </row>
    <row r="26" spans="1:20" ht="15.5" x14ac:dyDescent="0.35">
      <c r="A26" s="105"/>
      <c r="B26" s="92" t="s">
        <v>573</v>
      </c>
      <c r="C26" s="413" t="s">
        <v>106</v>
      </c>
      <c r="D26" s="414"/>
      <c r="E26" s="414"/>
      <c r="F26" s="415"/>
      <c r="G26" s="88"/>
      <c r="H26" s="88"/>
      <c r="I26" s="88"/>
      <c r="J26" s="88"/>
      <c r="K26" s="88"/>
      <c r="L26" s="88"/>
      <c r="M26" s="88"/>
      <c r="N26" s="88"/>
      <c r="O26" s="88"/>
      <c r="P26" s="88"/>
      <c r="Q26" s="88"/>
      <c r="R26" s="88"/>
      <c r="S26" s="88"/>
      <c r="T26" s="88"/>
    </row>
    <row r="27" spans="1:20" x14ac:dyDescent="0.35">
      <c r="A27" s="105"/>
      <c r="B27" s="95" t="s">
        <v>545</v>
      </c>
      <c r="C27" s="416" t="s">
        <v>805</v>
      </c>
      <c r="D27" s="417"/>
      <c r="E27" s="417"/>
      <c r="F27" s="418"/>
      <c r="G27" s="88"/>
      <c r="H27" s="88"/>
      <c r="I27" s="88"/>
      <c r="J27" s="88"/>
      <c r="K27" s="88"/>
      <c r="L27" s="88"/>
      <c r="M27" s="88"/>
      <c r="N27" s="88"/>
      <c r="O27" s="88"/>
      <c r="P27" s="88"/>
      <c r="Q27" s="88"/>
      <c r="R27" s="88"/>
      <c r="S27" s="88"/>
      <c r="T27" s="88"/>
    </row>
    <row r="28" spans="1:20" ht="37.5" customHeight="1" x14ac:dyDescent="0.35">
      <c r="A28" s="87"/>
      <c r="B28" s="96" t="s">
        <v>575</v>
      </c>
      <c r="C28" s="97" t="s">
        <v>806</v>
      </c>
      <c r="D28" s="98"/>
      <c r="E28" s="99"/>
      <c r="F28" s="125" t="s">
        <v>796</v>
      </c>
      <c r="G28" s="83"/>
      <c r="H28" s="88"/>
      <c r="I28" s="88"/>
      <c r="J28" s="88"/>
      <c r="K28" s="88"/>
      <c r="L28" s="88"/>
      <c r="M28" s="88"/>
      <c r="N28" s="88"/>
      <c r="O28" s="88"/>
      <c r="P28" s="88"/>
      <c r="Q28" s="88"/>
      <c r="R28" s="88"/>
      <c r="S28" s="88"/>
      <c r="T28" s="83"/>
    </row>
    <row r="29" spans="1:20" x14ac:dyDescent="0.35">
      <c r="A29" s="87"/>
      <c r="B29" s="101" t="s">
        <v>105</v>
      </c>
      <c r="C29" s="129" t="s">
        <v>549</v>
      </c>
      <c r="D29" s="102" t="s">
        <v>807</v>
      </c>
      <c r="E29" s="103"/>
      <c r="F29" s="104"/>
      <c r="G29" s="83"/>
      <c r="H29" s="88"/>
      <c r="I29" s="88"/>
      <c r="J29" s="88"/>
      <c r="K29" s="88"/>
      <c r="L29" s="88"/>
      <c r="M29" s="88"/>
      <c r="N29" s="88"/>
      <c r="O29" s="88"/>
      <c r="P29" s="88"/>
      <c r="Q29" s="88"/>
      <c r="R29" s="88"/>
      <c r="S29" s="88"/>
      <c r="T29" s="83"/>
    </row>
    <row r="30" spans="1:20" x14ac:dyDescent="0.35">
      <c r="A30" s="87"/>
      <c r="B30" s="96" t="s">
        <v>576</v>
      </c>
      <c r="C30" s="97" t="s">
        <v>808</v>
      </c>
      <c r="D30" s="98"/>
      <c r="E30" s="99"/>
      <c r="F30" s="125" t="s">
        <v>796</v>
      </c>
      <c r="G30" s="83"/>
      <c r="H30" s="88"/>
      <c r="I30" s="88"/>
      <c r="J30" s="88"/>
      <c r="K30" s="88"/>
      <c r="L30" s="88"/>
      <c r="M30" s="88"/>
      <c r="N30" s="88"/>
      <c r="O30" s="88"/>
      <c r="P30" s="88"/>
      <c r="Q30" s="88"/>
      <c r="R30" s="88"/>
      <c r="S30" s="88"/>
      <c r="T30" s="83"/>
    </row>
    <row r="31" spans="1:20" ht="29" x14ac:dyDescent="0.35">
      <c r="A31" s="105"/>
      <c r="B31" s="101" t="s">
        <v>105</v>
      </c>
      <c r="C31" s="129" t="s">
        <v>549</v>
      </c>
      <c r="D31" s="102" t="s">
        <v>809</v>
      </c>
      <c r="E31" s="103"/>
      <c r="F31" s="104"/>
      <c r="G31" s="88"/>
      <c r="H31" s="88"/>
      <c r="I31" s="88"/>
      <c r="J31" s="88"/>
      <c r="K31" s="88"/>
      <c r="L31" s="88"/>
      <c r="M31" s="88"/>
      <c r="N31" s="88"/>
      <c r="O31" s="88"/>
      <c r="P31" s="88"/>
      <c r="Q31" s="88"/>
      <c r="R31" s="88"/>
      <c r="S31" s="88"/>
      <c r="T31" s="83"/>
    </row>
    <row r="32" spans="1:20" ht="43.5" x14ac:dyDescent="0.35">
      <c r="A32" s="105"/>
      <c r="B32" s="96" t="s">
        <v>577</v>
      </c>
      <c r="C32" s="97" t="s">
        <v>810</v>
      </c>
      <c r="D32" s="98"/>
      <c r="E32" s="99"/>
      <c r="F32" s="100"/>
      <c r="G32" s="88"/>
      <c r="H32" s="88"/>
      <c r="I32" s="88"/>
      <c r="J32" s="88"/>
      <c r="K32" s="88"/>
      <c r="L32" s="88"/>
      <c r="M32" s="88"/>
      <c r="N32" s="88"/>
      <c r="O32" s="88"/>
      <c r="P32" s="88"/>
      <c r="Q32" s="88"/>
      <c r="R32" s="88"/>
      <c r="S32" s="88"/>
      <c r="T32" s="88"/>
    </row>
    <row r="33" spans="1:20" ht="29" x14ac:dyDescent="0.35">
      <c r="A33" s="105"/>
      <c r="B33" s="101" t="s">
        <v>105</v>
      </c>
      <c r="C33" s="129" t="s">
        <v>549</v>
      </c>
      <c r="D33" s="102" t="s">
        <v>811</v>
      </c>
      <c r="E33" s="103"/>
      <c r="F33" s="104"/>
      <c r="G33" s="88"/>
      <c r="H33" s="88"/>
      <c r="I33" s="88"/>
      <c r="J33" s="88"/>
      <c r="K33" s="88"/>
      <c r="L33" s="88"/>
      <c r="M33" s="88"/>
      <c r="N33" s="88"/>
      <c r="O33" s="88"/>
      <c r="P33" s="88"/>
      <c r="Q33" s="88"/>
      <c r="R33" s="88"/>
      <c r="S33" s="88"/>
      <c r="T33" s="88"/>
    </row>
    <row r="34" spans="1:20" ht="43.5" x14ac:dyDescent="0.35">
      <c r="A34" s="105"/>
      <c r="B34" s="96" t="s">
        <v>674</v>
      </c>
      <c r="C34" s="97" t="s">
        <v>812</v>
      </c>
      <c r="D34" s="98"/>
      <c r="E34" s="99"/>
      <c r="F34" s="100"/>
      <c r="G34" s="88"/>
      <c r="H34" s="88"/>
      <c r="I34" s="88"/>
      <c r="J34" s="88"/>
      <c r="K34" s="88"/>
      <c r="L34" s="88"/>
      <c r="M34" s="88"/>
      <c r="N34" s="88"/>
      <c r="O34" s="88"/>
      <c r="P34" s="88"/>
      <c r="Q34" s="88"/>
      <c r="R34" s="88"/>
      <c r="S34" s="88"/>
      <c r="T34" s="88"/>
    </row>
    <row r="35" spans="1:20" ht="29" x14ac:dyDescent="0.35">
      <c r="A35" s="105"/>
      <c r="B35" s="101" t="s">
        <v>105</v>
      </c>
      <c r="C35" s="129" t="s">
        <v>549</v>
      </c>
      <c r="D35" s="102" t="s">
        <v>813</v>
      </c>
      <c r="E35" s="103"/>
      <c r="F35" s="104"/>
      <c r="G35" s="88"/>
      <c r="H35" s="88"/>
      <c r="I35" s="88"/>
      <c r="J35" s="88"/>
      <c r="K35" s="88"/>
      <c r="L35" s="88"/>
      <c r="M35" s="88"/>
      <c r="N35" s="88"/>
      <c r="O35" s="88"/>
      <c r="P35" s="88"/>
      <c r="Q35" s="88"/>
      <c r="R35" s="88"/>
      <c r="S35" s="88"/>
      <c r="T35" s="88"/>
    </row>
    <row r="36" spans="1:20" ht="15.5" x14ac:dyDescent="0.35">
      <c r="A36" s="105"/>
      <c r="B36" s="92" t="s">
        <v>814</v>
      </c>
      <c r="C36" s="413" t="s">
        <v>815</v>
      </c>
      <c r="D36" s="414"/>
      <c r="E36" s="414"/>
      <c r="F36" s="415"/>
      <c r="G36" s="88"/>
      <c r="H36" s="88"/>
      <c r="I36" s="88"/>
      <c r="J36" s="88"/>
      <c r="K36" s="88"/>
      <c r="L36" s="88"/>
      <c r="M36" s="88"/>
      <c r="N36" s="88"/>
      <c r="O36" s="88"/>
      <c r="P36" s="88"/>
      <c r="Q36" s="88"/>
      <c r="R36" s="88"/>
      <c r="S36" s="88"/>
      <c r="T36" s="88"/>
    </row>
    <row r="37" spans="1:20" x14ac:dyDescent="0.35">
      <c r="A37" s="105"/>
      <c r="B37" s="95" t="s">
        <v>545</v>
      </c>
      <c r="C37" s="416"/>
      <c r="D37" s="417"/>
      <c r="E37" s="417"/>
      <c r="F37" s="418"/>
      <c r="G37" s="88"/>
      <c r="H37" s="88"/>
      <c r="I37" s="88"/>
      <c r="J37" s="88"/>
      <c r="K37" s="88"/>
      <c r="L37" s="88"/>
      <c r="M37" s="88"/>
      <c r="N37" s="88"/>
      <c r="O37" s="88"/>
      <c r="P37" s="88"/>
      <c r="Q37" s="88"/>
      <c r="R37" s="88"/>
      <c r="S37" s="88"/>
      <c r="T37" s="88"/>
    </row>
    <row r="38" spans="1:20" x14ac:dyDescent="0.35">
      <c r="A38" s="87"/>
      <c r="B38" s="96" t="s">
        <v>575</v>
      </c>
      <c r="C38" s="97" t="s">
        <v>816</v>
      </c>
      <c r="D38" s="98"/>
      <c r="E38" s="99"/>
      <c r="F38" s="125"/>
      <c r="G38" s="83"/>
      <c r="H38" s="88"/>
      <c r="I38" s="88"/>
      <c r="J38" s="88"/>
      <c r="K38" s="88"/>
      <c r="L38" s="88"/>
      <c r="M38" s="88"/>
      <c r="N38" s="88"/>
      <c r="O38" s="88"/>
      <c r="P38" s="88"/>
      <c r="Q38" s="88"/>
      <c r="R38" s="88"/>
      <c r="S38" s="88"/>
      <c r="T38" s="83"/>
    </row>
    <row r="39" spans="1:20" x14ac:dyDescent="0.35">
      <c r="A39" s="105"/>
      <c r="B39" s="101" t="s">
        <v>173</v>
      </c>
      <c r="C39" s="129" t="s">
        <v>549</v>
      </c>
      <c r="D39" s="102" t="s">
        <v>817</v>
      </c>
      <c r="E39" s="103"/>
      <c r="F39" s="104"/>
      <c r="G39" s="88"/>
      <c r="H39" s="88"/>
      <c r="I39" s="88"/>
      <c r="J39" s="88"/>
      <c r="K39" s="88"/>
      <c r="L39" s="88"/>
      <c r="M39" s="88"/>
      <c r="N39" s="88"/>
      <c r="O39" s="88"/>
      <c r="P39" s="88"/>
      <c r="Q39" s="88"/>
      <c r="R39" s="88"/>
      <c r="S39" s="88"/>
      <c r="T39" s="83"/>
    </row>
    <row r="40" spans="1:20" ht="15.5" x14ac:dyDescent="0.35">
      <c r="A40" s="105"/>
      <c r="B40" s="126" t="s">
        <v>709</v>
      </c>
      <c r="C40" s="428" t="s">
        <v>818</v>
      </c>
      <c r="D40" s="429"/>
      <c r="E40" s="429"/>
      <c r="F40" s="430"/>
      <c r="G40" s="88"/>
      <c r="H40" s="88"/>
      <c r="I40" s="88"/>
      <c r="J40" s="88"/>
      <c r="K40" s="88"/>
      <c r="L40" s="88"/>
      <c r="M40" s="88"/>
      <c r="N40" s="88"/>
      <c r="O40" s="88"/>
      <c r="P40" s="88"/>
      <c r="Q40" s="88"/>
      <c r="R40" s="88"/>
      <c r="S40" s="88"/>
      <c r="T40" s="88"/>
    </row>
    <row r="41" spans="1:20" x14ac:dyDescent="0.35">
      <c r="A41" s="105"/>
      <c r="B41" s="95" t="s">
        <v>545</v>
      </c>
      <c r="C41" s="416" t="s">
        <v>819</v>
      </c>
      <c r="D41" s="417"/>
      <c r="E41" s="417"/>
      <c r="F41" s="418"/>
      <c r="G41" s="88"/>
      <c r="H41" s="88"/>
      <c r="I41" s="88"/>
      <c r="J41" s="88"/>
      <c r="K41" s="88"/>
      <c r="L41" s="88"/>
      <c r="M41" s="88"/>
      <c r="N41" s="88"/>
      <c r="O41" s="88"/>
      <c r="P41" s="88"/>
      <c r="Q41" s="88"/>
      <c r="R41" s="88"/>
      <c r="S41" s="88"/>
      <c r="T41" s="88"/>
    </row>
    <row r="42" spans="1:20" ht="29.25" customHeight="1" x14ac:dyDescent="0.35">
      <c r="A42" s="87"/>
      <c r="B42" s="96" t="s">
        <v>711</v>
      </c>
      <c r="C42" s="97" t="s">
        <v>820</v>
      </c>
      <c r="D42" s="98"/>
      <c r="E42" s="99"/>
      <c r="F42" s="125" t="s">
        <v>821</v>
      </c>
      <c r="G42" s="83"/>
      <c r="H42" s="88"/>
      <c r="I42" s="88"/>
      <c r="J42" s="88"/>
      <c r="K42" s="88"/>
      <c r="L42" s="88"/>
      <c r="M42" s="88"/>
      <c r="N42" s="88"/>
      <c r="O42" s="88"/>
      <c r="P42" s="88"/>
      <c r="Q42" s="88"/>
      <c r="R42" s="88"/>
      <c r="S42" s="88"/>
      <c r="T42" s="83"/>
    </row>
    <row r="43" spans="1:20" x14ac:dyDescent="0.35">
      <c r="A43" s="105"/>
      <c r="B43" s="101" t="s">
        <v>105</v>
      </c>
      <c r="C43" s="129" t="s">
        <v>549</v>
      </c>
      <c r="D43" s="102" t="s">
        <v>822</v>
      </c>
      <c r="E43" s="103" t="s">
        <v>823</v>
      </c>
      <c r="F43" s="104"/>
      <c r="G43" s="88"/>
      <c r="H43" s="88"/>
      <c r="I43" s="88"/>
      <c r="J43" s="88"/>
      <c r="K43" s="88"/>
      <c r="L43" s="88"/>
      <c r="M43" s="88"/>
      <c r="N43" s="88"/>
      <c r="O43" s="88"/>
      <c r="P43" s="88"/>
      <c r="Q43" s="88"/>
      <c r="R43" s="88"/>
      <c r="S43" s="88"/>
      <c r="T43" s="83"/>
    </row>
    <row r="44" spans="1:20" ht="29" x14ac:dyDescent="0.35">
      <c r="A44" s="105"/>
      <c r="B44" s="96" t="s">
        <v>713</v>
      </c>
      <c r="C44" s="97" t="s">
        <v>824</v>
      </c>
      <c r="D44" s="98"/>
      <c r="E44" s="99"/>
      <c r="F44" s="100"/>
      <c r="G44" s="88"/>
      <c r="H44" s="88"/>
      <c r="I44" s="88"/>
      <c r="J44" s="88"/>
      <c r="K44" s="88"/>
      <c r="L44" s="88"/>
      <c r="M44" s="88"/>
      <c r="N44" s="88"/>
      <c r="O44" s="88"/>
      <c r="P44" s="88"/>
      <c r="Q44" s="88"/>
      <c r="R44" s="88"/>
      <c r="S44" s="88"/>
      <c r="T44" s="88"/>
    </row>
    <row r="45" spans="1:20" ht="29.5" thickBot="1" x14ac:dyDescent="0.4">
      <c r="A45" s="105"/>
      <c r="B45" s="106" t="s">
        <v>105</v>
      </c>
      <c r="C45" s="107" t="s">
        <v>549</v>
      </c>
      <c r="D45" s="108" t="s">
        <v>825</v>
      </c>
      <c r="E45" s="109"/>
      <c r="F45" s="110"/>
      <c r="G45" s="88"/>
      <c r="H45" s="88"/>
      <c r="I45" s="88"/>
      <c r="J45" s="88"/>
      <c r="K45" s="88"/>
      <c r="L45" s="88"/>
      <c r="M45" s="88"/>
      <c r="N45" s="88"/>
      <c r="O45" s="88"/>
      <c r="P45" s="88"/>
      <c r="Q45" s="88"/>
      <c r="R45" s="88"/>
      <c r="S45" s="88"/>
      <c r="T45" s="88"/>
    </row>
    <row r="46" spans="1:20" ht="15" thickBot="1" x14ac:dyDescent="0.4">
      <c r="A46" s="105"/>
      <c r="B46" s="83"/>
      <c r="C46" s="88"/>
      <c r="D46" s="88"/>
      <c r="E46" s="111"/>
      <c r="F46" s="88"/>
      <c r="G46" s="88"/>
      <c r="H46" s="88"/>
      <c r="I46" s="88"/>
      <c r="J46" s="88"/>
      <c r="K46" s="88"/>
      <c r="L46" s="88"/>
      <c r="M46" s="88"/>
      <c r="N46" s="88"/>
      <c r="O46" s="88"/>
      <c r="P46" s="88"/>
      <c r="Q46" s="88"/>
      <c r="R46" s="88"/>
      <c r="S46" s="88"/>
      <c r="T46" s="88"/>
    </row>
    <row r="47" spans="1:20" ht="15" thickBot="1" x14ac:dyDescent="0.4">
      <c r="A47" s="105"/>
      <c r="B47" s="404" t="s">
        <v>579</v>
      </c>
      <c r="C47" s="405"/>
      <c r="D47" s="405"/>
      <c r="E47" s="405"/>
      <c r="F47" s="406"/>
      <c r="G47" s="88"/>
      <c r="H47" s="88"/>
      <c r="I47" s="88"/>
      <c r="J47" s="88"/>
      <c r="K47" s="88"/>
      <c r="L47" s="88"/>
      <c r="M47" s="88"/>
      <c r="N47" s="88"/>
      <c r="O47" s="88"/>
      <c r="P47" s="88"/>
      <c r="Q47" s="88"/>
      <c r="R47" s="88"/>
      <c r="S47" s="88"/>
      <c r="T47" s="88"/>
    </row>
    <row r="48" spans="1:20" x14ac:dyDescent="0.35">
      <c r="A48" s="105"/>
      <c r="B48" s="239" t="s">
        <v>101</v>
      </c>
      <c r="C48" s="419" t="str">
        <f>IF(AND(D68=0,D69=0,D70=0),"NA",IF(AND(D68&gt;0,D69=0),"NR",IF(D69&gt;0,"NOK","OK")))</f>
        <v>NR</v>
      </c>
      <c r="D48" s="419"/>
      <c r="E48" s="419"/>
      <c r="F48" s="420"/>
      <c r="G48" s="88"/>
      <c r="H48" s="88"/>
      <c r="I48" s="88"/>
      <c r="J48" s="88"/>
      <c r="K48" s="88"/>
      <c r="L48" s="88"/>
      <c r="M48" s="88"/>
      <c r="N48" s="88"/>
      <c r="O48" s="88"/>
      <c r="P48" s="88"/>
      <c r="Q48" s="88"/>
      <c r="R48" s="88"/>
      <c r="S48" s="88"/>
      <c r="T48" s="88"/>
    </row>
    <row r="49" spans="1:20" x14ac:dyDescent="0.35">
      <c r="A49" s="105"/>
      <c r="B49" s="240" t="s">
        <v>105</v>
      </c>
      <c r="C49" s="392" t="str">
        <f>IF(AND(D71=0,D72=0,D73=0),"NA",IF(AND(D71&gt;0,D72=0),"NR",IF(D72&gt;0,"NOK","OK")))</f>
        <v>NR</v>
      </c>
      <c r="D49" s="392"/>
      <c r="E49" s="392"/>
      <c r="F49" s="393"/>
      <c r="G49" s="88"/>
      <c r="H49" s="88"/>
      <c r="I49" s="88"/>
      <c r="J49" s="88"/>
      <c r="K49" s="88"/>
      <c r="L49" s="88"/>
      <c r="M49" s="88"/>
      <c r="N49" s="88"/>
      <c r="O49" s="88"/>
      <c r="P49" s="88"/>
      <c r="Q49" s="88"/>
      <c r="R49" s="88"/>
      <c r="S49" s="88"/>
      <c r="T49" s="88"/>
    </row>
    <row r="50" spans="1:20" x14ac:dyDescent="0.35">
      <c r="A50" s="105"/>
      <c r="B50" s="240" t="s">
        <v>108</v>
      </c>
      <c r="C50" s="392" t="str">
        <f>IF(AND(D74=0,D75=0,D76=0),"NA",IF(AND(D74&gt;0,D75=0),"NR",IF(D75&gt;0,"NOK","OK")))</f>
        <v>NR</v>
      </c>
      <c r="D50" s="392"/>
      <c r="E50" s="392"/>
      <c r="F50" s="393"/>
      <c r="G50" s="88"/>
      <c r="H50" s="88"/>
      <c r="I50" s="88"/>
      <c r="J50" s="88"/>
      <c r="K50" s="88"/>
      <c r="L50" s="88"/>
      <c r="M50" s="88"/>
      <c r="N50" s="88"/>
      <c r="O50" s="88"/>
      <c r="P50" s="88"/>
      <c r="Q50" s="88"/>
      <c r="R50" s="88"/>
      <c r="S50" s="88"/>
      <c r="T50" s="88"/>
    </row>
    <row r="51" spans="1:20" x14ac:dyDescent="0.35">
      <c r="A51" s="105"/>
      <c r="B51" s="240" t="s">
        <v>173</v>
      </c>
      <c r="C51" s="392" t="str">
        <f>IF(AND(D77=0,D78=0,D79=0),"NA",IF(AND(D77&gt;0,D78=0),"NR",IF(D78&gt;0,"NOK","OK")))</f>
        <v>NR</v>
      </c>
      <c r="D51" s="392"/>
      <c r="E51" s="392"/>
      <c r="F51" s="393"/>
      <c r="G51" s="88"/>
      <c r="H51" s="88"/>
      <c r="I51" s="88"/>
      <c r="J51" s="88"/>
      <c r="K51" s="88"/>
      <c r="L51" s="88"/>
      <c r="M51" s="88"/>
      <c r="N51" s="88"/>
      <c r="O51" s="88"/>
      <c r="P51" s="88"/>
      <c r="Q51" s="88"/>
      <c r="R51" s="88"/>
      <c r="S51" s="88"/>
      <c r="T51" s="88"/>
    </row>
    <row r="52" spans="1:20" x14ac:dyDescent="0.35">
      <c r="A52" s="105"/>
      <c r="B52" s="113"/>
      <c r="C52" s="392" t="str">
        <f>IF(AND(D80=0,D81=0,D82=0),"NA",IF(AND(D80&gt;0,D81=0),"NR",IF(D81&gt;0,"NOK","OK")))</f>
        <v>NA</v>
      </c>
      <c r="D52" s="392"/>
      <c r="E52" s="392"/>
      <c r="F52" s="393"/>
      <c r="G52" s="88"/>
      <c r="H52" s="88"/>
      <c r="I52" s="88"/>
      <c r="J52" s="88"/>
      <c r="K52" s="88"/>
      <c r="L52" s="88"/>
      <c r="M52" s="88"/>
      <c r="N52" s="88"/>
      <c r="O52" s="88"/>
      <c r="P52" s="88"/>
      <c r="Q52" s="88"/>
      <c r="R52" s="88"/>
      <c r="S52" s="88"/>
      <c r="T52" s="88"/>
    </row>
    <row r="53" spans="1:20" x14ac:dyDescent="0.35">
      <c r="A53" s="105"/>
      <c r="B53" s="113"/>
      <c r="C53" s="392" t="str">
        <f>IF(AND(D83=0,D84=0,D85=0),"NA",IF(AND(D83&gt;0,D84=0),"NR",IF(D84&gt;0,"NOK","OK")))</f>
        <v>NA</v>
      </c>
      <c r="D53" s="392"/>
      <c r="E53" s="392"/>
      <c r="F53" s="393"/>
      <c r="G53" s="88"/>
      <c r="H53" s="88"/>
      <c r="I53" s="88"/>
      <c r="J53" s="88"/>
      <c r="K53" s="88"/>
      <c r="L53" s="88"/>
      <c r="M53" s="88"/>
      <c r="N53" s="88"/>
      <c r="O53" s="88"/>
      <c r="P53" s="88"/>
      <c r="Q53" s="88"/>
      <c r="R53" s="88"/>
      <c r="S53" s="88"/>
      <c r="T53" s="88"/>
    </row>
    <row r="54" spans="1:20" x14ac:dyDescent="0.35">
      <c r="A54" s="105"/>
      <c r="B54" s="113"/>
      <c r="C54" s="392" t="str">
        <f>IF(AND(D86=0,D87=0,D88=0),"NA",IF(AND(D86&gt;0,D87=0),"NR",IF(D87&gt;0,"NOK","OK")))</f>
        <v>NA</v>
      </c>
      <c r="D54" s="392"/>
      <c r="E54" s="392"/>
      <c r="F54" s="393"/>
      <c r="G54" s="88"/>
      <c r="H54" s="88"/>
      <c r="I54" s="88"/>
      <c r="J54" s="88"/>
      <c r="K54" s="88"/>
      <c r="L54" s="88"/>
      <c r="M54" s="88"/>
      <c r="N54" s="88"/>
      <c r="O54" s="88"/>
      <c r="P54" s="88"/>
      <c r="Q54" s="88"/>
      <c r="R54" s="88"/>
      <c r="S54" s="88"/>
      <c r="T54" s="88"/>
    </row>
    <row r="55" spans="1:20" x14ac:dyDescent="0.35">
      <c r="A55" s="105"/>
      <c r="B55" s="113"/>
      <c r="C55" s="392" t="str">
        <f>IF(AND(D89=0,D90=0,D91=0),"NA",IF(AND(D89&gt;0,D90=0),"NR",IF(D90&gt;0,"NOK","OK")))</f>
        <v>NA</v>
      </c>
      <c r="D55" s="392"/>
      <c r="E55" s="392"/>
      <c r="F55" s="393"/>
      <c r="G55" s="88"/>
      <c r="H55" s="88"/>
      <c r="I55" s="88"/>
      <c r="J55" s="88"/>
      <c r="K55" s="88"/>
      <c r="L55" s="88"/>
      <c r="M55" s="88"/>
      <c r="N55" s="88"/>
      <c r="O55" s="88"/>
      <c r="P55" s="88"/>
      <c r="Q55" s="88"/>
      <c r="R55" s="88"/>
      <c r="S55" s="88"/>
      <c r="T55" s="88"/>
    </row>
    <row r="56" spans="1:20" x14ac:dyDescent="0.35">
      <c r="A56" s="105"/>
      <c r="B56" s="113"/>
      <c r="C56" s="392" t="str">
        <f>IF(AND(D92=0,D93=0,D94=0),"NA",IF(AND(D92&gt;0,D93=0),"NR",IF(D93&gt;0,"NOK","OK")))</f>
        <v>NA</v>
      </c>
      <c r="D56" s="392"/>
      <c r="E56" s="392"/>
      <c r="F56" s="393"/>
      <c r="G56" s="88"/>
      <c r="H56" s="88"/>
      <c r="I56" s="88"/>
      <c r="J56" s="88"/>
      <c r="K56" s="88"/>
      <c r="L56" s="88"/>
      <c r="M56" s="88"/>
      <c r="N56" s="88"/>
      <c r="O56" s="88"/>
      <c r="P56" s="88"/>
      <c r="Q56" s="88"/>
      <c r="R56" s="88"/>
      <c r="S56" s="88"/>
      <c r="T56" s="88"/>
    </row>
    <row r="57" spans="1:20" x14ac:dyDescent="0.35">
      <c r="A57" s="105"/>
      <c r="B57" s="113"/>
      <c r="C57" s="392" t="str">
        <f>IF(AND(D95=0,D96=0,D97=0),"NA",IF(AND(D95&gt;0,D96=0),"NR",IF(D96&gt;0,"NOK","OK")))</f>
        <v>NA</v>
      </c>
      <c r="D57" s="392"/>
      <c r="E57" s="392"/>
      <c r="F57" s="393"/>
      <c r="G57" s="88"/>
      <c r="H57" s="88"/>
      <c r="I57" s="88"/>
      <c r="J57" s="88"/>
      <c r="K57" s="88"/>
      <c r="L57" s="88"/>
      <c r="M57" s="88"/>
      <c r="N57" s="88"/>
      <c r="O57" s="88"/>
      <c r="P57" s="88"/>
      <c r="Q57" s="88"/>
      <c r="R57" s="88"/>
      <c r="S57" s="88"/>
      <c r="T57" s="88"/>
    </row>
    <row r="58" spans="1:20" x14ac:dyDescent="0.35">
      <c r="A58" s="105"/>
      <c r="B58" s="113"/>
      <c r="C58" s="392" t="str">
        <f>IF(AND(D98=0,D99=0,D100=0),"NA",IF(AND(D98&gt;0,D99=0),"NR",IF(D99&gt;0,"NOK","OK")))</f>
        <v>NA</v>
      </c>
      <c r="D58" s="392"/>
      <c r="E58" s="392"/>
      <c r="F58" s="393"/>
      <c r="G58" s="88"/>
      <c r="H58" s="88"/>
      <c r="I58" s="88"/>
      <c r="J58" s="88"/>
      <c r="K58" s="88"/>
      <c r="L58" s="88"/>
      <c r="M58" s="88"/>
      <c r="N58" s="88"/>
      <c r="O58" s="88"/>
      <c r="P58" s="88"/>
      <c r="Q58" s="88"/>
      <c r="R58" s="88"/>
      <c r="S58" s="88"/>
      <c r="T58" s="88"/>
    </row>
    <row r="59" spans="1:20" x14ac:dyDescent="0.35">
      <c r="A59" s="105"/>
      <c r="B59" s="113"/>
      <c r="C59" s="392" t="str">
        <f>IF(AND(D101=0,D102=0,D103=0),"NA",IF(AND(D101&gt;0,D102=0),"NR",IF(D102&gt;0,"NOK","OK")))</f>
        <v>NA</v>
      </c>
      <c r="D59" s="392"/>
      <c r="E59" s="392"/>
      <c r="F59" s="393"/>
      <c r="G59" s="88"/>
      <c r="H59" s="88"/>
      <c r="I59" s="88"/>
      <c r="J59" s="88"/>
      <c r="K59" s="88"/>
      <c r="L59" s="88"/>
      <c r="M59" s="88"/>
      <c r="N59" s="88"/>
      <c r="O59" s="88"/>
      <c r="P59" s="88"/>
      <c r="Q59" s="88"/>
      <c r="R59" s="88"/>
      <c r="S59" s="88"/>
      <c r="T59" s="88"/>
    </row>
    <row r="60" spans="1:20" ht="15" thickBot="1" x14ac:dyDescent="0.4">
      <c r="A60" s="105"/>
      <c r="B60" s="114"/>
      <c r="C60" s="400" t="str">
        <f>IF(AND(D104=0,D105=0,D106=0),"NA",IF(AND(D104&gt;0,D105=0),"NR",IF(D105&gt;0,"NOK","OK")))</f>
        <v>NA</v>
      </c>
      <c r="D60" s="400"/>
      <c r="E60" s="400"/>
      <c r="F60" s="401"/>
      <c r="G60" s="88"/>
      <c r="H60" s="88"/>
      <c r="I60" s="88"/>
      <c r="J60" s="88"/>
      <c r="K60" s="88"/>
      <c r="L60" s="88"/>
      <c r="M60" s="88"/>
      <c r="N60" s="88"/>
      <c r="O60" s="88"/>
      <c r="P60" s="88"/>
      <c r="Q60" s="88"/>
      <c r="R60" s="88"/>
      <c r="S60" s="88"/>
      <c r="T60" s="88"/>
    </row>
    <row r="61" spans="1:20" ht="15" thickBot="1" x14ac:dyDescent="0.4">
      <c r="A61" s="105"/>
      <c r="B61" s="115"/>
      <c r="C61" s="116"/>
      <c r="D61" s="116"/>
      <c r="E61" s="117"/>
      <c r="F61" s="116"/>
      <c r="G61" s="88"/>
      <c r="H61" s="88"/>
      <c r="I61" s="88"/>
      <c r="J61" s="88"/>
      <c r="K61" s="88"/>
      <c r="L61" s="88"/>
      <c r="M61" s="88"/>
      <c r="N61" s="88"/>
      <c r="O61" s="88"/>
      <c r="P61" s="88"/>
      <c r="Q61" s="88"/>
      <c r="R61" s="88"/>
      <c r="S61" s="88"/>
      <c r="T61" s="88"/>
    </row>
    <row r="62" spans="1:20" ht="15" thickBot="1" x14ac:dyDescent="0.4">
      <c r="A62" s="105"/>
      <c r="B62" s="394" t="s">
        <v>580</v>
      </c>
      <c r="C62" s="395"/>
      <c r="D62" s="395"/>
      <c r="E62" s="395"/>
      <c r="F62" s="396"/>
      <c r="G62" s="88"/>
      <c r="H62" s="88"/>
      <c r="I62" s="88"/>
      <c r="J62" s="88"/>
      <c r="K62" s="88"/>
      <c r="L62" s="88"/>
      <c r="M62" s="88"/>
      <c r="N62" s="88"/>
      <c r="O62" s="88"/>
      <c r="P62" s="88"/>
      <c r="Q62" s="88"/>
      <c r="R62" s="88"/>
      <c r="S62" s="88"/>
      <c r="T62" s="88"/>
    </row>
    <row r="63" spans="1:20" ht="31.5" thickBot="1" x14ac:dyDescent="0.4">
      <c r="A63" s="105"/>
      <c r="B63" s="118" t="s">
        <v>826</v>
      </c>
      <c r="C63" s="119" t="str">
        <f>IF(AND(COUNTIF(C48:C59,"NOK")=0,COUNTIF(C48:C59,"OK")=0,COUNTIF(C48:C59,"NR")=0),"NA",IF(AND(COUNTIF(C48:C59,"NR")&gt;0,COUNTIF(C48:C59,"NOK")=0),"NR",IF(COUNTIF(C48:C59,"NOK")&gt;0,"NOK","OK")))</f>
        <v>NR</v>
      </c>
      <c r="D63" s="397" t="s">
        <v>57</v>
      </c>
      <c r="E63" s="398"/>
      <c r="F63" s="399"/>
      <c r="G63" s="88"/>
      <c r="H63" s="88"/>
      <c r="I63" s="88"/>
      <c r="J63" s="88"/>
      <c r="K63" s="88"/>
      <c r="L63" s="88"/>
      <c r="M63" s="88"/>
      <c r="N63" s="88"/>
      <c r="O63" s="88"/>
      <c r="P63" s="88"/>
      <c r="Q63" s="88"/>
      <c r="R63" s="88"/>
      <c r="S63" s="88"/>
      <c r="T63" s="88"/>
    </row>
    <row r="64" spans="1:20" x14ac:dyDescent="0.35">
      <c r="A64" s="105"/>
      <c r="B64" s="83"/>
      <c r="C64" s="88"/>
      <c r="D64" s="88"/>
      <c r="E64" s="111"/>
      <c r="F64" s="88"/>
      <c r="G64" s="88"/>
      <c r="H64" s="88"/>
      <c r="I64" s="88"/>
      <c r="J64" s="88"/>
      <c r="K64" s="88"/>
      <c r="L64" s="88"/>
      <c r="M64" s="88"/>
      <c r="N64" s="88"/>
      <c r="O64" s="88"/>
      <c r="P64" s="88"/>
      <c r="Q64" s="88"/>
      <c r="R64" s="88"/>
      <c r="S64" s="88"/>
      <c r="T64" s="88"/>
    </row>
    <row r="65" spans="1:20" x14ac:dyDescent="0.35">
      <c r="A65" s="105"/>
      <c r="B65" s="83"/>
      <c r="C65" s="88"/>
      <c r="D65" s="88"/>
      <c r="E65" s="111"/>
      <c r="F65" s="88"/>
      <c r="G65" s="88"/>
      <c r="H65" s="88"/>
      <c r="I65" s="88"/>
      <c r="J65" s="88"/>
      <c r="K65" s="88"/>
      <c r="L65" s="88"/>
      <c r="M65" s="88"/>
      <c r="N65" s="88"/>
      <c r="O65" s="88"/>
      <c r="P65" s="88"/>
      <c r="Q65" s="88"/>
      <c r="R65" s="88"/>
      <c r="S65" s="88"/>
      <c r="T65" s="88"/>
    </row>
    <row r="66" spans="1:20" x14ac:dyDescent="0.35">
      <c r="A66" s="105"/>
      <c r="B66" s="83"/>
      <c r="C66" s="88"/>
      <c r="D66" s="88"/>
      <c r="E66" s="111"/>
      <c r="F66" s="88"/>
      <c r="G66" s="88"/>
      <c r="H66" s="88"/>
      <c r="I66" s="88"/>
      <c r="J66" s="88"/>
      <c r="K66" s="88"/>
      <c r="L66" s="88"/>
      <c r="M66" s="88"/>
      <c r="N66" s="88"/>
      <c r="O66" s="88"/>
      <c r="P66" s="88"/>
      <c r="Q66" s="88"/>
      <c r="R66" s="88"/>
      <c r="S66" s="88"/>
      <c r="T66" s="88"/>
    </row>
    <row r="67" spans="1:20" x14ac:dyDescent="0.35">
      <c r="A67" s="105"/>
      <c r="B67" s="391" t="s">
        <v>582</v>
      </c>
      <c r="C67" s="391"/>
      <c r="D67" s="391"/>
      <c r="E67" s="88"/>
      <c r="F67" s="88"/>
      <c r="G67" s="88"/>
      <c r="H67" s="88"/>
      <c r="I67" s="88"/>
      <c r="J67" s="88"/>
      <c r="K67" s="88"/>
      <c r="L67" s="88"/>
      <c r="M67" s="88"/>
      <c r="N67" s="88"/>
      <c r="O67" s="88"/>
      <c r="P67" s="88"/>
      <c r="Q67" s="88"/>
      <c r="R67" s="88"/>
      <c r="S67" s="88"/>
      <c r="T67" s="88"/>
    </row>
    <row r="68" spans="1:20" x14ac:dyDescent="0.35">
      <c r="A68" s="105"/>
      <c r="B68" s="390" t="str">
        <f>B48</f>
        <v>REQ_ROB_3</v>
      </c>
      <c r="C68" s="120" t="s">
        <v>549</v>
      </c>
      <c r="D68" s="120">
        <f>IF($B$68=0,0,COUNTIFS($B$8:$B$45,"*"&amp;$B$68&amp;"*",$C$8:$C$45,C68))</f>
        <v>1</v>
      </c>
      <c r="E68" s="88"/>
      <c r="F68" s="88"/>
      <c r="G68" s="88"/>
      <c r="H68" s="88"/>
      <c r="I68" s="88"/>
      <c r="J68" s="88"/>
      <c r="K68" s="88"/>
      <c r="L68" s="88"/>
      <c r="M68" s="88"/>
      <c r="N68" s="88"/>
      <c r="O68" s="88"/>
      <c r="P68" s="88"/>
      <c r="Q68" s="88"/>
      <c r="R68" s="88"/>
      <c r="S68" s="88"/>
      <c r="T68" s="88"/>
    </row>
    <row r="69" spans="1:20" x14ac:dyDescent="0.35">
      <c r="A69" s="105"/>
      <c r="B69" s="390"/>
      <c r="C69" s="120" t="s">
        <v>583</v>
      </c>
      <c r="D69" s="120">
        <f>IF($B$68=0,0,COUNTIFS($B$8:$B$45,"*"&amp;$B$68&amp;"*",$C$8:$C$45,C69))</f>
        <v>0</v>
      </c>
      <c r="E69" s="88"/>
      <c r="F69" s="88"/>
      <c r="G69" s="88"/>
      <c r="H69" s="88"/>
      <c r="I69" s="88"/>
      <c r="J69" s="88"/>
      <c r="K69" s="88"/>
      <c r="L69" s="88"/>
      <c r="M69" s="88"/>
      <c r="N69" s="88"/>
      <c r="O69" s="88"/>
      <c r="P69" s="88"/>
      <c r="Q69" s="88"/>
      <c r="R69" s="88"/>
      <c r="S69" s="88"/>
      <c r="T69" s="88"/>
    </row>
    <row r="70" spans="1:20" x14ac:dyDescent="0.35">
      <c r="A70" s="105"/>
      <c r="B70" s="390"/>
      <c r="C70" s="120" t="s">
        <v>584</v>
      </c>
      <c r="D70" s="120">
        <f>IF($B$68=0,0,COUNTIFS($B$8:$B$45,"*"&amp;$B$68&amp;"*",$C$8:$C$45,C70))</f>
        <v>0</v>
      </c>
      <c r="E70" s="88"/>
      <c r="F70" s="88"/>
      <c r="G70" s="88"/>
      <c r="H70" s="88"/>
      <c r="I70" s="88"/>
      <c r="J70" s="88"/>
      <c r="K70" s="88"/>
      <c r="L70" s="88"/>
      <c r="M70" s="88"/>
      <c r="N70" s="88"/>
      <c r="O70" s="88"/>
      <c r="P70" s="88"/>
      <c r="Q70" s="88"/>
      <c r="R70" s="88"/>
      <c r="S70" s="88"/>
      <c r="T70" s="88"/>
    </row>
    <row r="71" spans="1:20" x14ac:dyDescent="0.35">
      <c r="A71" s="105"/>
      <c r="B71" s="390" t="str">
        <f>B49</f>
        <v>REQ_ROB_4</v>
      </c>
      <c r="C71" s="120" t="s">
        <v>549</v>
      </c>
      <c r="D71" s="120">
        <f>IF($B$71=0,0,COUNTIFS($B$8:$B$45,"*"&amp;$B$71&amp;"*",$C$8:$C$45,C71))</f>
        <v>6</v>
      </c>
      <c r="E71" s="88"/>
      <c r="F71" s="88"/>
      <c r="G71" s="88"/>
      <c r="H71" s="88"/>
      <c r="I71" s="88"/>
      <c r="J71" s="88"/>
      <c r="K71" s="88"/>
      <c r="L71" s="88"/>
      <c r="M71" s="88"/>
      <c r="N71" s="88"/>
      <c r="O71" s="88"/>
      <c r="P71" s="88"/>
      <c r="Q71" s="88"/>
      <c r="R71" s="88"/>
      <c r="S71" s="88"/>
      <c r="T71" s="88"/>
    </row>
    <row r="72" spans="1:20" x14ac:dyDescent="0.35">
      <c r="A72" s="105"/>
      <c r="B72" s="390"/>
      <c r="C72" s="120" t="s">
        <v>583</v>
      </c>
      <c r="D72" s="120">
        <f>IF($B$71=0,0,COUNTIFS($B$8:$B$45,"*"&amp;$B$71&amp;"*",$C$8:$C$45,C72))</f>
        <v>0</v>
      </c>
      <c r="E72" s="88"/>
      <c r="F72" s="88"/>
      <c r="G72" s="88"/>
      <c r="H72" s="88"/>
      <c r="I72" s="88"/>
      <c r="J72" s="88"/>
      <c r="K72" s="88"/>
      <c r="L72" s="88"/>
      <c r="M72" s="88"/>
      <c r="N72" s="88"/>
      <c r="O72" s="88"/>
      <c r="P72" s="88"/>
      <c r="Q72" s="88"/>
      <c r="R72" s="88"/>
      <c r="S72" s="88"/>
      <c r="T72" s="88"/>
    </row>
    <row r="73" spans="1:20" x14ac:dyDescent="0.35">
      <c r="A73" s="105"/>
      <c r="B73" s="390"/>
      <c r="C73" s="120" t="s">
        <v>584</v>
      </c>
      <c r="D73" s="120">
        <f>IF($B$71=0,0,COUNTIFS($B$8:$B$45,"*"&amp;$B$71&amp;"*",$C$8:$C$45,C73))</f>
        <v>0</v>
      </c>
      <c r="E73" s="88"/>
      <c r="F73" s="88"/>
      <c r="G73" s="88"/>
      <c r="H73" s="88"/>
      <c r="I73" s="88"/>
      <c r="J73" s="88"/>
      <c r="K73" s="88"/>
      <c r="L73" s="88"/>
      <c r="M73" s="88"/>
      <c r="N73" s="88"/>
      <c r="O73" s="88"/>
      <c r="P73" s="88"/>
      <c r="Q73" s="88"/>
      <c r="R73" s="88"/>
      <c r="S73" s="88"/>
      <c r="T73" s="88"/>
    </row>
    <row r="74" spans="1:20" x14ac:dyDescent="0.35">
      <c r="A74" s="105"/>
      <c r="B74" s="390" t="str">
        <f>B50</f>
        <v>REQ_ROB_5</v>
      </c>
      <c r="C74" s="120" t="s">
        <v>549</v>
      </c>
      <c r="D74" s="120">
        <f>IF($B$74=0,0,COUNTIFS($B$8:$B$45,"*"&amp;$B$74&amp;"*",$C$8:$C$45,C74))</f>
        <v>6</v>
      </c>
      <c r="E74" s="88"/>
      <c r="F74" s="88"/>
      <c r="G74" s="88"/>
      <c r="H74" s="88"/>
      <c r="I74" s="88"/>
      <c r="J74" s="88"/>
      <c r="K74" s="88"/>
      <c r="L74" s="88"/>
      <c r="M74" s="88"/>
      <c r="N74" s="88"/>
      <c r="O74" s="88"/>
      <c r="P74" s="88"/>
      <c r="Q74" s="88"/>
      <c r="R74" s="88"/>
      <c r="S74" s="88"/>
      <c r="T74" s="88"/>
    </row>
    <row r="75" spans="1:20" x14ac:dyDescent="0.35">
      <c r="A75" s="105"/>
      <c r="B75" s="390"/>
      <c r="C75" s="120" t="s">
        <v>583</v>
      </c>
      <c r="D75" s="120">
        <f>IF($B$74=0,0,COUNTIFS($B$8:$B$45,"*"&amp;$B$74&amp;"*",$C$8:$C$45,C75))</f>
        <v>0</v>
      </c>
      <c r="E75" s="88"/>
      <c r="F75" s="88"/>
      <c r="G75" s="88"/>
      <c r="H75" s="88"/>
      <c r="I75" s="88"/>
      <c r="J75" s="88"/>
      <c r="K75" s="88"/>
      <c r="L75" s="88"/>
      <c r="M75" s="88"/>
      <c r="N75" s="88"/>
      <c r="O75" s="88"/>
      <c r="P75" s="88"/>
      <c r="Q75" s="88"/>
      <c r="R75" s="88"/>
      <c r="S75" s="88"/>
      <c r="T75" s="88"/>
    </row>
    <row r="76" spans="1:20" x14ac:dyDescent="0.35">
      <c r="A76" s="105"/>
      <c r="B76" s="390"/>
      <c r="C76" s="120" t="s">
        <v>584</v>
      </c>
      <c r="D76" s="120">
        <f>IF($B$74=0,0,COUNTIFS($B$8:$B$45,"*"&amp;$B$74&amp;"*",$C$8:$C$45,C76))</f>
        <v>0</v>
      </c>
      <c r="E76" s="88"/>
      <c r="F76" s="88"/>
      <c r="G76" s="88"/>
      <c r="H76" s="88"/>
      <c r="I76" s="88"/>
      <c r="J76" s="88"/>
      <c r="K76" s="88"/>
      <c r="L76" s="88"/>
      <c r="M76" s="88"/>
      <c r="N76" s="88"/>
      <c r="O76" s="88"/>
      <c r="P76" s="88"/>
      <c r="Q76" s="88"/>
      <c r="R76" s="88"/>
      <c r="S76" s="88"/>
      <c r="T76" s="88"/>
    </row>
    <row r="77" spans="1:20" x14ac:dyDescent="0.35">
      <c r="A77" s="105"/>
      <c r="B77" s="390" t="str">
        <f>B51</f>
        <v>REQ_SYS_AC-Charge_140</v>
      </c>
      <c r="C77" s="120" t="s">
        <v>549</v>
      </c>
      <c r="D77" s="120">
        <f>IF($B$77=0,0,COUNTIFS($B$8:$B$45,"*"&amp;$B$77&amp;"*",$C$8:$C$45,C77))</f>
        <v>1</v>
      </c>
      <c r="E77" s="88"/>
      <c r="F77" s="88"/>
      <c r="G77" s="88"/>
      <c r="H77" s="88"/>
      <c r="I77" s="88"/>
      <c r="J77" s="88"/>
      <c r="K77" s="88"/>
      <c r="L77" s="88"/>
      <c r="M77" s="88"/>
      <c r="N77" s="88"/>
      <c r="O77" s="88"/>
      <c r="P77" s="88"/>
      <c r="Q77" s="88"/>
      <c r="R77" s="88"/>
      <c r="S77" s="88"/>
      <c r="T77" s="88"/>
    </row>
    <row r="78" spans="1:20" x14ac:dyDescent="0.35">
      <c r="A78" s="105"/>
      <c r="B78" s="390"/>
      <c r="C78" s="120" t="s">
        <v>583</v>
      </c>
      <c r="D78" s="120">
        <f>IF($B$77=0,0,COUNTIFS($B$8:$B$45,"*"&amp;$B$77&amp;"*",$C$8:$C$45,C78))</f>
        <v>0</v>
      </c>
      <c r="E78" s="88"/>
      <c r="F78" s="88"/>
      <c r="G78" s="88"/>
      <c r="H78" s="88"/>
      <c r="I78" s="88"/>
      <c r="J78" s="88"/>
      <c r="K78" s="88"/>
      <c r="L78" s="88"/>
      <c r="M78" s="88"/>
      <c r="N78" s="88"/>
      <c r="O78" s="88"/>
      <c r="P78" s="88"/>
      <c r="Q78" s="88"/>
      <c r="R78" s="88"/>
      <c r="S78" s="88"/>
      <c r="T78" s="88"/>
    </row>
    <row r="79" spans="1:20" x14ac:dyDescent="0.35">
      <c r="A79" s="105"/>
      <c r="B79" s="390"/>
      <c r="C79" s="120" t="s">
        <v>584</v>
      </c>
      <c r="D79" s="120">
        <f>IF($B$77=0,0,COUNTIFS($B$8:$B$45,"*"&amp;$B$77&amp;"*",$C$8:$C$45,C79))</f>
        <v>0</v>
      </c>
      <c r="E79" s="88"/>
      <c r="F79" s="88"/>
      <c r="G79" s="88"/>
      <c r="H79" s="88"/>
      <c r="I79" s="88"/>
      <c r="J79" s="88"/>
      <c r="K79" s="88"/>
      <c r="L79" s="88"/>
      <c r="M79" s="88"/>
      <c r="N79" s="88"/>
      <c r="O79" s="88"/>
      <c r="P79" s="88"/>
      <c r="Q79" s="88"/>
      <c r="R79" s="88"/>
      <c r="S79" s="88"/>
      <c r="T79" s="88"/>
    </row>
    <row r="80" spans="1:20" x14ac:dyDescent="0.35">
      <c r="A80" s="105"/>
      <c r="B80" s="390">
        <f>B52</f>
        <v>0</v>
      </c>
      <c r="C80" s="120" t="s">
        <v>549</v>
      </c>
      <c r="D80" s="120">
        <f>IF($B$80=0,0,COUNTIFS($B$8:$B$45,"*"&amp;$B$80&amp;"*",$C$8:$C$45,C80))</f>
        <v>0</v>
      </c>
      <c r="E80" s="88"/>
      <c r="F80" s="88"/>
      <c r="G80" s="88"/>
      <c r="H80" s="88"/>
      <c r="I80" s="88"/>
      <c r="J80" s="88"/>
      <c r="K80" s="88"/>
      <c r="L80" s="88"/>
      <c r="M80" s="88"/>
      <c r="N80" s="88"/>
      <c r="O80" s="88"/>
      <c r="P80" s="88"/>
      <c r="Q80" s="88"/>
      <c r="R80" s="88"/>
      <c r="S80" s="88"/>
      <c r="T80" s="88"/>
    </row>
    <row r="81" spans="1:20" x14ac:dyDescent="0.35">
      <c r="A81" s="105"/>
      <c r="B81" s="390"/>
      <c r="C81" s="120" t="s">
        <v>583</v>
      </c>
      <c r="D81" s="120">
        <f>IF($B$80=0,0,COUNTIFS($B$8:$B$45,"*"&amp;$B$80&amp;"*",$C$8:$C$45,C81))</f>
        <v>0</v>
      </c>
      <c r="E81" s="88"/>
      <c r="F81" s="88"/>
      <c r="G81" s="88"/>
      <c r="H81" s="88"/>
      <c r="I81" s="88"/>
      <c r="J81" s="88"/>
      <c r="K81" s="88"/>
      <c r="L81" s="88"/>
      <c r="M81" s="88"/>
      <c r="N81" s="88"/>
      <c r="O81" s="88"/>
      <c r="P81" s="88"/>
      <c r="Q81" s="88"/>
      <c r="R81" s="88"/>
      <c r="S81" s="88"/>
      <c r="T81" s="88"/>
    </row>
    <row r="82" spans="1:20" x14ac:dyDescent="0.35">
      <c r="A82" s="105"/>
      <c r="B82" s="390"/>
      <c r="C82" s="120" t="s">
        <v>584</v>
      </c>
      <c r="D82" s="120">
        <f>IF($B$80=0,0,COUNTIFS($B$8:$B$45,"*"&amp;$B$80&amp;"*",$C$8:$C$45,C82))</f>
        <v>0</v>
      </c>
      <c r="E82" s="88"/>
      <c r="F82" s="88"/>
      <c r="G82" s="88"/>
      <c r="H82" s="88"/>
      <c r="I82" s="88"/>
      <c r="J82" s="88"/>
      <c r="K82" s="88"/>
      <c r="L82" s="88"/>
      <c r="M82" s="88"/>
      <c r="N82" s="88"/>
      <c r="O82" s="88"/>
      <c r="P82" s="88"/>
      <c r="Q82" s="88"/>
      <c r="R82" s="88"/>
      <c r="S82" s="88"/>
      <c r="T82" s="88"/>
    </row>
    <row r="83" spans="1:20" x14ac:dyDescent="0.35">
      <c r="A83" s="105"/>
      <c r="B83" s="390">
        <f>B53</f>
        <v>0</v>
      </c>
      <c r="C83" s="120" t="s">
        <v>549</v>
      </c>
      <c r="D83" s="120">
        <f>IF($B$83=0,0,COUNTIFS($B$8:$B$45,"*"&amp;$B$83&amp;"*",$C$8:$C$45,C83))</f>
        <v>0</v>
      </c>
      <c r="E83" s="111"/>
      <c r="F83" s="88"/>
      <c r="G83" s="88"/>
      <c r="H83" s="88"/>
      <c r="I83" s="88"/>
      <c r="J83" s="88"/>
      <c r="K83" s="88"/>
      <c r="L83" s="88"/>
      <c r="M83" s="88"/>
      <c r="N83" s="88"/>
      <c r="O83" s="88"/>
      <c r="P83" s="88"/>
      <c r="Q83" s="88"/>
      <c r="R83" s="88"/>
      <c r="S83" s="88"/>
      <c r="T83" s="88"/>
    </row>
    <row r="84" spans="1:20" x14ac:dyDescent="0.35">
      <c r="A84" s="105"/>
      <c r="B84" s="390"/>
      <c r="C84" s="120" t="s">
        <v>583</v>
      </c>
      <c r="D84" s="120">
        <f>IF($B$83=0,0,COUNTIFS($B$8:$B$45,"*"&amp;$B$83&amp;"*",$C$8:$C$45,C84))</f>
        <v>0</v>
      </c>
      <c r="E84" s="111"/>
      <c r="F84" s="88"/>
      <c r="G84" s="88"/>
      <c r="H84" s="88"/>
      <c r="I84" s="88"/>
      <c r="J84" s="88"/>
      <c r="K84" s="88"/>
      <c r="L84" s="88"/>
      <c r="M84" s="88"/>
      <c r="N84" s="88"/>
      <c r="O84" s="88"/>
      <c r="P84" s="88"/>
      <c r="Q84" s="88"/>
      <c r="R84" s="88"/>
      <c r="S84" s="88"/>
      <c r="T84" s="88"/>
    </row>
    <row r="85" spans="1:20" x14ac:dyDescent="0.35">
      <c r="A85" s="105"/>
      <c r="B85" s="390"/>
      <c r="C85" s="120" t="s">
        <v>584</v>
      </c>
      <c r="D85" s="120">
        <f>IF($B$83=0,0,COUNTIFS($B$8:$B$45,"*"&amp;$B$83&amp;"*",$C$8:$C$45,C85))</f>
        <v>0</v>
      </c>
      <c r="E85" s="111"/>
      <c r="F85" s="88"/>
      <c r="G85" s="88"/>
      <c r="H85" s="88"/>
      <c r="I85" s="88"/>
      <c r="J85" s="88"/>
      <c r="K85" s="88"/>
      <c r="L85" s="88"/>
      <c r="M85" s="88"/>
      <c r="N85" s="88"/>
      <c r="O85" s="88"/>
      <c r="P85" s="88"/>
      <c r="Q85" s="88"/>
      <c r="R85" s="88"/>
      <c r="S85" s="88"/>
      <c r="T85" s="88"/>
    </row>
    <row r="86" spans="1:20" x14ac:dyDescent="0.35">
      <c r="A86" s="105"/>
      <c r="B86" s="390">
        <f>B54</f>
        <v>0</v>
      </c>
      <c r="C86" s="120" t="s">
        <v>549</v>
      </c>
      <c r="D86" s="120">
        <f>IF($B$86=0,0,COUNTIFS($B$8:$B$45,"*"&amp;$B$86&amp;"*",$C$8:$C$45,C86))</f>
        <v>0</v>
      </c>
      <c r="E86" s="111"/>
      <c r="F86" s="88"/>
      <c r="G86" s="88"/>
      <c r="H86" s="88"/>
      <c r="I86" s="88"/>
      <c r="J86" s="88"/>
      <c r="K86" s="88"/>
      <c r="L86" s="88"/>
      <c r="M86" s="88"/>
      <c r="N86" s="88"/>
      <c r="O86" s="88"/>
      <c r="P86" s="88"/>
      <c r="Q86" s="88"/>
      <c r="R86" s="88"/>
      <c r="S86" s="88"/>
      <c r="T86" s="88"/>
    </row>
    <row r="87" spans="1:20" x14ac:dyDescent="0.35">
      <c r="A87" s="105"/>
      <c r="B87" s="390"/>
      <c r="C87" s="120" t="s">
        <v>583</v>
      </c>
      <c r="D87" s="120">
        <f>IF($B$86=0,0,COUNTIFS($B$8:$B$45,"*"&amp;$B$86&amp;"*",$C$8:$C$45,C87))</f>
        <v>0</v>
      </c>
      <c r="E87" s="111"/>
      <c r="F87" s="88"/>
      <c r="G87" s="88"/>
      <c r="H87" s="88"/>
      <c r="I87" s="88"/>
      <c r="J87" s="88"/>
      <c r="K87" s="88"/>
      <c r="L87" s="88"/>
      <c r="M87" s="88"/>
      <c r="N87" s="88"/>
      <c r="O87" s="88"/>
      <c r="P87" s="88"/>
      <c r="Q87" s="88"/>
      <c r="R87" s="88"/>
      <c r="S87" s="88"/>
      <c r="T87" s="88"/>
    </row>
    <row r="88" spans="1:20" x14ac:dyDescent="0.35">
      <c r="A88" s="105"/>
      <c r="B88" s="390"/>
      <c r="C88" s="120" t="s">
        <v>584</v>
      </c>
      <c r="D88" s="120">
        <f>IF($B$86=0,0,COUNTIFS($B$8:$B$45,"*"&amp;$B$86&amp;"*",$C$8:$C$45,C88))</f>
        <v>0</v>
      </c>
      <c r="E88" s="111"/>
      <c r="F88" s="88"/>
      <c r="G88" s="88"/>
      <c r="H88" s="88"/>
      <c r="I88" s="88"/>
      <c r="J88" s="88"/>
      <c r="K88" s="88"/>
      <c r="L88" s="88"/>
      <c r="M88" s="88"/>
      <c r="N88" s="88"/>
      <c r="O88" s="88"/>
      <c r="P88" s="88"/>
      <c r="Q88" s="88"/>
      <c r="R88" s="88"/>
      <c r="S88" s="88"/>
      <c r="T88" s="88"/>
    </row>
    <row r="89" spans="1:20" x14ac:dyDescent="0.35">
      <c r="A89" s="105"/>
      <c r="B89" s="390">
        <f>B55</f>
        <v>0</v>
      </c>
      <c r="C89" s="120" t="s">
        <v>549</v>
      </c>
      <c r="D89" s="120">
        <f>IF($B$89=0,0,COUNTIFS($B$8:$B$45,"*"&amp;$B$89&amp;"*",$C$8:$C$45,C89))</f>
        <v>0</v>
      </c>
      <c r="E89" s="111"/>
      <c r="F89" s="88"/>
      <c r="G89" s="88"/>
      <c r="H89" s="88"/>
      <c r="I89" s="88"/>
      <c r="J89" s="88"/>
      <c r="K89" s="88"/>
      <c r="L89" s="88"/>
      <c r="M89" s="88"/>
      <c r="N89" s="88"/>
      <c r="O89" s="88"/>
      <c r="P89" s="88"/>
      <c r="Q89" s="88"/>
      <c r="R89" s="88"/>
      <c r="S89" s="88"/>
      <c r="T89" s="88"/>
    </row>
    <row r="90" spans="1:20" x14ac:dyDescent="0.35">
      <c r="A90" s="105"/>
      <c r="B90" s="390"/>
      <c r="C90" s="120" t="s">
        <v>583</v>
      </c>
      <c r="D90" s="120">
        <f>IF($B$89=0,0,COUNTIFS($B$8:$B$45,"*"&amp;$B$89&amp;"*",$C$8:$C$45,C90))</f>
        <v>0</v>
      </c>
      <c r="E90" s="111"/>
      <c r="F90" s="88"/>
      <c r="G90" s="88"/>
      <c r="H90" s="88"/>
      <c r="I90" s="88"/>
      <c r="J90" s="88"/>
      <c r="K90" s="88"/>
      <c r="L90" s="88"/>
      <c r="M90" s="88"/>
      <c r="N90" s="88"/>
      <c r="O90" s="88"/>
      <c r="P90" s="88"/>
      <c r="Q90" s="88"/>
      <c r="R90" s="88"/>
      <c r="S90" s="88"/>
      <c r="T90" s="88"/>
    </row>
    <row r="91" spans="1:20" x14ac:dyDescent="0.35">
      <c r="A91" s="105"/>
      <c r="B91" s="390"/>
      <c r="C91" s="120" t="s">
        <v>584</v>
      </c>
      <c r="D91" s="120">
        <f>IF($B$89=0,0,COUNTIFS($B$8:$B$45,"*"&amp;$B$89&amp;"*",$C$8:$C$45,C91))</f>
        <v>0</v>
      </c>
      <c r="E91" s="111"/>
      <c r="F91" s="88"/>
      <c r="G91" s="88"/>
      <c r="H91" s="88"/>
      <c r="I91" s="88"/>
      <c r="J91" s="88"/>
      <c r="K91" s="88"/>
      <c r="L91" s="88"/>
      <c r="M91" s="88"/>
      <c r="N91" s="88"/>
      <c r="O91" s="88"/>
      <c r="P91" s="88"/>
      <c r="Q91" s="88"/>
      <c r="R91" s="88"/>
      <c r="S91" s="88"/>
      <c r="T91" s="88"/>
    </row>
    <row r="92" spans="1:20" x14ac:dyDescent="0.35">
      <c r="A92" s="105"/>
      <c r="B92" s="390">
        <f>B56</f>
        <v>0</v>
      </c>
      <c r="C92" s="120" t="s">
        <v>549</v>
      </c>
      <c r="D92" s="120">
        <f>IF($B$92=0,0,COUNTIFS($B$8:$B$45,"*"&amp;$B$92&amp;"*",$C$8:$C$45,C92))</f>
        <v>0</v>
      </c>
      <c r="E92" s="111"/>
      <c r="F92" s="88"/>
      <c r="G92" s="88"/>
      <c r="H92" s="88"/>
      <c r="I92" s="88"/>
      <c r="J92" s="88"/>
      <c r="K92" s="88"/>
      <c r="L92" s="88"/>
      <c r="M92" s="88"/>
      <c r="N92" s="88"/>
      <c r="O92" s="88"/>
      <c r="P92" s="88"/>
      <c r="Q92" s="88"/>
      <c r="R92" s="88"/>
      <c r="S92" s="88"/>
      <c r="T92" s="88"/>
    </row>
    <row r="93" spans="1:20" x14ac:dyDescent="0.35">
      <c r="A93" s="105"/>
      <c r="B93" s="390"/>
      <c r="C93" s="120" t="s">
        <v>583</v>
      </c>
      <c r="D93" s="120">
        <f>IF($B$92=0,0,COUNTIFS($B$8:$B$45,"*"&amp;$B$92&amp;"*",$C$8:$C$45,C93))</f>
        <v>0</v>
      </c>
      <c r="E93" s="111"/>
      <c r="F93" s="88"/>
      <c r="G93" s="88"/>
      <c r="H93" s="88"/>
      <c r="I93" s="88"/>
      <c r="J93" s="88"/>
      <c r="K93" s="88"/>
      <c r="L93" s="88"/>
      <c r="M93" s="88"/>
      <c r="N93" s="88"/>
      <c r="O93" s="88"/>
      <c r="P93" s="88"/>
      <c r="Q93" s="88"/>
      <c r="R93" s="88"/>
      <c r="S93" s="88"/>
      <c r="T93" s="88"/>
    </row>
    <row r="94" spans="1:20" x14ac:dyDescent="0.35">
      <c r="A94" s="105"/>
      <c r="B94" s="390"/>
      <c r="C94" s="120" t="s">
        <v>584</v>
      </c>
      <c r="D94" s="120">
        <f>IF($B$92=0,0,COUNTIFS($B$8:$B$45,"*"&amp;$B$92&amp;"*",$C$8:$C$45,C94))</f>
        <v>0</v>
      </c>
      <c r="E94" s="111"/>
      <c r="F94" s="88"/>
      <c r="G94" s="88"/>
      <c r="H94" s="88"/>
      <c r="I94" s="88"/>
      <c r="J94" s="88"/>
      <c r="K94" s="88"/>
      <c r="L94" s="88"/>
      <c r="M94" s="88"/>
      <c r="N94" s="88"/>
      <c r="O94" s="88"/>
      <c r="P94" s="88"/>
      <c r="Q94" s="88"/>
      <c r="R94" s="88"/>
      <c r="S94" s="88"/>
      <c r="T94" s="88"/>
    </row>
    <row r="95" spans="1:20" x14ac:dyDescent="0.35">
      <c r="A95" s="105"/>
      <c r="B95" s="390">
        <f>B57</f>
        <v>0</v>
      </c>
      <c r="C95" s="120" t="s">
        <v>549</v>
      </c>
      <c r="D95" s="120">
        <f>IF($B$95=0,0,COUNTIFS($B$8:$B$45,"*"&amp;$B$95&amp;"*",$C$8:$C$45,C95))</f>
        <v>0</v>
      </c>
      <c r="E95" s="111"/>
      <c r="F95" s="88"/>
      <c r="G95" s="88"/>
      <c r="H95" s="88"/>
      <c r="I95" s="88"/>
      <c r="J95" s="88"/>
      <c r="K95" s="88"/>
      <c r="L95" s="88"/>
      <c r="M95" s="88"/>
      <c r="N95" s="88"/>
      <c r="O95" s="88"/>
      <c r="P95" s="88"/>
      <c r="Q95" s="88"/>
      <c r="R95" s="88"/>
      <c r="S95" s="88"/>
      <c r="T95" s="88"/>
    </row>
    <row r="96" spans="1:20" x14ac:dyDescent="0.35">
      <c r="A96" s="105"/>
      <c r="B96" s="390"/>
      <c r="C96" s="120" t="s">
        <v>583</v>
      </c>
      <c r="D96" s="120">
        <f>IF($B$95=0,0,COUNTIFS($B$8:$B$45,"*"&amp;$B$95&amp;"*",$C$8:$C$45,C96))</f>
        <v>0</v>
      </c>
      <c r="E96" s="111"/>
      <c r="F96" s="88"/>
      <c r="G96" s="88"/>
      <c r="H96" s="88"/>
      <c r="I96" s="88"/>
      <c r="J96" s="88"/>
      <c r="K96" s="88"/>
      <c r="L96" s="88"/>
      <c r="M96" s="88"/>
      <c r="N96" s="88"/>
      <c r="O96" s="88"/>
      <c r="P96" s="88"/>
      <c r="Q96" s="88"/>
      <c r="R96" s="88"/>
      <c r="S96" s="88"/>
      <c r="T96" s="88"/>
    </row>
    <row r="97" spans="1:20" x14ac:dyDescent="0.35">
      <c r="A97" s="105"/>
      <c r="B97" s="390"/>
      <c r="C97" s="120" t="s">
        <v>584</v>
      </c>
      <c r="D97" s="120">
        <f>IF($B$95=0,0,COUNTIFS($B$8:$B$45,"*"&amp;$B$95&amp;"*",$C$8:$C$45,C97))</f>
        <v>0</v>
      </c>
      <c r="E97" s="111"/>
      <c r="F97" s="88"/>
      <c r="G97" s="88"/>
      <c r="H97" s="88"/>
      <c r="I97" s="88"/>
      <c r="J97" s="88"/>
      <c r="K97" s="88"/>
      <c r="L97" s="88"/>
      <c r="M97" s="88"/>
      <c r="N97" s="88"/>
      <c r="O97" s="88"/>
      <c r="P97" s="88"/>
      <c r="Q97" s="88"/>
      <c r="R97" s="88"/>
      <c r="S97" s="88"/>
      <c r="T97" s="88"/>
    </row>
    <row r="98" spans="1:20" x14ac:dyDescent="0.35">
      <c r="A98" s="105"/>
      <c r="B98" s="390">
        <f>B58</f>
        <v>0</v>
      </c>
      <c r="C98" s="120" t="s">
        <v>549</v>
      </c>
      <c r="D98" s="120">
        <f>IF($B$98=0,0,COUNTIFS($B$8:$B$45,"*"&amp;$B$98&amp;"*",$C$8:$C$45,C98))</f>
        <v>0</v>
      </c>
      <c r="E98" s="111"/>
      <c r="F98" s="88"/>
      <c r="G98" s="88"/>
      <c r="H98" s="88"/>
      <c r="I98" s="88"/>
      <c r="J98" s="88"/>
      <c r="K98" s="88"/>
      <c r="L98" s="88"/>
      <c r="M98" s="88"/>
      <c r="N98" s="88"/>
      <c r="O98" s="88"/>
      <c r="P98" s="88"/>
      <c r="Q98" s="88"/>
      <c r="R98" s="88"/>
      <c r="S98" s="88"/>
      <c r="T98" s="88"/>
    </row>
    <row r="99" spans="1:20" x14ac:dyDescent="0.35">
      <c r="A99" s="105"/>
      <c r="B99" s="390"/>
      <c r="C99" s="120" t="s">
        <v>583</v>
      </c>
      <c r="D99" s="120">
        <f>IF($B$98=0,0,COUNTIFS($B$8:$B$45,"*"&amp;$B$98&amp;"*",$C$8:$C$45,C99))</f>
        <v>0</v>
      </c>
      <c r="E99" s="111"/>
      <c r="F99" s="88"/>
      <c r="G99" s="88"/>
      <c r="H99" s="88"/>
      <c r="I99" s="88"/>
      <c r="J99" s="88"/>
      <c r="K99" s="88"/>
      <c r="L99" s="88"/>
      <c r="M99" s="88"/>
      <c r="N99" s="88"/>
      <c r="O99" s="88"/>
      <c r="P99" s="88"/>
      <c r="Q99" s="88"/>
      <c r="R99" s="88"/>
      <c r="S99" s="88"/>
      <c r="T99" s="88"/>
    </row>
    <row r="100" spans="1:20" x14ac:dyDescent="0.35">
      <c r="A100" s="105"/>
      <c r="B100" s="390"/>
      <c r="C100" s="120" t="s">
        <v>584</v>
      </c>
      <c r="D100" s="120">
        <f>IF($B$98=0,0,COUNTIFS($B$8:$B$45,"*"&amp;$B$98&amp;"*",$C$8:$C$45,C100))</f>
        <v>0</v>
      </c>
      <c r="E100" s="111"/>
      <c r="F100" s="88"/>
      <c r="G100" s="88"/>
      <c r="H100" s="88"/>
      <c r="I100" s="88"/>
      <c r="J100" s="88"/>
      <c r="K100" s="88"/>
      <c r="L100" s="88"/>
      <c r="M100" s="88"/>
      <c r="N100" s="88"/>
      <c r="O100" s="88"/>
      <c r="P100" s="88"/>
      <c r="Q100" s="88"/>
      <c r="R100" s="88"/>
      <c r="S100" s="88"/>
      <c r="T100" s="88"/>
    </row>
    <row r="101" spans="1:20" x14ac:dyDescent="0.35">
      <c r="A101" s="105"/>
      <c r="B101" s="390">
        <f>B59</f>
        <v>0</v>
      </c>
      <c r="C101" s="120" t="s">
        <v>549</v>
      </c>
      <c r="D101" s="120">
        <f>IF($B$101=0,0,COUNTIFS($B$8:$B$45,"*"&amp;$B$101&amp;"*",$C$8:$C$45,C101))</f>
        <v>0</v>
      </c>
      <c r="E101" s="111"/>
      <c r="F101" s="88"/>
      <c r="G101" s="88"/>
      <c r="H101" s="88"/>
      <c r="I101" s="88"/>
      <c r="J101" s="88"/>
      <c r="K101" s="88"/>
      <c r="L101" s="88"/>
      <c r="M101" s="88"/>
      <c r="N101" s="88"/>
      <c r="O101" s="88"/>
      <c r="P101" s="88"/>
      <c r="Q101" s="88"/>
      <c r="R101" s="88"/>
      <c r="S101" s="88"/>
      <c r="T101" s="88"/>
    </row>
    <row r="102" spans="1:20" x14ac:dyDescent="0.35">
      <c r="A102" s="105"/>
      <c r="B102" s="390"/>
      <c r="C102" s="120" t="s">
        <v>583</v>
      </c>
      <c r="D102" s="120">
        <f>IF($B$101=0,0,COUNTIFS($B$8:$B$45,"*"&amp;$B$101&amp;"*",$C$8:$C$45,C102))</f>
        <v>0</v>
      </c>
      <c r="E102" s="111"/>
      <c r="F102" s="88"/>
      <c r="G102" s="88"/>
      <c r="H102" s="88"/>
      <c r="I102" s="88"/>
      <c r="J102" s="88"/>
      <c r="K102" s="88"/>
      <c r="L102" s="88"/>
      <c r="M102" s="88"/>
      <c r="N102" s="88"/>
      <c r="O102" s="88"/>
      <c r="P102" s="88"/>
      <c r="Q102" s="88"/>
      <c r="R102" s="88"/>
      <c r="S102" s="88"/>
      <c r="T102" s="88"/>
    </row>
    <row r="103" spans="1:20" x14ac:dyDescent="0.35">
      <c r="A103" s="105"/>
      <c r="B103" s="390"/>
      <c r="C103" s="120" t="s">
        <v>584</v>
      </c>
      <c r="D103" s="120">
        <f>IF($B$101=0,0,COUNTIFS($B$8:$B$45,"*"&amp;$B$101&amp;"*",$C$8:$C$45,C103))</f>
        <v>0</v>
      </c>
      <c r="E103" s="111"/>
      <c r="F103" s="88"/>
      <c r="G103" s="88"/>
      <c r="H103" s="88"/>
      <c r="I103" s="88"/>
      <c r="J103" s="88"/>
      <c r="K103" s="88"/>
      <c r="L103" s="88"/>
      <c r="M103" s="88"/>
      <c r="N103" s="88"/>
      <c r="O103" s="88"/>
      <c r="P103" s="88"/>
      <c r="Q103" s="88"/>
      <c r="R103" s="88"/>
      <c r="S103" s="88"/>
      <c r="T103" s="88"/>
    </row>
    <row r="104" spans="1:20" x14ac:dyDescent="0.35">
      <c r="A104" s="105"/>
      <c r="B104" s="390">
        <f>B60</f>
        <v>0</v>
      </c>
      <c r="C104" s="120" t="s">
        <v>549</v>
      </c>
      <c r="D104" s="120">
        <f>IF($B$104=0,0,COUNTIFS($B$8:$B$45,"*"&amp;$B$104&amp;"*",$C$8:$C$45,C104))</f>
        <v>0</v>
      </c>
      <c r="E104" s="111"/>
      <c r="F104" s="88"/>
      <c r="G104" s="88"/>
      <c r="H104" s="88"/>
      <c r="I104" s="88"/>
      <c r="J104" s="88"/>
      <c r="K104" s="88"/>
      <c r="L104" s="88"/>
      <c r="M104" s="88"/>
      <c r="N104" s="88"/>
      <c r="O104" s="88"/>
      <c r="P104" s="88"/>
      <c r="Q104" s="88"/>
      <c r="R104" s="88"/>
      <c r="S104" s="88"/>
      <c r="T104" s="88"/>
    </row>
    <row r="105" spans="1:20" x14ac:dyDescent="0.35">
      <c r="A105" s="105"/>
      <c r="B105" s="390"/>
      <c r="C105" s="120" t="s">
        <v>583</v>
      </c>
      <c r="D105" s="120">
        <f>IF($B$104=0,0,COUNTIFS($B$8:$B$45,"*"&amp;$B$104&amp;"*",$C$8:$C$45,C105))</f>
        <v>0</v>
      </c>
      <c r="E105" s="111"/>
      <c r="F105" s="88"/>
      <c r="G105" s="88"/>
      <c r="H105" s="88"/>
      <c r="I105" s="88"/>
      <c r="J105" s="88"/>
      <c r="K105" s="88"/>
      <c r="L105" s="88"/>
      <c r="M105" s="88"/>
      <c r="N105" s="88"/>
      <c r="O105" s="88"/>
      <c r="P105" s="88"/>
      <c r="Q105" s="88"/>
      <c r="R105" s="88"/>
      <c r="S105" s="88"/>
      <c r="T105" s="88"/>
    </row>
    <row r="106" spans="1:20" x14ac:dyDescent="0.35">
      <c r="A106" s="105"/>
      <c r="B106" s="390"/>
      <c r="C106" s="120" t="s">
        <v>584</v>
      </c>
      <c r="D106" s="120">
        <f>IF($B$104=0,0,COUNTIFS($B$8:$B$45,"*"&amp;$B$104&amp;"*",$C$8:$C$45,C106))</f>
        <v>0</v>
      </c>
      <c r="E106" s="111"/>
      <c r="F106" s="88"/>
      <c r="G106" s="88"/>
      <c r="H106" s="88"/>
      <c r="I106" s="88"/>
      <c r="J106" s="88"/>
      <c r="K106" s="88"/>
      <c r="L106" s="88"/>
      <c r="M106" s="88"/>
      <c r="N106" s="88"/>
      <c r="O106" s="88"/>
      <c r="P106" s="88"/>
      <c r="Q106" s="88"/>
      <c r="R106" s="88"/>
      <c r="S106" s="88"/>
      <c r="T106" s="88"/>
    </row>
    <row r="107" spans="1:20" x14ac:dyDescent="0.35">
      <c r="A107" s="105"/>
      <c r="B107" s="83"/>
      <c r="C107" s="88"/>
      <c r="D107" s="88"/>
      <c r="E107" s="111"/>
      <c r="F107" s="88"/>
      <c r="G107" s="88"/>
      <c r="H107" s="88"/>
      <c r="I107" s="88"/>
      <c r="J107" s="88"/>
      <c r="K107" s="88"/>
      <c r="L107" s="88"/>
      <c r="M107" s="88"/>
      <c r="N107" s="88"/>
      <c r="O107" s="88"/>
      <c r="P107" s="88"/>
      <c r="Q107" s="88"/>
      <c r="R107" s="88"/>
      <c r="S107" s="88"/>
      <c r="T107" s="88"/>
    </row>
    <row r="108" spans="1:20" x14ac:dyDescent="0.35">
      <c r="A108" s="105"/>
      <c r="B108" s="83"/>
      <c r="C108" s="88"/>
      <c r="D108" s="88"/>
      <c r="E108" s="111"/>
      <c r="F108" s="88"/>
      <c r="G108" s="88"/>
      <c r="H108" s="88"/>
      <c r="I108" s="88"/>
      <c r="J108" s="88"/>
      <c r="K108" s="88"/>
      <c r="L108" s="88"/>
      <c r="M108" s="88"/>
      <c r="N108" s="88"/>
      <c r="O108" s="88"/>
      <c r="P108" s="88"/>
      <c r="Q108" s="88"/>
      <c r="R108" s="88"/>
      <c r="S108" s="88"/>
      <c r="T108" s="88"/>
    </row>
    <row r="109" spans="1:20" x14ac:dyDescent="0.35">
      <c r="A109" s="105"/>
      <c r="B109" s="83"/>
      <c r="C109" s="88"/>
      <c r="D109" s="88"/>
      <c r="E109" s="111"/>
      <c r="F109" s="88"/>
      <c r="G109" s="88"/>
      <c r="H109" s="88"/>
      <c r="I109" s="88"/>
      <c r="J109" s="88"/>
      <c r="K109" s="88"/>
      <c r="L109" s="88"/>
      <c r="M109" s="88"/>
      <c r="N109" s="88"/>
      <c r="O109" s="88"/>
      <c r="P109" s="88"/>
      <c r="Q109" s="88"/>
      <c r="R109" s="88"/>
      <c r="S109" s="88"/>
      <c r="T109" s="88"/>
    </row>
  </sheetData>
  <mergeCells count="48">
    <mergeCell ref="C36:F36"/>
    <mergeCell ref="C37:F37"/>
    <mergeCell ref="B1:F1"/>
    <mergeCell ref="H1:S1"/>
    <mergeCell ref="C2:F2"/>
    <mergeCell ref="H2:S2"/>
    <mergeCell ref="H3:S25"/>
    <mergeCell ref="B4:F4"/>
    <mergeCell ref="C6:F6"/>
    <mergeCell ref="C7:F7"/>
    <mergeCell ref="C22:F22"/>
    <mergeCell ref="C23:F23"/>
    <mergeCell ref="C12:F12"/>
    <mergeCell ref="C17:F17"/>
    <mergeCell ref="C26:F26"/>
    <mergeCell ref="C27:F27"/>
    <mergeCell ref="B71:B73"/>
    <mergeCell ref="B74:B76"/>
    <mergeCell ref="C57:F57"/>
    <mergeCell ref="C58:F58"/>
    <mergeCell ref="C59:F59"/>
    <mergeCell ref="B68:B70"/>
    <mergeCell ref="C60:F60"/>
    <mergeCell ref="B62:F62"/>
    <mergeCell ref="B67:D67"/>
    <mergeCell ref="D63:F63"/>
    <mergeCell ref="B104:B106"/>
    <mergeCell ref="B77:B79"/>
    <mergeCell ref="B80:B82"/>
    <mergeCell ref="B83:B85"/>
    <mergeCell ref="B86:B88"/>
    <mergeCell ref="B89:B91"/>
    <mergeCell ref="B92:B94"/>
    <mergeCell ref="B95:B97"/>
    <mergeCell ref="B98:B100"/>
    <mergeCell ref="B101:B103"/>
    <mergeCell ref="C56:F56"/>
    <mergeCell ref="C40:F40"/>
    <mergeCell ref="C41:F41"/>
    <mergeCell ref="B47:F47"/>
    <mergeCell ref="C48:F48"/>
    <mergeCell ref="C49:F49"/>
    <mergeCell ref="C50:F50"/>
    <mergeCell ref="C52:F52"/>
    <mergeCell ref="C53:F53"/>
    <mergeCell ref="C54:F54"/>
    <mergeCell ref="C55:F55"/>
    <mergeCell ref="C51:F51"/>
  </mergeCells>
  <conditionalFormatting sqref="B8 B10">
    <cfRule type="cellIs" dxfId="1370" priority="121" operator="equal">
      <formula>"NR"</formula>
    </cfRule>
    <cfRule type="cellIs" dxfId="1369" priority="122" operator="equal">
      <formula>"NOK"</formula>
    </cfRule>
    <cfRule type="cellIs" dxfId="1368" priority="123" operator="equal">
      <formula>"OK"</formula>
    </cfRule>
  </conditionalFormatting>
  <conditionalFormatting sqref="B40">
    <cfRule type="cellIs" dxfId="1367" priority="115" operator="equal">
      <formula>"NR"</formula>
    </cfRule>
    <cfRule type="cellIs" dxfId="1366" priority="116" operator="equal">
      <formula>"NOK"</formula>
    </cfRule>
    <cfRule type="cellIs" dxfId="1365" priority="117" operator="equal">
      <formula>"OK"</formula>
    </cfRule>
  </conditionalFormatting>
  <conditionalFormatting sqref="B2 B64:B66">
    <cfRule type="cellIs" dxfId="1364" priority="142" operator="equal">
      <formula>"NR"</formula>
    </cfRule>
    <cfRule type="cellIs" dxfId="1363" priority="143" operator="equal">
      <formula>"NOK"</formula>
    </cfRule>
    <cfRule type="cellIs" dxfId="1362" priority="144" operator="equal">
      <formula>"OK"</formula>
    </cfRule>
  </conditionalFormatting>
  <conditionalFormatting sqref="B4">
    <cfRule type="cellIs" dxfId="1361" priority="145" operator="equal">
      <formula>"NR"</formula>
    </cfRule>
    <cfRule type="cellIs" dxfId="1360" priority="146" operator="equal">
      <formula>"NOK"</formula>
    </cfRule>
    <cfRule type="cellIs" dxfId="1359" priority="147" operator="equal">
      <formula>"OK"</formula>
    </cfRule>
  </conditionalFormatting>
  <conditionalFormatting sqref="B3 B46 B5 B62 B107:B1048576">
    <cfRule type="cellIs" dxfId="1358" priority="157" operator="equal">
      <formula>"NR"</formula>
    </cfRule>
    <cfRule type="cellIs" dxfId="1357" priority="158" operator="equal">
      <formula>"NOK"</formula>
    </cfRule>
    <cfRule type="cellIs" dxfId="1356" priority="159" operator="equal">
      <formula>"OK"</formula>
    </cfRule>
  </conditionalFormatting>
  <conditionalFormatting sqref="B1">
    <cfRule type="cellIs" dxfId="1355" priority="154" operator="equal">
      <formula>"NR"</formula>
    </cfRule>
    <cfRule type="cellIs" dxfId="1354" priority="155" operator="equal">
      <formula>"NOK"</formula>
    </cfRule>
    <cfRule type="cellIs" dxfId="1353" priority="156" operator="equal">
      <formula>"OK"</formula>
    </cfRule>
  </conditionalFormatting>
  <conditionalFormatting sqref="B47">
    <cfRule type="cellIs" dxfId="1352" priority="151" operator="equal">
      <formula>"NR"</formula>
    </cfRule>
    <cfRule type="cellIs" dxfId="1351" priority="152" operator="equal">
      <formula>"NOK"</formula>
    </cfRule>
    <cfRule type="cellIs" dxfId="1350" priority="153" operator="equal">
      <formula>"OK"</formula>
    </cfRule>
  </conditionalFormatting>
  <conditionalFormatting sqref="C48:C58 C61">
    <cfRule type="cellIs" dxfId="1349" priority="148" operator="equal">
      <formula>"NR"</formula>
    </cfRule>
    <cfRule type="cellIs" dxfId="1348" priority="149" operator="equal">
      <formula>"NOK"</formula>
    </cfRule>
    <cfRule type="cellIs" dxfId="1347" priority="150" operator="equal">
      <formula>"OK"</formula>
    </cfRule>
  </conditionalFormatting>
  <conditionalFormatting sqref="B6:B7">
    <cfRule type="cellIs" dxfId="1346" priority="139" operator="equal">
      <formula>"NR"</formula>
    </cfRule>
    <cfRule type="cellIs" dxfId="1345" priority="140" operator="equal">
      <formula>"NOK"</formula>
    </cfRule>
    <cfRule type="cellIs" dxfId="1344" priority="141" operator="equal">
      <formula>"OK"</formula>
    </cfRule>
  </conditionalFormatting>
  <conditionalFormatting sqref="C63">
    <cfRule type="cellIs" dxfId="1343" priority="127" operator="equal">
      <formula>"NR"</formula>
    </cfRule>
    <cfRule type="cellIs" dxfId="1342" priority="128" operator="equal">
      <formula>"NOK"</formula>
    </cfRule>
    <cfRule type="cellIs" dxfId="1341" priority="129" operator="equal">
      <formula>"OK"</formula>
    </cfRule>
  </conditionalFormatting>
  <conditionalFormatting sqref="B67:B68 B71 B74 B80 B86 B92 B98 B77 B83 B89 B95 B101">
    <cfRule type="cellIs" dxfId="1340" priority="124" operator="equal">
      <formula>"NR"</formula>
    </cfRule>
    <cfRule type="cellIs" dxfId="1339" priority="125" operator="equal">
      <formula>"NOK"</formula>
    </cfRule>
    <cfRule type="cellIs" dxfId="1338" priority="126" operator="equal">
      <formula>"OK"</formula>
    </cfRule>
  </conditionalFormatting>
  <conditionalFormatting sqref="B63">
    <cfRule type="cellIs" dxfId="1337" priority="130" operator="equal">
      <formula>"NR"</formula>
    </cfRule>
    <cfRule type="cellIs" dxfId="1336" priority="131" operator="equal">
      <formula>"NOK"</formula>
    </cfRule>
    <cfRule type="cellIs" dxfId="1335" priority="132" operator="equal">
      <formula>"OK"</formula>
    </cfRule>
  </conditionalFormatting>
  <conditionalFormatting sqref="C45">
    <cfRule type="cellIs" dxfId="1334" priority="112" operator="equal">
      <formula>"NR"</formula>
    </cfRule>
    <cfRule type="cellIs" dxfId="1333" priority="113" operator="equal">
      <formula>"NOK"</formula>
    </cfRule>
    <cfRule type="cellIs" dxfId="1332" priority="114" operator="equal">
      <formula>"OK"</formula>
    </cfRule>
  </conditionalFormatting>
  <conditionalFormatting sqref="C25">
    <cfRule type="cellIs" dxfId="1331" priority="106" operator="equal">
      <formula>"NR"</formula>
    </cfRule>
    <cfRule type="cellIs" dxfId="1330" priority="107" operator="equal">
      <formula>"NOK"</formula>
    </cfRule>
    <cfRule type="cellIs" dxfId="1329" priority="108" operator="equal">
      <formula>"OK"</formula>
    </cfRule>
  </conditionalFormatting>
  <conditionalFormatting sqref="B22">
    <cfRule type="cellIs" dxfId="1328" priority="109" operator="equal">
      <formula>"NR"</formula>
    </cfRule>
    <cfRule type="cellIs" dxfId="1327" priority="110" operator="equal">
      <formula>"NOK"</formula>
    </cfRule>
    <cfRule type="cellIs" dxfId="1326" priority="111" operator="equal">
      <formula>"OK"</formula>
    </cfRule>
  </conditionalFormatting>
  <conditionalFormatting sqref="B41">
    <cfRule type="cellIs" dxfId="1325" priority="88" operator="equal">
      <formula>"NR"</formula>
    </cfRule>
    <cfRule type="cellIs" dxfId="1324" priority="89" operator="equal">
      <formula>"NOK"</formula>
    </cfRule>
    <cfRule type="cellIs" dxfId="1323" priority="90" operator="equal">
      <formula>"OK"</formula>
    </cfRule>
  </conditionalFormatting>
  <conditionalFormatting sqref="C9">
    <cfRule type="cellIs" dxfId="1322" priority="100" operator="equal">
      <formula>"NR"</formula>
    </cfRule>
    <cfRule type="cellIs" dxfId="1321" priority="101" operator="equal">
      <formula>"NOK"</formula>
    </cfRule>
    <cfRule type="cellIs" dxfId="1320" priority="102" operator="equal">
      <formula>"OK"</formula>
    </cfRule>
  </conditionalFormatting>
  <conditionalFormatting sqref="C60">
    <cfRule type="cellIs" dxfId="1319" priority="82" operator="equal">
      <formula>"NR"</formula>
    </cfRule>
    <cfRule type="cellIs" dxfId="1318" priority="83" operator="equal">
      <formula>"NOK"</formula>
    </cfRule>
    <cfRule type="cellIs" dxfId="1317" priority="84" operator="equal">
      <formula>"OK"</formula>
    </cfRule>
  </conditionalFormatting>
  <conditionalFormatting sqref="B24">
    <cfRule type="cellIs" dxfId="1316" priority="91" operator="equal">
      <formula>"NR"</formula>
    </cfRule>
    <cfRule type="cellIs" dxfId="1315" priority="92" operator="equal">
      <formula>"NOK"</formula>
    </cfRule>
    <cfRule type="cellIs" dxfId="1314" priority="93" operator="equal">
      <formula>"OK"</formula>
    </cfRule>
  </conditionalFormatting>
  <conditionalFormatting sqref="B23">
    <cfRule type="cellIs" dxfId="1313" priority="94" operator="equal">
      <formula>"NR"</formula>
    </cfRule>
    <cfRule type="cellIs" dxfId="1312" priority="95" operator="equal">
      <formula>"NOK"</formula>
    </cfRule>
    <cfRule type="cellIs" dxfId="1311" priority="96" operator="equal">
      <formula>"OK"</formula>
    </cfRule>
  </conditionalFormatting>
  <conditionalFormatting sqref="B44">
    <cfRule type="cellIs" dxfId="1310" priority="85" operator="equal">
      <formula>"NR"</formula>
    </cfRule>
    <cfRule type="cellIs" dxfId="1309" priority="86" operator="equal">
      <formula>"NOK"</formula>
    </cfRule>
    <cfRule type="cellIs" dxfId="1308" priority="87" operator="equal">
      <formula>"OK"</formula>
    </cfRule>
  </conditionalFormatting>
  <conditionalFormatting sqref="C59">
    <cfRule type="cellIs" dxfId="1307" priority="79" operator="equal">
      <formula>"NR"</formula>
    </cfRule>
    <cfRule type="cellIs" dxfId="1306" priority="80" operator="equal">
      <formula>"NOK"</formula>
    </cfRule>
    <cfRule type="cellIs" dxfId="1305" priority="81" operator="equal">
      <formula>"OK"</formula>
    </cfRule>
  </conditionalFormatting>
  <conditionalFormatting sqref="B104">
    <cfRule type="cellIs" dxfId="1304" priority="76" operator="equal">
      <formula>"NR"</formula>
    </cfRule>
    <cfRule type="cellIs" dxfId="1303" priority="77" operator="equal">
      <formula>"NOK"</formula>
    </cfRule>
    <cfRule type="cellIs" dxfId="1302" priority="78" operator="equal">
      <formula>"OK"</formula>
    </cfRule>
  </conditionalFormatting>
  <conditionalFormatting sqref="C11">
    <cfRule type="cellIs" dxfId="1301" priority="73" operator="equal">
      <formula>"NR"</formula>
    </cfRule>
    <cfRule type="cellIs" dxfId="1300" priority="74" operator="equal">
      <formula>"NOK"</formula>
    </cfRule>
    <cfRule type="cellIs" dxfId="1299" priority="75" operator="equal">
      <formula>"OK"</formula>
    </cfRule>
  </conditionalFormatting>
  <conditionalFormatting sqref="B13 B15">
    <cfRule type="cellIs" dxfId="1298" priority="67" operator="equal">
      <formula>"NR"</formula>
    </cfRule>
    <cfRule type="cellIs" dxfId="1297" priority="68" operator="equal">
      <formula>"NOK"</formula>
    </cfRule>
    <cfRule type="cellIs" dxfId="1296" priority="69" operator="equal">
      <formula>"OK"</formula>
    </cfRule>
  </conditionalFormatting>
  <conditionalFormatting sqref="B12">
    <cfRule type="cellIs" dxfId="1295" priority="70" operator="equal">
      <formula>"NR"</formula>
    </cfRule>
    <cfRule type="cellIs" dxfId="1294" priority="71" operator="equal">
      <formula>"NOK"</formula>
    </cfRule>
    <cfRule type="cellIs" dxfId="1293" priority="72" operator="equal">
      <formula>"OK"</formula>
    </cfRule>
  </conditionalFormatting>
  <conditionalFormatting sqref="C14">
    <cfRule type="cellIs" dxfId="1292" priority="64" operator="equal">
      <formula>"NR"</formula>
    </cfRule>
    <cfRule type="cellIs" dxfId="1291" priority="65" operator="equal">
      <formula>"NOK"</formula>
    </cfRule>
    <cfRule type="cellIs" dxfId="1290" priority="66" operator="equal">
      <formula>"OK"</formula>
    </cfRule>
  </conditionalFormatting>
  <conditionalFormatting sqref="C16">
    <cfRule type="cellIs" dxfId="1289" priority="61" operator="equal">
      <formula>"NR"</formula>
    </cfRule>
    <cfRule type="cellIs" dxfId="1288" priority="62" operator="equal">
      <formula>"NOK"</formula>
    </cfRule>
    <cfRule type="cellIs" dxfId="1287" priority="63" operator="equal">
      <formula>"OK"</formula>
    </cfRule>
  </conditionalFormatting>
  <conditionalFormatting sqref="C43">
    <cfRule type="cellIs" dxfId="1286" priority="58" operator="equal">
      <formula>"NR"</formula>
    </cfRule>
    <cfRule type="cellIs" dxfId="1285" priority="59" operator="equal">
      <formula>"NOK"</formula>
    </cfRule>
    <cfRule type="cellIs" dxfId="1284" priority="60" operator="equal">
      <formula>"OK"</formula>
    </cfRule>
  </conditionalFormatting>
  <conditionalFormatting sqref="B42">
    <cfRule type="cellIs" dxfId="1283" priority="55" operator="equal">
      <formula>"NR"</formula>
    </cfRule>
    <cfRule type="cellIs" dxfId="1282" priority="56" operator="equal">
      <formula>"NOK"</formula>
    </cfRule>
    <cfRule type="cellIs" dxfId="1281" priority="57" operator="equal">
      <formula>"OK"</formula>
    </cfRule>
  </conditionalFormatting>
  <conditionalFormatting sqref="B18 B20">
    <cfRule type="cellIs" dxfId="1280" priority="49" operator="equal">
      <formula>"NR"</formula>
    </cfRule>
    <cfRule type="cellIs" dxfId="1279" priority="50" operator="equal">
      <formula>"NOK"</formula>
    </cfRule>
    <cfRule type="cellIs" dxfId="1278" priority="51" operator="equal">
      <formula>"OK"</formula>
    </cfRule>
  </conditionalFormatting>
  <conditionalFormatting sqref="B17">
    <cfRule type="cellIs" dxfId="1277" priority="52" operator="equal">
      <formula>"NR"</formula>
    </cfRule>
    <cfRule type="cellIs" dxfId="1276" priority="53" operator="equal">
      <formula>"NOK"</formula>
    </cfRule>
    <cfRule type="cellIs" dxfId="1275" priority="54" operator="equal">
      <formula>"OK"</formula>
    </cfRule>
  </conditionalFormatting>
  <conditionalFormatting sqref="C19">
    <cfRule type="cellIs" dxfId="1274" priority="46" operator="equal">
      <formula>"NR"</formula>
    </cfRule>
    <cfRule type="cellIs" dxfId="1273" priority="47" operator="equal">
      <formula>"NOK"</formula>
    </cfRule>
    <cfRule type="cellIs" dxfId="1272" priority="48" operator="equal">
      <formula>"OK"</formula>
    </cfRule>
  </conditionalFormatting>
  <conditionalFormatting sqref="C21">
    <cfRule type="cellIs" dxfId="1271" priority="43" operator="equal">
      <formula>"NR"</formula>
    </cfRule>
    <cfRule type="cellIs" dxfId="1270" priority="44" operator="equal">
      <formula>"NOK"</formula>
    </cfRule>
    <cfRule type="cellIs" dxfId="1269" priority="45" operator="equal">
      <formula>"OK"</formula>
    </cfRule>
  </conditionalFormatting>
  <conditionalFormatting sqref="B26">
    <cfRule type="cellIs" dxfId="1268" priority="40" operator="equal">
      <formula>"NR"</formula>
    </cfRule>
    <cfRule type="cellIs" dxfId="1267" priority="41" operator="equal">
      <formula>"NOK"</formula>
    </cfRule>
    <cfRule type="cellIs" dxfId="1266" priority="42" operator="equal">
      <formula>"OK"</formula>
    </cfRule>
  </conditionalFormatting>
  <conditionalFormatting sqref="C33 C35">
    <cfRule type="cellIs" dxfId="1265" priority="37" operator="equal">
      <formula>"NR"</formula>
    </cfRule>
    <cfRule type="cellIs" dxfId="1264" priority="38" operator="equal">
      <formula>"NOK"</formula>
    </cfRule>
    <cfRule type="cellIs" dxfId="1263" priority="39" operator="equal">
      <formula>"OK"</formula>
    </cfRule>
  </conditionalFormatting>
  <conditionalFormatting sqref="B27">
    <cfRule type="cellIs" dxfId="1262" priority="34" operator="equal">
      <formula>"NR"</formula>
    </cfRule>
    <cfRule type="cellIs" dxfId="1261" priority="35" operator="equal">
      <formula>"NOK"</formula>
    </cfRule>
    <cfRule type="cellIs" dxfId="1260" priority="36" operator="equal">
      <formula>"OK"</formula>
    </cfRule>
  </conditionalFormatting>
  <conditionalFormatting sqref="B32">
    <cfRule type="cellIs" dxfId="1259" priority="31" operator="equal">
      <formula>"NR"</formula>
    </cfRule>
    <cfRule type="cellIs" dxfId="1258" priority="32" operator="equal">
      <formula>"NOK"</formula>
    </cfRule>
    <cfRule type="cellIs" dxfId="1257" priority="33" operator="equal">
      <formula>"OK"</formula>
    </cfRule>
  </conditionalFormatting>
  <conditionalFormatting sqref="C29 C31">
    <cfRule type="cellIs" dxfId="1256" priority="28" operator="equal">
      <formula>"NR"</formula>
    </cfRule>
    <cfRule type="cellIs" dxfId="1255" priority="29" operator="equal">
      <formula>"NOK"</formula>
    </cfRule>
    <cfRule type="cellIs" dxfId="1254" priority="30" operator="equal">
      <formula>"OK"</formula>
    </cfRule>
  </conditionalFormatting>
  <conditionalFormatting sqref="B28">
    <cfRule type="cellIs" dxfId="1253" priority="25" operator="equal">
      <formula>"NR"</formula>
    </cfRule>
    <cfRule type="cellIs" dxfId="1252" priority="26" operator="equal">
      <formula>"NOK"</formula>
    </cfRule>
    <cfRule type="cellIs" dxfId="1251" priority="27" operator="equal">
      <formula>"OK"</formula>
    </cfRule>
  </conditionalFormatting>
  <conditionalFormatting sqref="B36">
    <cfRule type="cellIs" dxfId="1250" priority="22" operator="equal">
      <formula>"NR"</formula>
    </cfRule>
    <cfRule type="cellIs" dxfId="1249" priority="23" operator="equal">
      <formula>"NOK"</formula>
    </cfRule>
    <cfRule type="cellIs" dxfId="1248" priority="24" operator="equal">
      <formula>"OK"</formula>
    </cfRule>
  </conditionalFormatting>
  <conditionalFormatting sqref="B37">
    <cfRule type="cellIs" dxfId="1247" priority="16" operator="equal">
      <formula>"NR"</formula>
    </cfRule>
    <cfRule type="cellIs" dxfId="1246" priority="17" operator="equal">
      <formula>"NOK"</formula>
    </cfRule>
    <cfRule type="cellIs" dxfId="1245" priority="18" operator="equal">
      <formula>"OK"</formula>
    </cfRule>
  </conditionalFormatting>
  <conditionalFormatting sqref="C39">
    <cfRule type="cellIs" dxfId="1244" priority="10" operator="equal">
      <formula>"NR"</formula>
    </cfRule>
    <cfRule type="cellIs" dxfId="1243" priority="11" operator="equal">
      <formula>"NOK"</formula>
    </cfRule>
    <cfRule type="cellIs" dxfId="1242" priority="12" operator="equal">
      <formula>"OK"</formula>
    </cfRule>
  </conditionalFormatting>
  <conditionalFormatting sqref="B38">
    <cfRule type="cellIs" dxfId="1241" priority="7" operator="equal">
      <formula>"NR"</formula>
    </cfRule>
    <cfRule type="cellIs" dxfId="1240" priority="8" operator="equal">
      <formula>"NOK"</formula>
    </cfRule>
    <cfRule type="cellIs" dxfId="1239" priority="9" operator="equal">
      <formula>"OK"</formula>
    </cfRule>
  </conditionalFormatting>
  <conditionalFormatting sqref="B30">
    <cfRule type="cellIs" dxfId="1238" priority="4" operator="equal">
      <formula>"NR"</formula>
    </cfRule>
    <cfRule type="cellIs" dxfId="1237" priority="5" operator="equal">
      <formula>"NOK"</formula>
    </cfRule>
    <cfRule type="cellIs" dxfId="1236" priority="6" operator="equal">
      <formula>"OK"</formula>
    </cfRule>
  </conditionalFormatting>
  <conditionalFormatting sqref="B34">
    <cfRule type="cellIs" dxfId="1235" priority="1" operator="equal">
      <formula>"NR"</formula>
    </cfRule>
    <cfRule type="cellIs" dxfId="1234" priority="2" operator="equal">
      <formula>"NOK"</formula>
    </cfRule>
    <cfRule type="cellIs" dxfId="1233" priority="3" operator="equal">
      <formula>"OK"</formula>
    </cfRule>
  </conditionalFormatting>
  <dataValidations count="1">
    <dataValidation type="list" allowBlank="1" showInputMessage="1" showErrorMessage="1" errorTitle="Remplissage Obligatoire" error="OK -&gt; Criteria Validated_x000a_NOK -&gt; Criteria Not Validated_x000a_NR -&gt; Impossiblity to check the criteria_x000a_NA -&gt; Impossiblity to validate the criteria" prompt="NO EMPTY CELLS" sqref="C63 C9 C45 C48:C61 C21 C11 C43 C14 C16 C19 C25 C31 C39 C29 C33 C35" xr:uid="{8C8774CC-5217-4300-9FA8-D7ABD5C6CC2E}">
      <formula1>"OK,NOK,NR,NA"</formula1>
    </dataValidation>
  </dataValidations>
  <pageMargins left="0.7" right="0.7" top="0.75" bottom="0.75" header="0.3" footer="0.3"/>
  <pageSetup paperSize="9" orientation="portrait" verticalDpi="598" r:id="rId1"/>
  <headerFooter>
    <oddFooter>&amp;R&amp;1#&amp;"Arial"&amp;10&amp;K000000Confidential 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C1A27-C30E-41ED-BADD-345FC1CADF0C}">
  <sheetPr codeName="Feuil23"/>
  <dimension ref="A1:T81"/>
  <sheetViews>
    <sheetView zoomScale="99" zoomScaleNormal="90" workbookViewId="0">
      <selection activeCell="E8" sqref="E8"/>
    </sheetView>
  </sheetViews>
  <sheetFormatPr baseColWidth="10" defaultColWidth="9.1796875" defaultRowHeight="14.5" x14ac:dyDescent="0.35"/>
  <cols>
    <col min="1" max="1" width="6.81640625" style="121" customWidth="1"/>
    <col min="2" max="2" width="18.26953125" style="122" customWidth="1"/>
    <col min="3" max="3" width="63.7265625" style="84" customWidth="1"/>
    <col min="4" max="4" width="77.453125" style="84" customWidth="1"/>
    <col min="5" max="5" width="66.26953125" style="123" customWidth="1"/>
    <col min="6" max="6" width="50.1796875" style="84" customWidth="1"/>
    <col min="7" max="7" width="3.54296875" style="84" customWidth="1"/>
    <col min="8" max="16384" width="9.1796875" style="84"/>
  </cols>
  <sheetData>
    <row r="1" spans="1:20" ht="15" thickBot="1" x14ac:dyDescent="0.4">
      <c r="A1" s="82"/>
      <c r="B1" s="394" t="s">
        <v>827</v>
      </c>
      <c r="C1" s="395"/>
      <c r="D1" s="395"/>
      <c r="E1" s="395"/>
      <c r="F1" s="396"/>
      <c r="G1" s="83"/>
      <c r="H1" s="394" t="s">
        <v>535</v>
      </c>
      <c r="I1" s="395"/>
      <c r="J1" s="395"/>
      <c r="K1" s="395"/>
      <c r="L1" s="395"/>
      <c r="M1" s="395"/>
      <c r="N1" s="395"/>
      <c r="O1" s="395"/>
      <c r="P1" s="395"/>
      <c r="Q1" s="395"/>
      <c r="R1" s="395"/>
      <c r="S1" s="396"/>
      <c r="T1" s="83"/>
    </row>
    <row r="2" spans="1:20" ht="24" customHeight="1" thickBot="1" x14ac:dyDescent="0.4">
      <c r="A2" s="82"/>
      <c r="B2" s="85" t="s">
        <v>536</v>
      </c>
      <c r="C2" s="402"/>
      <c r="D2" s="402"/>
      <c r="E2" s="402"/>
      <c r="F2" s="403"/>
      <c r="G2" s="83"/>
      <c r="H2" s="404" t="s">
        <v>537</v>
      </c>
      <c r="I2" s="405"/>
      <c r="J2" s="405"/>
      <c r="K2" s="405"/>
      <c r="L2" s="405"/>
      <c r="M2" s="405"/>
      <c r="N2" s="405"/>
      <c r="O2" s="405"/>
      <c r="P2" s="405"/>
      <c r="Q2" s="405"/>
      <c r="R2" s="405"/>
      <c r="S2" s="406"/>
      <c r="T2" s="83"/>
    </row>
    <row r="3" spans="1:20" ht="15" thickBot="1" x14ac:dyDescent="0.4">
      <c r="A3" s="82"/>
      <c r="B3" s="83"/>
      <c r="C3" s="83"/>
      <c r="D3" s="83"/>
      <c r="E3" s="86"/>
      <c r="F3" s="83"/>
      <c r="G3" s="83"/>
      <c r="H3" s="407"/>
      <c r="I3" s="408"/>
      <c r="J3" s="408"/>
      <c r="K3" s="408"/>
      <c r="L3" s="408"/>
      <c r="M3" s="408"/>
      <c r="N3" s="408"/>
      <c r="O3" s="408"/>
      <c r="P3" s="408"/>
      <c r="Q3" s="408"/>
      <c r="R3" s="408"/>
      <c r="S3" s="409"/>
      <c r="T3" s="83"/>
    </row>
    <row r="4" spans="1:20" x14ac:dyDescent="0.35">
      <c r="A4" s="87"/>
      <c r="B4" s="404" t="s">
        <v>538</v>
      </c>
      <c r="C4" s="405"/>
      <c r="D4" s="405"/>
      <c r="E4" s="405"/>
      <c r="F4" s="406"/>
      <c r="G4" s="88"/>
      <c r="H4" s="410"/>
      <c r="I4" s="411"/>
      <c r="J4" s="411"/>
      <c r="K4" s="411"/>
      <c r="L4" s="411"/>
      <c r="M4" s="411"/>
      <c r="N4" s="411"/>
      <c r="O4" s="411"/>
      <c r="P4" s="411"/>
      <c r="Q4" s="411"/>
      <c r="R4" s="411"/>
      <c r="S4" s="412"/>
      <c r="T4" s="83"/>
    </row>
    <row r="5" spans="1:20" ht="18" customHeight="1" x14ac:dyDescent="0.35">
      <c r="A5" s="87"/>
      <c r="B5" s="89" t="s">
        <v>539</v>
      </c>
      <c r="C5" s="90" t="s">
        <v>540</v>
      </c>
      <c r="D5" s="90" t="s">
        <v>541</v>
      </c>
      <c r="E5" s="90" t="s">
        <v>542</v>
      </c>
      <c r="F5" s="91" t="s">
        <v>57</v>
      </c>
      <c r="G5" s="83"/>
      <c r="H5" s="410"/>
      <c r="I5" s="411"/>
      <c r="J5" s="411"/>
      <c r="K5" s="411"/>
      <c r="L5" s="411"/>
      <c r="M5" s="411"/>
      <c r="N5" s="411"/>
      <c r="O5" s="411"/>
      <c r="P5" s="411"/>
      <c r="Q5" s="411"/>
      <c r="R5" s="411"/>
      <c r="S5" s="412"/>
      <c r="T5" s="83"/>
    </row>
    <row r="6" spans="1:20" s="94" customFormat="1" ht="15.5" x14ac:dyDescent="0.35">
      <c r="A6" s="87"/>
      <c r="B6" s="92" t="s">
        <v>543</v>
      </c>
      <c r="C6" s="413" t="s">
        <v>828</v>
      </c>
      <c r="D6" s="414"/>
      <c r="E6" s="414"/>
      <c r="F6" s="415"/>
      <c r="G6" s="93"/>
      <c r="H6" s="410"/>
      <c r="I6" s="411"/>
      <c r="J6" s="411"/>
      <c r="K6" s="411"/>
      <c r="L6" s="411"/>
      <c r="M6" s="411"/>
      <c r="N6" s="411"/>
      <c r="O6" s="411"/>
      <c r="P6" s="411"/>
      <c r="Q6" s="411"/>
      <c r="R6" s="411"/>
      <c r="S6" s="412"/>
      <c r="T6" s="93"/>
    </row>
    <row r="7" spans="1:20" x14ac:dyDescent="0.35">
      <c r="A7" s="87"/>
      <c r="B7" s="95" t="s">
        <v>545</v>
      </c>
      <c r="C7" s="416" t="s">
        <v>829</v>
      </c>
      <c r="D7" s="417"/>
      <c r="E7" s="417"/>
      <c r="F7" s="418"/>
      <c r="G7" s="83"/>
      <c r="H7" s="410"/>
      <c r="I7" s="411"/>
      <c r="J7" s="411"/>
      <c r="K7" s="411"/>
      <c r="L7" s="411"/>
      <c r="M7" s="411"/>
      <c r="N7" s="411"/>
      <c r="O7" s="411"/>
      <c r="P7" s="411"/>
      <c r="Q7" s="411"/>
      <c r="R7" s="411"/>
      <c r="S7" s="412"/>
      <c r="T7" s="83"/>
    </row>
    <row r="8" spans="1:20" ht="29" x14ac:dyDescent="0.35">
      <c r="A8" s="87"/>
      <c r="B8" s="96" t="s">
        <v>122</v>
      </c>
      <c r="C8" s="97" t="s">
        <v>830</v>
      </c>
      <c r="D8" s="98"/>
      <c r="E8" s="99" t="s">
        <v>831</v>
      </c>
      <c r="F8" s="100"/>
      <c r="G8" s="83"/>
      <c r="H8" s="410"/>
      <c r="I8" s="411"/>
      <c r="J8" s="411"/>
      <c r="K8" s="411"/>
      <c r="L8" s="411"/>
      <c r="M8" s="411"/>
      <c r="N8" s="411"/>
      <c r="O8" s="411"/>
      <c r="P8" s="411"/>
      <c r="Q8" s="411"/>
      <c r="R8" s="411"/>
      <c r="S8" s="412"/>
      <c r="T8" s="83"/>
    </row>
    <row r="9" spans="1:20" x14ac:dyDescent="0.35">
      <c r="A9" s="87"/>
      <c r="B9" s="101" t="s">
        <v>112</v>
      </c>
      <c r="C9" s="129" t="s">
        <v>549</v>
      </c>
      <c r="D9" s="102" t="s">
        <v>832</v>
      </c>
      <c r="E9" s="103" t="s">
        <v>833</v>
      </c>
      <c r="F9" s="104"/>
      <c r="G9" s="83"/>
      <c r="H9" s="410"/>
      <c r="I9" s="411"/>
      <c r="J9" s="411"/>
      <c r="K9" s="411"/>
      <c r="L9" s="411"/>
      <c r="M9" s="411"/>
      <c r="N9" s="411"/>
      <c r="O9" s="411"/>
      <c r="P9" s="411"/>
      <c r="Q9" s="411"/>
      <c r="R9" s="411"/>
      <c r="S9" s="412"/>
      <c r="T9" s="83"/>
    </row>
    <row r="10" spans="1:20" x14ac:dyDescent="0.35">
      <c r="A10" s="87"/>
      <c r="B10" s="96" t="s">
        <v>552</v>
      </c>
      <c r="C10" s="97" t="s">
        <v>834</v>
      </c>
      <c r="D10" s="98"/>
      <c r="E10" s="98"/>
      <c r="F10" s="100"/>
      <c r="G10" s="83"/>
      <c r="H10" s="410"/>
      <c r="I10" s="411"/>
      <c r="J10" s="411"/>
      <c r="K10" s="411"/>
      <c r="L10" s="411"/>
      <c r="M10" s="411"/>
      <c r="N10" s="411"/>
      <c r="O10" s="411"/>
      <c r="P10" s="411"/>
      <c r="Q10" s="411"/>
      <c r="R10" s="411"/>
      <c r="S10" s="412"/>
      <c r="T10" s="83"/>
    </row>
    <row r="11" spans="1:20" x14ac:dyDescent="0.35">
      <c r="A11" s="87"/>
      <c r="B11" s="101" t="s">
        <v>112</v>
      </c>
      <c r="C11" s="129" t="s">
        <v>549</v>
      </c>
      <c r="D11" s="102" t="s">
        <v>835</v>
      </c>
      <c r="E11" s="103"/>
      <c r="F11" s="104"/>
      <c r="G11" s="83"/>
      <c r="H11" s="410"/>
      <c r="I11" s="411"/>
      <c r="J11" s="411"/>
      <c r="K11" s="411"/>
      <c r="L11" s="411"/>
      <c r="M11" s="411"/>
      <c r="N11" s="411"/>
      <c r="O11" s="411"/>
      <c r="P11" s="411"/>
      <c r="Q11" s="411"/>
      <c r="R11" s="411"/>
      <c r="S11" s="412"/>
      <c r="T11" s="83"/>
    </row>
    <row r="12" spans="1:20" ht="15.5" x14ac:dyDescent="0.35">
      <c r="A12" s="87"/>
      <c r="B12" s="92" t="s">
        <v>565</v>
      </c>
      <c r="C12" s="413" t="s">
        <v>836</v>
      </c>
      <c r="D12" s="414"/>
      <c r="E12" s="414"/>
      <c r="F12" s="415"/>
      <c r="G12" s="83"/>
      <c r="H12" s="410"/>
      <c r="I12" s="411"/>
      <c r="J12" s="411"/>
      <c r="K12" s="411"/>
      <c r="L12" s="411"/>
      <c r="M12" s="411"/>
      <c r="N12" s="411"/>
      <c r="O12" s="411"/>
      <c r="P12" s="411"/>
      <c r="Q12" s="411"/>
      <c r="R12" s="411"/>
      <c r="S12" s="412"/>
      <c r="T12" s="83"/>
    </row>
    <row r="13" spans="1:20" x14ac:dyDescent="0.35">
      <c r="A13" s="87"/>
      <c r="B13" s="95" t="s">
        <v>545</v>
      </c>
      <c r="C13" s="416" t="s">
        <v>829</v>
      </c>
      <c r="D13" s="417"/>
      <c r="E13" s="417"/>
      <c r="F13" s="418"/>
      <c r="G13" s="83"/>
      <c r="H13" s="410"/>
      <c r="I13" s="411"/>
      <c r="J13" s="411"/>
      <c r="K13" s="411"/>
      <c r="L13" s="411"/>
      <c r="M13" s="411"/>
      <c r="N13" s="411"/>
      <c r="O13" s="411"/>
      <c r="P13" s="411"/>
      <c r="Q13" s="411"/>
      <c r="R13" s="411"/>
      <c r="S13" s="412"/>
      <c r="T13" s="83"/>
    </row>
    <row r="14" spans="1:20" ht="29" x14ac:dyDescent="0.35">
      <c r="A14" s="87"/>
      <c r="B14" s="96" t="s">
        <v>568</v>
      </c>
      <c r="C14" s="97" t="s">
        <v>830</v>
      </c>
      <c r="D14" s="98"/>
      <c r="E14" s="99" t="s">
        <v>831</v>
      </c>
      <c r="F14" s="100"/>
      <c r="G14" s="83"/>
      <c r="H14" s="410"/>
      <c r="I14" s="411"/>
      <c r="J14" s="411"/>
      <c r="K14" s="411"/>
      <c r="L14" s="411"/>
      <c r="M14" s="411"/>
      <c r="N14" s="411"/>
      <c r="O14" s="411"/>
      <c r="P14" s="411"/>
      <c r="Q14" s="411"/>
      <c r="R14" s="411"/>
      <c r="S14" s="412"/>
      <c r="T14" s="83"/>
    </row>
    <row r="15" spans="1:20" x14ac:dyDescent="0.35">
      <c r="A15" s="105"/>
      <c r="B15" s="101" t="s">
        <v>112</v>
      </c>
      <c r="C15" s="129" t="s">
        <v>549</v>
      </c>
      <c r="D15" s="102" t="s">
        <v>832</v>
      </c>
      <c r="E15" s="103" t="s">
        <v>833</v>
      </c>
      <c r="F15" s="104"/>
      <c r="G15" s="88"/>
      <c r="H15" s="410"/>
      <c r="I15" s="411"/>
      <c r="J15" s="411"/>
      <c r="K15" s="411"/>
      <c r="L15" s="411"/>
      <c r="M15" s="411"/>
      <c r="N15" s="411"/>
      <c r="O15" s="411"/>
      <c r="P15" s="411"/>
      <c r="Q15" s="411"/>
      <c r="R15" s="411"/>
      <c r="S15" s="412"/>
      <c r="T15" s="83"/>
    </row>
    <row r="16" spans="1:20" x14ac:dyDescent="0.35">
      <c r="A16" s="105"/>
      <c r="B16" s="96" t="s">
        <v>571</v>
      </c>
      <c r="C16" s="97" t="s">
        <v>803</v>
      </c>
      <c r="D16" s="98"/>
      <c r="E16" s="98"/>
      <c r="F16" s="100"/>
      <c r="G16" s="88"/>
      <c r="H16" s="88"/>
      <c r="I16" s="88"/>
      <c r="J16" s="88"/>
      <c r="K16" s="88"/>
      <c r="L16" s="88"/>
      <c r="M16" s="88"/>
      <c r="N16" s="88"/>
      <c r="O16" s="88"/>
      <c r="P16" s="88"/>
      <c r="Q16" s="88"/>
      <c r="R16" s="88"/>
      <c r="S16" s="88"/>
      <c r="T16" s="88"/>
    </row>
    <row r="17" spans="1:20" ht="15" thickBot="1" x14ac:dyDescent="0.4">
      <c r="A17" s="105"/>
      <c r="B17" s="106" t="s">
        <v>112</v>
      </c>
      <c r="C17" s="107" t="s">
        <v>549</v>
      </c>
      <c r="D17" s="108" t="s">
        <v>835</v>
      </c>
      <c r="E17" s="109"/>
      <c r="F17" s="110"/>
      <c r="G17" s="88"/>
      <c r="H17" s="88"/>
      <c r="I17" s="88"/>
      <c r="J17" s="88"/>
      <c r="K17" s="88"/>
      <c r="L17" s="88"/>
      <c r="M17" s="88"/>
      <c r="N17" s="88"/>
      <c r="O17" s="88"/>
      <c r="P17" s="88"/>
      <c r="Q17" s="88"/>
      <c r="R17" s="88"/>
      <c r="S17" s="88"/>
      <c r="T17" s="88"/>
    </row>
    <row r="18" spans="1:20" ht="15" thickBot="1" x14ac:dyDescent="0.4">
      <c r="A18" s="105"/>
      <c r="B18" s="83"/>
      <c r="C18" s="88"/>
      <c r="D18" s="88"/>
      <c r="E18" s="111"/>
      <c r="F18" s="88"/>
      <c r="G18" s="88"/>
      <c r="H18" s="88"/>
      <c r="I18" s="88"/>
      <c r="J18" s="88"/>
      <c r="K18" s="88"/>
      <c r="L18" s="88"/>
      <c r="M18" s="88"/>
      <c r="N18" s="88"/>
      <c r="O18" s="88"/>
      <c r="P18" s="88"/>
      <c r="Q18" s="88"/>
      <c r="R18" s="88"/>
      <c r="S18" s="88"/>
      <c r="T18" s="88"/>
    </row>
    <row r="19" spans="1:20" ht="15" thickBot="1" x14ac:dyDescent="0.4">
      <c r="A19" s="105"/>
      <c r="B19" s="404" t="s">
        <v>579</v>
      </c>
      <c r="C19" s="405"/>
      <c r="D19" s="405"/>
      <c r="E19" s="405"/>
      <c r="F19" s="406"/>
      <c r="G19" s="88"/>
      <c r="H19" s="88"/>
      <c r="I19" s="88"/>
      <c r="J19" s="88"/>
      <c r="K19" s="88"/>
      <c r="L19" s="88"/>
      <c r="M19" s="88"/>
      <c r="N19" s="88"/>
      <c r="O19" s="88"/>
      <c r="P19" s="88"/>
      <c r="Q19" s="88"/>
      <c r="R19" s="88"/>
      <c r="S19" s="88"/>
      <c r="T19" s="88"/>
    </row>
    <row r="20" spans="1:20" x14ac:dyDescent="0.35">
      <c r="A20" s="105"/>
      <c r="B20" s="239" t="s">
        <v>112</v>
      </c>
      <c r="C20" s="419" t="str">
        <f>IF(AND(D40=0,D41=0,D42=0),"NA",IF(AND(D40&gt;0,D41=0),"NR",IF(D41&gt;0,"NOK","OK")))</f>
        <v>NR</v>
      </c>
      <c r="D20" s="419"/>
      <c r="E20" s="419"/>
      <c r="F20" s="420"/>
      <c r="G20" s="88"/>
      <c r="H20" s="88"/>
      <c r="I20" s="88"/>
      <c r="J20" s="88"/>
      <c r="K20" s="88"/>
      <c r="L20" s="88"/>
      <c r="M20" s="88"/>
      <c r="N20" s="88"/>
      <c r="O20" s="88"/>
      <c r="P20" s="88"/>
      <c r="Q20" s="88"/>
      <c r="R20" s="88"/>
      <c r="S20" s="88"/>
      <c r="T20" s="88"/>
    </row>
    <row r="21" spans="1:20" x14ac:dyDescent="0.35">
      <c r="A21" s="105"/>
      <c r="B21" s="113"/>
      <c r="C21" s="392" t="str">
        <f>IF(AND(D43=0,D44=0,D45=0),"NA",IF(AND(D43&gt;0,D44=0),"NR",IF(D44&gt;0,"NOK","OK")))</f>
        <v>NA</v>
      </c>
      <c r="D21" s="392"/>
      <c r="E21" s="392"/>
      <c r="F21" s="393"/>
      <c r="G21" s="88"/>
      <c r="H21" s="88"/>
      <c r="I21" s="88"/>
      <c r="J21" s="88"/>
      <c r="K21" s="88"/>
      <c r="L21" s="88"/>
      <c r="M21" s="88"/>
      <c r="N21" s="88"/>
      <c r="O21" s="88"/>
      <c r="P21" s="88"/>
      <c r="Q21" s="88"/>
      <c r="R21" s="88"/>
      <c r="S21" s="88"/>
      <c r="T21" s="88"/>
    </row>
    <row r="22" spans="1:20" x14ac:dyDescent="0.35">
      <c r="A22" s="105"/>
      <c r="B22" s="113"/>
      <c r="C22" s="392" t="str">
        <f>IF(AND(D46=0,D47=0,D48=0),"NA",IF(AND(D46&gt;0,D47=0),"NR",IF(D47&gt;0,"NOK","OK")))</f>
        <v>NA</v>
      </c>
      <c r="D22" s="392"/>
      <c r="E22" s="392"/>
      <c r="F22" s="393"/>
      <c r="G22" s="88"/>
      <c r="H22" s="88"/>
      <c r="I22" s="88"/>
      <c r="J22" s="88"/>
      <c r="K22" s="88"/>
      <c r="L22" s="88"/>
      <c r="M22" s="88"/>
      <c r="N22" s="88"/>
      <c r="O22" s="88"/>
      <c r="P22" s="88"/>
      <c r="Q22" s="88"/>
      <c r="R22" s="88"/>
      <c r="S22" s="88"/>
      <c r="T22" s="88"/>
    </row>
    <row r="23" spans="1:20" x14ac:dyDescent="0.35">
      <c r="A23" s="105"/>
      <c r="B23" s="113"/>
      <c r="C23" s="392" t="str">
        <f>IF(AND(D49=0,D50=0,D51=0),"NA",IF(AND(D49&gt;0,D50=0),"NR",IF(D50&gt;0,"NOK","OK")))</f>
        <v>NA</v>
      </c>
      <c r="D23" s="392"/>
      <c r="E23" s="392"/>
      <c r="F23" s="393"/>
      <c r="G23" s="88"/>
      <c r="H23" s="88"/>
      <c r="I23" s="88"/>
      <c r="J23" s="88"/>
      <c r="K23" s="88"/>
      <c r="L23" s="88"/>
      <c r="M23" s="88"/>
      <c r="N23" s="88"/>
      <c r="O23" s="88"/>
      <c r="P23" s="88"/>
      <c r="Q23" s="88"/>
      <c r="R23" s="88"/>
      <c r="S23" s="88"/>
      <c r="T23" s="88"/>
    </row>
    <row r="24" spans="1:20" x14ac:dyDescent="0.35">
      <c r="A24" s="105"/>
      <c r="B24" s="113"/>
      <c r="C24" s="392" t="str">
        <f>IF(AND(D52=0,D53=0,D54=0),"NA",IF(AND(D52&gt;0,D53=0),"NR",IF(D53&gt;0,"NOK","OK")))</f>
        <v>NA</v>
      </c>
      <c r="D24" s="392"/>
      <c r="E24" s="392"/>
      <c r="F24" s="393"/>
      <c r="G24" s="88"/>
      <c r="H24" s="88"/>
      <c r="I24" s="88"/>
      <c r="J24" s="88"/>
      <c r="K24" s="88"/>
      <c r="L24" s="88"/>
      <c r="M24" s="88"/>
      <c r="N24" s="88"/>
      <c r="O24" s="88"/>
      <c r="P24" s="88"/>
      <c r="Q24" s="88"/>
      <c r="R24" s="88"/>
      <c r="S24" s="88"/>
      <c r="T24" s="88"/>
    </row>
    <row r="25" spans="1:20" x14ac:dyDescent="0.35">
      <c r="A25" s="105"/>
      <c r="B25" s="113"/>
      <c r="C25" s="392" t="str">
        <f>IF(AND(D55=0,D56=0,D57=0),"NA",IF(AND(D55&gt;0,D56=0),"NR",IF(D56&gt;0,"NOK","OK")))</f>
        <v>NA</v>
      </c>
      <c r="D25" s="392"/>
      <c r="E25" s="392"/>
      <c r="F25" s="393"/>
      <c r="G25" s="88"/>
      <c r="H25" s="88"/>
      <c r="I25" s="88"/>
      <c r="J25" s="88"/>
      <c r="K25" s="88"/>
      <c r="L25" s="88"/>
      <c r="M25" s="88"/>
      <c r="N25" s="88"/>
      <c r="O25" s="88"/>
      <c r="P25" s="88"/>
      <c r="Q25" s="88"/>
      <c r="R25" s="88"/>
      <c r="S25" s="88"/>
      <c r="T25" s="88"/>
    </row>
    <row r="26" spans="1:20" x14ac:dyDescent="0.35">
      <c r="A26" s="105"/>
      <c r="B26" s="113"/>
      <c r="C26" s="392" t="str">
        <f>IF(AND(D58=0,D59=0,D60=0),"NA",IF(AND(D58&gt;0,D59=0),"NR",IF(D59&gt;0,"NOK","OK")))</f>
        <v>NA</v>
      </c>
      <c r="D26" s="392"/>
      <c r="E26" s="392"/>
      <c r="F26" s="393"/>
      <c r="G26" s="88"/>
      <c r="H26" s="88"/>
      <c r="I26" s="88"/>
      <c r="J26" s="88"/>
      <c r="K26" s="88"/>
      <c r="L26" s="88"/>
      <c r="M26" s="88"/>
      <c r="N26" s="88"/>
      <c r="O26" s="88"/>
      <c r="P26" s="88"/>
      <c r="Q26" s="88"/>
      <c r="R26" s="88"/>
      <c r="S26" s="88"/>
      <c r="T26" s="88"/>
    </row>
    <row r="27" spans="1:20" x14ac:dyDescent="0.35">
      <c r="A27" s="105"/>
      <c r="B27" s="113"/>
      <c r="C27" s="392" t="str">
        <f>IF(AND(D61=0,D62=0,D63=0),"NA",IF(AND(D61&gt;0,D62=0),"NR",IF(D62&gt;0,"NOK","OK")))</f>
        <v>NA</v>
      </c>
      <c r="D27" s="392"/>
      <c r="E27" s="392"/>
      <c r="F27" s="393"/>
      <c r="G27" s="88"/>
      <c r="H27" s="88"/>
      <c r="I27" s="88"/>
      <c r="J27" s="88"/>
      <c r="K27" s="88"/>
      <c r="L27" s="88"/>
      <c r="M27" s="88"/>
      <c r="N27" s="88"/>
      <c r="O27" s="88"/>
      <c r="P27" s="88"/>
      <c r="Q27" s="88"/>
      <c r="R27" s="88"/>
      <c r="S27" s="88"/>
      <c r="T27" s="88"/>
    </row>
    <row r="28" spans="1:20" x14ac:dyDescent="0.35">
      <c r="A28" s="105"/>
      <c r="B28" s="113"/>
      <c r="C28" s="392" t="str">
        <f>IF(AND(D64=0,D65=0,D66=0),"NA",IF(AND(D64&gt;0,D65=0),"NR",IF(D65&gt;0,"NOK","OK")))</f>
        <v>NA</v>
      </c>
      <c r="D28" s="392"/>
      <c r="E28" s="392"/>
      <c r="F28" s="393"/>
      <c r="G28" s="88"/>
      <c r="H28" s="88"/>
      <c r="I28" s="88"/>
      <c r="J28" s="88"/>
      <c r="K28" s="88"/>
      <c r="L28" s="88"/>
      <c r="M28" s="88"/>
      <c r="N28" s="88"/>
      <c r="O28" s="88"/>
      <c r="P28" s="88"/>
      <c r="Q28" s="88"/>
      <c r="R28" s="88"/>
      <c r="S28" s="88"/>
      <c r="T28" s="88"/>
    </row>
    <row r="29" spans="1:20" x14ac:dyDescent="0.35">
      <c r="A29" s="105"/>
      <c r="B29" s="113"/>
      <c r="C29" s="392" t="str">
        <f>IF(AND(D67=0,D68=0,D69=0),"NA",IF(AND(D67&gt;0,D68=0),"NR",IF(D68&gt;0,"NOK","OK")))</f>
        <v>NA</v>
      </c>
      <c r="D29" s="392"/>
      <c r="E29" s="392"/>
      <c r="F29" s="393"/>
      <c r="G29" s="88"/>
      <c r="H29" s="88"/>
      <c r="I29" s="88"/>
      <c r="J29" s="88"/>
      <c r="K29" s="88"/>
      <c r="L29" s="88"/>
      <c r="M29" s="88"/>
      <c r="N29" s="88"/>
      <c r="O29" s="88"/>
      <c r="P29" s="88"/>
      <c r="Q29" s="88"/>
      <c r="R29" s="88"/>
      <c r="S29" s="88"/>
      <c r="T29" s="88"/>
    </row>
    <row r="30" spans="1:20" x14ac:dyDescent="0.35">
      <c r="A30" s="105"/>
      <c r="B30" s="113"/>
      <c r="C30" s="392" t="str">
        <f>IF(AND(D70=0,D71=0,D72=0),"NA",IF(AND(D70&gt;0,D71=0),"NR",IF(D71&gt;0,"NOK","OK")))</f>
        <v>NA</v>
      </c>
      <c r="D30" s="392"/>
      <c r="E30" s="392"/>
      <c r="F30" s="393"/>
      <c r="G30" s="88"/>
      <c r="H30" s="88"/>
      <c r="I30" s="88"/>
      <c r="J30" s="88"/>
      <c r="K30" s="88"/>
      <c r="L30" s="88"/>
      <c r="M30" s="88"/>
      <c r="N30" s="88"/>
      <c r="O30" s="88"/>
      <c r="P30" s="88"/>
      <c r="Q30" s="88"/>
      <c r="R30" s="88"/>
      <c r="S30" s="88"/>
      <c r="T30" s="88"/>
    </row>
    <row r="31" spans="1:20" x14ac:dyDescent="0.35">
      <c r="A31" s="105"/>
      <c r="B31" s="113"/>
      <c r="C31" s="392" t="str">
        <f>IF(AND(D73=0,D74=0,D75=0),"NA",IF(AND(D73&gt;0,D74=0),"NR",IF(D74&gt;0,"NOK","OK")))</f>
        <v>NA</v>
      </c>
      <c r="D31" s="392"/>
      <c r="E31" s="392"/>
      <c r="F31" s="393"/>
      <c r="G31" s="88"/>
      <c r="H31" s="88"/>
      <c r="I31" s="88"/>
      <c r="J31" s="88"/>
      <c r="K31" s="88"/>
      <c r="L31" s="88"/>
      <c r="M31" s="88"/>
      <c r="N31" s="88"/>
      <c r="O31" s="88"/>
      <c r="P31" s="88"/>
      <c r="Q31" s="88"/>
      <c r="R31" s="88"/>
      <c r="S31" s="88"/>
      <c r="T31" s="88"/>
    </row>
    <row r="32" spans="1:20" ht="15" thickBot="1" x14ac:dyDescent="0.4">
      <c r="A32" s="105"/>
      <c r="B32" s="114"/>
      <c r="C32" s="400" t="str">
        <f>IF(AND(D76=0,D77=0,D78=0),"NA",IF(AND(D76&gt;0,D77=0),"NR",IF(D77&gt;0,"NOK","OK")))</f>
        <v>NA</v>
      </c>
      <c r="D32" s="400"/>
      <c r="E32" s="400"/>
      <c r="F32" s="401"/>
      <c r="G32" s="88"/>
      <c r="H32" s="88"/>
      <c r="I32" s="88"/>
      <c r="J32" s="88"/>
      <c r="K32" s="88"/>
      <c r="L32" s="88"/>
      <c r="M32" s="88"/>
      <c r="N32" s="88"/>
      <c r="O32" s="88"/>
      <c r="P32" s="88"/>
      <c r="Q32" s="88"/>
      <c r="R32" s="88"/>
      <c r="S32" s="88"/>
      <c r="T32" s="88"/>
    </row>
    <row r="33" spans="1:20" ht="15" thickBot="1" x14ac:dyDescent="0.4">
      <c r="A33" s="105"/>
      <c r="B33" s="115"/>
      <c r="C33" s="116"/>
      <c r="D33" s="116"/>
      <c r="E33" s="117"/>
      <c r="F33" s="116"/>
      <c r="G33" s="88"/>
      <c r="H33" s="88"/>
      <c r="I33" s="88"/>
      <c r="J33" s="88"/>
      <c r="K33" s="88"/>
      <c r="L33" s="88"/>
      <c r="M33" s="88"/>
      <c r="N33" s="88"/>
      <c r="O33" s="88"/>
      <c r="P33" s="88"/>
      <c r="Q33" s="88"/>
      <c r="R33" s="88"/>
      <c r="S33" s="88"/>
      <c r="T33" s="88"/>
    </row>
    <row r="34" spans="1:20" ht="15" thickBot="1" x14ac:dyDescent="0.4">
      <c r="A34" s="105"/>
      <c r="B34" s="394" t="s">
        <v>580</v>
      </c>
      <c r="C34" s="395"/>
      <c r="D34" s="395"/>
      <c r="E34" s="395"/>
      <c r="F34" s="396"/>
      <c r="G34" s="88"/>
      <c r="H34" s="88"/>
      <c r="I34" s="88"/>
      <c r="J34" s="88"/>
      <c r="K34" s="88"/>
      <c r="L34" s="88"/>
      <c r="M34" s="88"/>
      <c r="N34" s="88"/>
      <c r="O34" s="88"/>
      <c r="P34" s="88"/>
      <c r="Q34" s="88"/>
      <c r="R34" s="88"/>
      <c r="S34" s="88"/>
      <c r="T34" s="88"/>
    </row>
    <row r="35" spans="1:20" ht="31.5" thickBot="1" x14ac:dyDescent="0.4">
      <c r="A35" s="105"/>
      <c r="B35" s="118" t="s">
        <v>837</v>
      </c>
      <c r="C35" s="119" t="str">
        <f>IF(AND(COUNTIF(C20:C31,"NOK")=0,COUNTIF(C20:C31,"OK")=0,COUNTIF(C20:C31,"NR")=0),"NA",IF(AND(COUNTIF(C20:C31,"NR")&gt;0,COUNTIF(C20:C31,"NOK")=0),"NR",IF(COUNTIF(C20:C31,"NOK")&gt;0,"NOK","OK")))</f>
        <v>NR</v>
      </c>
      <c r="D35" s="397" t="s">
        <v>57</v>
      </c>
      <c r="E35" s="398"/>
      <c r="F35" s="399"/>
      <c r="G35" s="88"/>
      <c r="H35" s="88"/>
      <c r="I35" s="88"/>
      <c r="J35" s="88"/>
      <c r="K35" s="88"/>
      <c r="L35" s="88"/>
      <c r="M35" s="88"/>
      <c r="N35" s="88"/>
      <c r="O35" s="88"/>
      <c r="P35" s="88"/>
      <c r="Q35" s="88"/>
      <c r="R35" s="88"/>
      <c r="S35" s="88"/>
      <c r="T35" s="88"/>
    </row>
    <row r="36" spans="1:20" x14ac:dyDescent="0.35">
      <c r="A36" s="105"/>
      <c r="B36" s="83"/>
      <c r="C36" s="88"/>
      <c r="D36" s="88"/>
      <c r="E36" s="111"/>
      <c r="F36" s="88"/>
      <c r="G36" s="88"/>
      <c r="H36" s="88"/>
      <c r="I36" s="88"/>
      <c r="J36" s="88"/>
      <c r="K36" s="88"/>
      <c r="L36" s="88"/>
      <c r="M36" s="88"/>
      <c r="N36" s="88"/>
      <c r="O36" s="88"/>
      <c r="P36" s="88"/>
      <c r="Q36" s="88"/>
      <c r="R36" s="88"/>
      <c r="S36" s="88"/>
      <c r="T36" s="88"/>
    </row>
    <row r="37" spans="1:20" x14ac:dyDescent="0.35">
      <c r="A37" s="105"/>
      <c r="B37" s="83"/>
      <c r="C37" s="88"/>
      <c r="D37" s="88"/>
      <c r="E37" s="111"/>
      <c r="F37" s="88"/>
      <c r="G37" s="88"/>
      <c r="H37" s="88"/>
      <c r="I37" s="88"/>
      <c r="J37" s="88"/>
      <c r="K37" s="88"/>
      <c r="L37" s="88"/>
      <c r="M37" s="88"/>
      <c r="N37" s="88"/>
      <c r="O37" s="88"/>
      <c r="P37" s="88"/>
      <c r="Q37" s="88"/>
      <c r="R37" s="88"/>
      <c r="S37" s="88"/>
      <c r="T37" s="88"/>
    </row>
    <row r="38" spans="1:20" x14ac:dyDescent="0.35">
      <c r="A38" s="105"/>
      <c r="B38" s="83"/>
      <c r="C38" s="88"/>
      <c r="D38" s="88"/>
      <c r="E38" s="111"/>
      <c r="F38" s="88"/>
      <c r="G38" s="88"/>
      <c r="H38" s="88"/>
      <c r="I38" s="88"/>
      <c r="J38" s="88"/>
      <c r="K38" s="88"/>
      <c r="L38" s="88"/>
      <c r="M38" s="88"/>
      <c r="N38" s="88"/>
      <c r="O38" s="88"/>
      <c r="P38" s="88"/>
      <c r="Q38" s="88"/>
      <c r="R38" s="88"/>
      <c r="S38" s="88"/>
      <c r="T38" s="88"/>
    </row>
    <row r="39" spans="1:20" x14ac:dyDescent="0.35">
      <c r="A39" s="105"/>
      <c r="B39" s="391" t="s">
        <v>582</v>
      </c>
      <c r="C39" s="391"/>
      <c r="D39" s="391"/>
      <c r="E39" s="88"/>
      <c r="F39" s="88"/>
      <c r="G39" s="88"/>
      <c r="H39" s="88"/>
      <c r="I39" s="88"/>
      <c r="J39" s="88"/>
      <c r="K39" s="88"/>
      <c r="L39" s="88"/>
      <c r="M39" s="88"/>
      <c r="N39" s="88"/>
      <c r="O39" s="88"/>
      <c r="P39" s="88"/>
      <c r="Q39" s="88"/>
      <c r="R39" s="88"/>
      <c r="S39" s="88"/>
      <c r="T39" s="88"/>
    </row>
    <row r="40" spans="1:20" x14ac:dyDescent="0.35">
      <c r="A40" s="105"/>
      <c r="B40" s="390" t="str">
        <f>B20</f>
        <v>REQ_ROB_6</v>
      </c>
      <c r="C40" s="120" t="s">
        <v>549</v>
      </c>
      <c r="D40" s="120">
        <f>IF($B$40=0,0,COUNTIFS($B$8:$B$17,"*"&amp;$B$40&amp;"*",$C$8:$C$17,C40))</f>
        <v>4</v>
      </c>
      <c r="E40" s="88"/>
      <c r="F40" s="88"/>
      <c r="G40" s="88"/>
      <c r="H40" s="88"/>
      <c r="I40" s="88"/>
      <c r="J40" s="88"/>
      <c r="K40" s="88"/>
      <c r="L40" s="88"/>
      <c r="M40" s="88"/>
      <c r="N40" s="88"/>
      <c r="O40" s="88"/>
      <c r="P40" s="88"/>
      <c r="Q40" s="88"/>
      <c r="R40" s="88"/>
      <c r="S40" s="88"/>
      <c r="T40" s="88"/>
    </row>
    <row r="41" spans="1:20" x14ac:dyDescent="0.35">
      <c r="A41" s="105"/>
      <c r="B41" s="390"/>
      <c r="C41" s="120" t="s">
        <v>583</v>
      </c>
      <c r="D41" s="120">
        <f>IF($B$40=0,0,COUNTIFS($B$8:$B$17,"*"&amp;$B$40&amp;"*",$C$8:$C$17,C41))</f>
        <v>0</v>
      </c>
      <c r="E41" s="88"/>
      <c r="F41" s="88"/>
      <c r="G41" s="88"/>
      <c r="H41" s="88"/>
      <c r="I41" s="88"/>
      <c r="J41" s="88"/>
      <c r="K41" s="88"/>
      <c r="L41" s="88"/>
      <c r="M41" s="88"/>
      <c r="N41" s="88"/>
      <c r="O41" s="88"/>
      <c r="P41" s="88"/>
      <c r="Q41" s="88"/>
      <c r="R41" s="88"/>
      <c r="S41" s="88"/>
      <c r="T41" s="88"/>
    </row>
    <row r="42" spans="1:20" x14ac:dyDescent="0.35">
      <c r="A42" s="105"/>
      <c r="B42" s="390"/>
      <c r="C42" s="120" t="s">
        <v>584</v>
      </c>
      <c r="D42" s="120">
        <f>IF($B$40=0,0,COUNTIFS($B$8:$B$17,"*"&amp;$B$40&amp;"*",$C$8:$C$17,C42))</f>
        <v>0</v>
      </c>
      <c r="E42" s="88"/>
      <c r="F42" s="88"/>
      <c r="G42" s="88"/>
      <c r="H42" s="88"/>
      <c r="I42" s="88"/>
      <c r="J42" s="88"/>
      <c r="K42" s="88"/>
      <c r="L42" s="88"/>
      <c r="M42" s="88"/>
      <c r="N42" s="88"/>
      <c r="O42" s="88"/>
      <c r="P42" s="88"/>
      <c r="Q42" s="88"/>
      <c r="R42" s="88"/>
      <c r="S42" s="88"/>
      <c r="T42" s="88"/>
    </row>
    <row r="43" spans="1:20" x14ac:dyDescent="0.35">
      <c r="A43" s="105"/>
      <c r="B43" s="390">
        <f>B21</f>
        <v>0</v>
      </c>
      <c r="C43" s="120" t="s">
        <v>549</v>
      </c>
      <c r="D43" s="120">
        <f>IF($B$43=0,0,COUNTIFS($B$8:$B$17,"*"&amp;$B$43&amp;"*",$C$8:$C$17,C43))</f>
        <v>0</v>
      </c>
      <c r="E43" s="88"/>
      <c r="F43" s="88"/>
      <c r="G43" s="88"/>
      <c r="H43" s="88"/>
      <c r="I43" s="88"/>
      <c r="J43" s="88"/>
      <c r="K43" s="88"/>
      <c r="L43" s="88"/>
      <c r="M43" s="88"/>
      <c r="N43" s="88"/>
      <c r="O43" s="88"/>
      <c r="P43" s="88"/>
      <c r="Q43" s="88"/>
      <c r="R43" s="88"/>
      <c r="S43" s="88"/>
      <c r="T43" s="88"/>
    </row>
    <row r="44" spans="1:20" x14ac:dyDescent="0.35">
      <c r="A44" s="105"/>
      <c r="B44" s="390"/>
      <c r="C44" s="120" t="s">
        <v>583</v>
      </c>
      <c r="D44" s="120">
        <f>IF($B$43=0,0,COUNTIFS($B$8:$B$17,"*"&amp;$B$43&amp;"*",$C$8:$C$17,C44))</f>
        <v>0</v>
      </c>
      <c r="E44" s="88"/>
      <c r="F44" s="88"/>
      <c r="G44" s="88"/>
      <c r="H44" s="88"/>
      <c r="I44" s="88"/>
      <c r="J44" s="88"/>
      <c r="K44" s="88"/>
      <c r="L44" s="88"/>
      <c r="M44" s="88"/>
      <c r="N44" s="88"/>
      <c r="O44" s="88"/>
      <c r="P44" s="88"/>
      <c r="Q44" s="88"/>
      <c r="R44" s="88"/>
      <c r="S44" s="88"/>
      <c r="T44" s="88"/>
    </row>
    <row r="45" spans="1:20" x14ac:dyDescent="0.35">
      <c r="A45" s="105"/>
      <c r="B45" s="390"/>
      <c r="C45" s="120" t="s">
        <v>584</v>
      </c>
      <c r="D45" s="120">
        <f>IF($B$43=0,0,COUNTIFS($B$8:$B$17,"*"&amp;$B$43&amp;"*",$C$8:$C$17,C45))</f>
        <v>0</v>
      </c>
      <c r="E45" s="88"/>
      <c r="F45" s="88"/>
      <c r="G45" s="88"/>
      <c r="H45" s="88"/>
      <c r="I45" s="88"/>
      <c r="J45" s="88"/>
      <c r="K45" s="88"/>
      <c r="L45" s="88"/>
      <c r="M45" s="88"/>
      <c r="N45" s="88"/>
      <c r="O45" s="88"/>
      <c r="P45" s="88"/>
      <c r="Q45" s="88"/>
      <c r="R45" s="88"/>
      <c r="S45" s="88"/>
      <c r="T45" s="88"/>
    </row>
    <row r="46" spans="1:20" x14ac:dyDescent="0.35">
      <c r="A46" s="105"/>
      <c r="B46" s="390">
        <f>B22</f>
        <v>0</v>
      </c>
      <c r="C46" s="120" t="s">
        <v>549</v>
      </c>
      <c r="D46" s="120">
        <f>IF($B$46=0,0,COUNTIFS($B$8:$B$17,"*"&amp;$B$46&amp;"*",$C$8:$C$17,C46))</f>
        <v>0</v>
      </c>
      <c r="E46" s="88"/>
      <c r="F46" s="88"/>
      <c r="G46" s="88"/>
      <c r="H46" s="88"/>
      <c r="I46" s="88"/>
      <c r="J46" s="88"/>
      <c r="K46" s="88"/>
      <c r="L46" s="88"/>
      <c r="M46" s="88"/>
      <c r="N46" s="88"/>
      <c r="O46" s="88"/>
      <c r="P46" s="88"/>
      <c r="Q46" s="88"/>
      <c r="R46" s="88"/>
      <c r="S46" s="88"/>
      <c r="T46" s="88"/>
    </row>
    <row r="47" spans="1:20" x14ac:dyDescent="0.35">
      <c r="A47" s="105"/>
      <c r="B47" s="390"/>
      <c r="C47" s="120" t="s">
        <v>583</v>
      </c>
      <c r="D47" s="120">
        <f>IF($B$46=0,0,COUNTIFS($B$8:$B$17,"*"&amp;$B$46&amp;"*",$C$8:$C$17,C47))</f>
        <v>0</v>
      </c>
      <c r="E47" s="88"/>
      <c r="F47" s="88"/>
      <c r="G47" s="88"/>
      <c r="H47" s="88"/>
      <c r="I47" s="88"/>
      <c r="J47" s="88"/>
      <c r="K47" s="88"/>
      <c r="L47" s="88"/>
      <c r="M47" s="88"/>
      <c r="N47" s="88"/>
      <c r="O47" s="88"/>
      <c r="P47" s="88"/>
      <c r="Q47" s="88"/>
      <c r="R47" s="88"/>
      <c r="S47" s="88"/>
      <c r="T47" s="88"/>
    </row>
    <row r="48" spans="1:20" x14ac:dyDescent="0.35">
      <c r="A48" s="105"/>
      <c r="B48" s="390"/>
      <c r="C48" s="120" t="s">
        <v>584</v>
      </c>
      <c r="D48" s="120">
        <f>IF($B$46=0,0,COUNTIFS($B$8:$B$17,"*"&amp;$B$46&amp;"*",$C$8:$C$17,C48))</f>
        <v>0</v>
      </c>
      <c r="E48" s="88"/>
      <c r="F48" s="88"/>
      <c r="G48" s="88"/>
      <c r="H48" s="88"/>
      <c r="I48" s="88"/>
      <c r="J48" s="88"/>
      <c r="K48" s="88"/>
      <c r="L48" s="88"/>
      <c r="M48" s="88"/>
      <c r="N48" s="88"/>
      <c r="O48" s="88"/>
      <c r="P48" s="88"/>
      <c r="Q48" s="88"/>
      <c r="R48" s="88"/>
      <c r="S48" s="88"/>
      <c r="T48" s="88"/>
    </row>
    <row r="49" spans="1:20" x14ac:dyDescent="0.35">
      <c r="A49" s="105"/>
      <c r="B49" s="390">
        <f>B23</f>
        <v>0</v>
      </c>
      <c r="C49" s="120" t="s">
        <v>549</v>
      </c>
      <c r="D49" s="120">
        <f>IF($B$49=0,0,COUNTIFS($B$8:$B$17,"*"&amp;$B$49&amp;"*",$C$8:$C$17,C49))</f>
        <v>0</v>
      </c>
      <c r="E49" s="88"/>
      <c r="F49" s="88"/>
      <c r="G49" s="88"/>
      <c r="H49" s="88"/>
      <c r="I49" s="88"/>
      <c r="J49" s="88"/>
      <c r="K49" s="88"/>
      <c r="L49" s="88"/>
      <c r="M49" s="88"/>
      <c r="N49" s="88"/>
      <c r="O49" s="88"/>
      <c r="P49" s="88"/>
      <c r="Q49" s="88"/>
      <c r="R49" s="88"/>
      <c r="S49" s="88"/>
      <c r="T49" s="88"/>
    </row>
    <row r="50" spans="1:20" x14ac:dyDescent="0.35">
      <c r="A50" s="105"/>
      <c r="B50" s="390"/>
      <c r="C50" s="120" t="s">
        <v>583</v>
      </c>
      <c r="D50" s="120">
        <f>IF($B$49=0,0,COUNTIFS($B$8:$B$17,"*"&amp;$B$49&amp;"*",$C$8:$C$17,C50))</f>
        <v>0</v>
      </c>
      <c r="E50" s="88"/>
      <c r="F50" s="88"/>
      <c r="G50" s="88"/>
      <c r="H50" s="88"/>
      <c r="I50" s="88"/>
      <c r="J50" s="88"/>
      <c r="K50" s="88"/>
      <c r="L50" s="88"/>
      <c r="M50" s="88"/>
      <c r="N50" s="88"/>
      <c r="O50" s="88"/>
      <c r="P50" s="88"/>
      <c r="Q50" s="88"/>
      <c r="R50" s="88"/>
      <c r="S50" s="88"/>
      <c r="T50" s="88"/>
    </row>
    <row r="51" spans="1:20" x14ac:dyDescent="0.35">
      <c r="A51" s="105"/>
      <c r="B51" s="390"/>
      <c r="C51" s="120" t="s">
        <v>584</v>
      </c>
      <c r="D51" s="120">
        <f>IF($B$49=0,0,COUNTIFS($B$8:$B$17,"*"&amp;$B$49&amp;"*",$C$8:$C$17,C51))</f>
        <v>0</v>
      </c>
      <c r="E51" s="88"/>
      <c r="F51" s="88"/>
      <c r="G51" s="88"/>
      <c r="H51" s="88"/>
      <c r="I51" s="88"/>
      <c r="J51" s="88"/>
      <c r="K51" s="88"/>
      <c r="L51" s="88"/>
      <c r="M51" s="88"/>
      <c r="N51" s="88"/>
      <c r="O51" s="88"/>
      <c r="P51" s="88"/>
      <c r="Q51" s="88"/>
      <c r="R51" s="88"/>
      <c r="S51" s="88"/>
      <c r="T51" s="88"/>
    </row>
    <row r="52" spans="1:20" x14ac:dyDescent="0.35">
      <c r="A52" s="105"/>
      <c r="B52" s="390">
        <f>B24</f>
        <v>0</v>
      </c>
      <c r="C52" s="120" t="s">
        <v>549</v>
      </c>
      <c r="D52" s="120">
        <f>IF($B$52=0,0,COUNTIFS($B$8:$B$17,"*"&amp;$B$52&amp;"*",$C$8:$C$17,C52))</f>
        <v>0</v>
      </c>
      <c r="E52" s="88"/>
      <c r="F52" s="88"/>
      <c r="G52" s="88"/>
      <c r="H52" s="88"/>
      <c r="I52" s="88"/>
      <c r="J52" s="88"/>
      <c r="K52" s="88"/>
      <c r="L52" s="88"/>
      <c r="M52" s="88"/>
      <c r="N52" s="88"/>
      <c r="O52" s="88"/>
      <c r="P52" s="88"/>
      <c r="Q52" s="88"/>
      <c r="R52" s="88"/>
      <c r="S52" s="88"/>
      <c r="T52" s="88"/>
    </row>
    <row r="53" spans="1:20" x14ac:dyDescent="0.35">
      <c r="A53" s="105"/>
      <c r="B53" s="390"/>
      <c r="C53" s="120" t="s">
        <v>583</v>
      </c>
      <c r="D53" s="120">
        <f>IF($B$52=0,0,COUNTIFS($B$8:$B$17,"*"&amp;$B$52&amp;"*",$C$8:$C$17,C53))</f>
        <v>0</v>
      </c>
      <c r="E53" s="88"/>
      <c r="F53" s="88"/>
      <c r="G53" s="88"/>
      <c r="H53" s="88"/>
      <c r="I53" s="88"/>
      <c r="J53" s="88"/>
      <c r="K53" s="88"/>
      <c r="L53" s="88"/>
      <c r="M53" s="88"/>
      <c r="N53" s="88"/>
      <c r="O53" s="88"/>
      <c r="P53" s="88"/>
      <c r="Q53" s="88"/>
      <c r="R53" s="88"/>
      <c r="S53" s="88"/>
      <c r="T53" s="88"/>
    </row>
    <row r="54" spans="1:20" x14ac:dyDescent="0.35">
      <c r="A54" s="105"/>
      <c r="B54" s="390"/>
      <c r="C54" s="120" t="s">
        <v>584</v>
      </c>
      <c r="D54" s="120">
        <f>IF($B$52=0,0,COUNTIFS($B$8:$B$17,"*"&amp;$B$52&amp;"*",$C$8:$C$17,C54))</f>
        <v>0</v>
      </c>
      <c r="E54" s="88"/>
      <c r="F54" s="88"/>
      <c r="G54" s="88"/>
      <c r="H54" s="88"/>
      <c r="I54" s="88"/>
      <c r="J54" s="88"/>
      <c r="K54" s="88"/>
      <c r="L54" s="88"/>
      <c r="M54" s="88"/>
      <c r="N54" s="88"/>
      <c r="O54" s="88"/>
      <c r="P54" s="88"/>
      <c r="Q54" s="88"/>
      <c r="R54" s="88"/>
      <c r="S54" s="88"/>
      <c r="T54" s="88"/>
    </row>
    <row r="55" spans="1:20" x14ac:dyDescent="0.35">
      <c r="A55" s="105"/>
      <c r="B55" s="390">
        <f>B25</f>
        <v>0</v>
      </c>
      <c r="C55" s="120" t="s">
        <v>549</v>
      </c>
      <c r="D55" s="120">
        <f>IF($B$55=0,0,COUNTIFS($B$8:$B$17,"*"&amp;$B$55&amp;"*",$C$8:$C$17,C55))</f>
        <v>0</v>
      </c>
      <c r="E55" s="111"/>
      <c r="F55" s="88"/>
      <c r="G55" s="88"/>
      <c r="H55" s="88"/>
      <c r="I55" s="88"/>
      <c r="J55" s="88"/>
      <c r="K55" s="88"/>
      <c r="L55" s="88"/>
      <c r="M55" s="88"/>
      <c r="N55" s="88"/>
      <c r="O55" s="88"/>
      <c r="P55" s="88"/>
      <c r="Q55" s="88"/>
      <c r="R55" s="88"/>
      <c r="S55" s="88"/>
      <c r="T55" s="88"/>
    </row>
    <row r="56" spans="1:20" x14ac:dyDescent="0.35">
      <c r="A56" s="105"/>
      <c r="B56" s="390"/>
      <c r="C56" s="120" t="s">
        <v>583</v>
      </c>
      <c r="D56" s="120">
        <f>IF($B$55=0,0,COUNTIFS($B$8:$B$17,"*"&amp;$B$55&amp;"*",$C$8:$C$17,C56))</f>
        <v>0</v>
      </c>
      <c r="E56" s="111"/>
      <c r="F56" s="88"/>
      <c r="G56" s="88"/>
      <c r="H56" s="88"/>
      <c r="I56" s="88"/>
      <c r="J56" s="88"/>
      <c r="K56" s="88"/>
      <c r="L56" s="88"/>
      <c r="M56" s="88"/>
      <c r="N56" s="88"/>
      <c r="O56" s="88"/>
      <c r="P56" s="88"/>
      <c r="Q56" s="88"/>
      <c r="R56" s="88"/>
      <c r="S56" s="88"/>
      <c r="T56" s="88"/>
    </row>
    <row r="57" spans="1:20" x14ac:dyDescent="0.35">
      <c r="A57" s="105"/>
      <c r="B57" s="390"/>
      <c r="C57" s="120" t="s">
        <v>584</v>
      </c>
      <c r="D57" s="120">
        <f>IF($B$55=0,0,COUNTIFS($B$8:$B$17,"*"&amp;$B$55&amp;"*",$C$8:$C$17,C57))</f>
        <v>0</v>
      </c>
      <c r="E57" s="111"/>
      <c r="F57" s="88"/>
      <c r="G57" s="88"/>
      <c r="H57" s="88"/>
      <c r="I57" s="88"/>
      <c r="J57" s="88"/>
      <c r="K57" s="88"/>
      <c r="L57" s="88"/>
      <c r="M57" s="88"/>
      <c r="N57" s="88"/>
      <c r="O57" s="88"/>
      <c r="P57" s="88"/>
      <c r="Q57" s="88"/>
      <c r="R57" s="88"/>
      <c r="S57" s="88"/>
      <c r="T57" s="88"/>
    </row>
    <row r="58" spans="1:20" x14ac:dyDescent="0.35">
      <c r="A58" s="105"/>
      <c r="B58" s="390">
        <f>B26</f>
        <v>0</v>
      </c>
      <c r="C58" s="120" t="s">
        <v>549</v>
      </c>
      <c r="D58" s="120">
        <f>IF($B$58=0,0,COUNTIFS($B$8:$B$17,"*"&amp;$B$58&amp;"*",$C$8:$C$17,C58))</f>
        <v>0</v>
      </c>
      <c r="E58" s="111"/>
      <c r="F58" s="88"/>
      <c r="G58" s="88"/>
      <c r="H58" s="88"/>
      <c r="I58" s="88"/>
      <c r="J58" s="88"/>
      <c r="K58" s="88"/>
      <c r="L58" s="88"/>
      <c r="M58" s="88"/>
      <c r="N58" s="88"/>
      <c r="O58" s="88"/>
      <c r="P58" s="88"/>
      <c r="Q58" s="88"/>
      <c r="R58" s="88"/>
      <c r="S58" s="88"/>
      <c r="T58" s="88"/>
    </row>
    <row r="59" spans="1:20" x14ac:dyDescent="0.35">
      <c r="A59" s="105"/>
      <c r="B59" s="390"/>
      <c r="C59" s="120" t="s">
        <v>583</v>
      </c>
      <c r="D59" s="120">
        <f>IF($B$58=0,0,COUNTIFS($B$8:$B$17,"*"&amp;$B$58&amp;"*",$C$8:$C$17,C59))</f>
        <v>0</v>
      </c>
      <c r="E59" s="111"/>
      <c r="F59" s="88"/>
      <c r="G59" s="88"/>
      <c r="H59" s="88"/>
      <c r="I59" s="88"/>
      <c r="J59" s="88"/>
      <c r="K59" s="88"/>
      <c r="L59" s="88"/>
      <c r="M59" s="88"/>
      <c r="N59" s="88"/>
      <c r="O59" s="88"/>
      <c r="P59" s="88"/>
      <c r="Q59" s="88"/>
      <c r="R59" s="88"/>
      <c r="S59" s="88"/>
      <c r="T59" s="88"/>
    </row>
    <row r="60" spans="1:20" x14ac:dyDescent="0.35">
      <c r="A60" s="105"/>
      <c r="B60" s="390"/>
      <c r="C60" s="120" t="s">
        <v>584</v>
      </c>
      <c r="D60" s="120">
        <f>IF($B$58=0,0,COUNTIFS($B$8:$B$17,"*"&amp;$B$58&amp;"*",$C$8:$C$17,C60))</f>
        <v>0</v>
      </c>
      <c r="E60" s="111"/>
      <c r="F60" s="88"/>
      <c r="G60" s="88"/>
      <c r="H60" s="88"/>
      <c r="I60" s="88"/>
      <c r="J60" s="88"/>
      <c r="K60" s="88"/>
      <c r="L60" s="88"/>
      <c r="M60" s="88"/>
      <c r="N60" s="88"/>
      <c r="O60" s="88"/>
      <c r="P60" s="88"/>
      <c r="Q60" s="88"/>
      <c r="R60" s="88"/>
      <c r="S60" s="88"/>
      <c r="T60" s="88"/>
    </row>
    <row r="61" spans="1:20" x14ac:dyDescent="0.35">
      <c r="A61" s="105"/>
      <c r="B61" s="390">
        <f>B27</f>
        <v>0</v>
      </c>
      <c r="C61" s="120" t="s">
        <v>549</v>
      </c>
      <c r="D61" s="120">
        <f>IF($B$61=0,0,COUNTIFS($B$8:$B$17,"*"&amp;$B$61&amp;"*",$C$8:$C$17,C61))</f>
        <v>0</v>
      </c>
      <c r="E61" s="111"/>
      <c r="F61" s="88"/>
      <c r="G61" s="88"/>
      <c r="H61" s="88"/>
      <c r="I61" s="88"/>
      <c r="J61" s="88"/>
      <c r="K61" s="88"/>
      <c r="L61" s="88"/>
      <c r="M61" s="88"/>
      <c r="N61" s="88"/>
      <c r="O61" s="88"/>
      <c r="P61" s="88"/>
      <c r="Q61" s="88"/>
      <c r="R61" s="88"/>
      <c r="S61" s="88"/>
      <c r="T61" s="88"/>
    </row>
    <row r="62" spans="1:20" x14ac:dyDescent="0.35">
      <c r="A62" s="105"/>
      <c r="B62" s="390"/>
      <c r="C62" s="120" t="s">
        <v>583</v>
      </c>
      <c r="D62" s="120">
        <f>IF($B$61=0,0,COUNTIFS($B$8:$B$17,"*"&amp;$B$61&amp;"*",$C$8:$C$17,C62))</f>
        <v>0</v>
      </c>
      <c r="E62" s="111"/>
      <c r="F62" s="88"/>
      <c r="G62" s="88"/>
      <c r="H62" s="88"/>
      <c r="I62" s="88"/>
      <c r="J62" s="88"/>
      <c r="K62" s="88"/>
      <c r="L62" s="88"/>
      <c r="M62" s="88"/>
      <c r="N62" s="88"/>
      <c r="O62" s="88"/>
      <c r="P62" s="88"/>
      <c r="Q62" s="88"/>
      <c r="R62" s="88"/>
      <c r="S62" s="88"/>
      <c r="T62" s="88"/>
    </row>
    <row r="63" spans="1:20" x14ac:dyDescent="0.35">
      <c r="A63" s="105"/>
      <c r="B63" s="390"/>
      <c r="C63" s="120" t="s">
        <v>584</v>
      </c>
      <c r="D63" s="120">
        <f>IF($B$61=0,0,COUNTIFS($B$8:$B$17,"*"&amp;$B$61&amp;"*",$C$8:$C$17,C63))</f>
        <v>0</v>
      </c>
      <c r="E63" s="111"/>
      <c r="F63" s="88"/>
      <c r="G63" s="88"/>
      <c r="H63" s="88"/>
      <c r="I63" s="88"/>
      <c r="J63" s="88"/>
      <c r="K63" s="88"/>
      <c r="L63" s="88"/>
      <c r="M63" s="88"/>
      <c r="N63" s="88"/>
      <c r="O63" s="88"/>
      <c r="P63" s="88"/>
      <c r="Q63" s="88"/>
      <c r="R63" s="88"/>
      <c r="S63" s="88"/>
      <c r="T63" s="88"/>
    </row>
    <row r="64" spans="1:20" x14ac:dyDescent="0.35">
      <c r="A64" s="105"/>
      <c r="B64" s="390">
        <f>B28</f>
        <v>0</v>
      </c>
      <c r="C64" s="120" t="s">
        <v>549</v>
      </c>
      <c r="D64" s="120">
        <f>IF($B$64=0,0,COUNTIFS($B$8:$B$17,"*"&amp;$B$64&amp;"*",$C$8:$C$17,C64))</f>
        <v>0</v>
      </c>
      <c r="E64" s="111"/>
      <c r="F64" s="88"/>
      <c r="G64" s="88"/>
      <c r="H64" s="88"/>
      <c r="I64" s="88"/>
      <c r="J64" s="88"/>
      <c r="K64" s="88"/>
      <c r="L64" s="88"/>
      <c r="M64" s="88"/>
      <c r="N64" s="88"/>
      <c r="O64" s="88"/>
      <c r="P64" s="88"/>
      <c r="Q64" s="88"/>
      <c r="R64" s="88"/>
      <c r="S64" s="88"/>
      <c r="T64" s="88"/>
    </row>
    <row r="65" spans="1:20" x14ac:dyDescent="0.35">
      <c r="A65" s="105"/>
      <c r="B65" s="390"/>
      <c r="C65" s="120" t="s">
        <v>583</v>
      </c>
      <c r="D65" s="120">
        <f>IF($B$64=0,0,COUNTIFS($B$8:$B$17,"*"&amp;$B$64&amp;"*",$C$8:$C$17,C65))</f>
        <v>0</v>
      </c>
      <c r="E65" s="111"/>
      <c r="F65" s="88"/>
      <c r="G65" s="88"/>
      <c r="H65" s="88"/>
      <c r="I65" s="88"/>
      <c r="J65" s="88"/>
      <c r="K65" s="88"/>
      <c r="L65" s="88"/>
      <c r="M65" s="88"/>
      <c r="N65" s="88"/>
      <c r="O65" s="88"/>
      <c r="P65" s="88"/>
      <c r="Q65" s="88"/>
      <c r="R65" s="88"/>
      <c r="S65" s="88"/>
      <c r="T65" s="88"/>
    </row>
    <row r="66" spans="1:20" x14ac:dyDescent="0.35">
      <c r="A66" s="105"/>
      <c r="B66" s="390"/>
      <c r="C66" s="120" t="s">
        <v>584</v>
      </c>
      <c r="D66" s="120">
        <f>IF($B$64=0,0,COUNTIFS($B$8:$B$17,"*"&amp;$B$64&amp;"*",$C$8:$C$17,C66))</f>
        <v>0</v>
      </c>
      <c r="E66" s="111"/>
      <c r="F66" s="88"/>
      <c r="G66" s="88"/>
      <c r="H66" s="88"/>
      <c r="I66" s="88"/>
      <c r="J66" s="88"/>
      <c r="K66" s="88"/>
      <c r="L66" s="88"/>
      <c r="M66" s="88"/>
      <c r="N66" s="88"/>
      <c r="O66" s="88"/>
      <c r="P66" s="88"/>
      <c r="Q66" s="88"/>
      <c r="R66" s="88"/>
      <c r="S66" s="88"/>
      <c r="T66" s="88"/>
    </row>
    <row r="67" spans="1:20" x14ac:dyDescent="0.35">
      <c r="A67" s="105"/>
      <c r="B67" s="390">
        <f>B29</f>
        <v>0</v>
      </c>
      <c r="C67" s="120" t="s">
        <v>549</v>
      </c>
      <c r="D67" s="120">
        <f>IF($B$67=0,0,COUNTIFS($B$8:$B$17,"*"&amp;$B$67&amp;"*",$C$8:$C$17,C67))</f>
        <v>0</v>
      </c>
      <c r="E67" s="111"/>
      <c r="F67" s="88"/>
      <c r="G67" s="88"/>
      <c r="H67" s="88"/>
      <c r="I67" s="88"/>
      <c r="J67" s="88"/>
      <c r="K67" s="88"/>
      <c r="L67" s="88"/>
      <c r="M67" s="88"/>
      <c r="N67" s="88"/>
      <c r="O67" s="88"/>
      <c r="P67" s="88"/>
      <c r="Q67" s="88"/>
      <c r="R67" s="88"/>
      <c r="S67" s="88"/>
      <c r="T67" s="88"/>
    </row>
    <row r="68" spans="1:20" x14ac:dyDescent="0.35">
      <c r="A68" s="105"/>
      <c r="B68" s="390"/>
      <c r="C68" s="120" t="s">
        <v>583</v>
      </c>
      <c r="D68" s="120">
        <f>IF($B$67=0,0,COUNTIFS($B$8:$B$17,"*"&amp;$B$67&amp;"*",$C$8:$C$17,C68))</f>
        <v>0</v>
      </c>
      <c r="E68" s="111"/>
      <c r="F68" s="88"/>
      <c r="G68" s="88"/>
      <c r="H68" s="88"/>
      <c r="I68" s="88"/>
      <c r="J68" s="88"/>
      <c r="K68" s="88"/>
      <c r="L68" s="88"/>
      <c r="M68" s="88"/>
      <c r="N68" s="88"/>
      <c r="O68" s="88"/>
      <c r="P68" s="88"/>
      <c r="Q68" s="88"/>
      <c r="R68" s="88"/>
      <c r="S68" s="88"/>
      <c r="T68" s="88"/>
    </row>
    <row r="69" spans="1:20" x14ac:dyDescent="0.35">
      <c r="A69" s="105"/>
      <c r="B69" s="390"/>
      <c r="C69" s="120" t="s">
        <v>584</v>
      </c>
      <c r="D69" s="120">
        <f>IF($B$67=0,0,COUNTIFS($B$8:$B$17,"*"&amp;$B$67&amp;"*",$C$8:$C$17,C69))</f>
        <v>0</v>
      </c>
      <c r="E69" s="111"/>
      <c r="F69" s="88"/>
      <c r="G69" s="88"/>
      <c r="H69" s="88"/>
      <c r="I69" s="88"/>
      <c r="J69" s="88"/>
      <c r="K69" s="88"/>
      <c r="L69" s="88"/>
      <c r="M69" s="88"/>
      <c r="N69" s="88"/>
      <c r="O69" s="88"/>
      <c r="P69" s="88"/>
      <c r="Q69" s="88"/>
      <c r="R69" s="88"/>
      <c r="S69" s="88"/>
      <c r="T69" s="88"/>
    </row>
    <row r="70" spans="1:20" x14ac:dyDescent="0.35">
      <c r="A70" s="105"/>
      <c r="B70" s="390">
        <f>B30</f>
        <v>0</v>
      </c>
      <c r="C70" s="120" t="s">
        <v>549</v>
      </c>
      <c r="D70" s="120">
        <f>IF($B$70=0,0,COUNTIFS($B$8:$B$17,"*"&amp;$B$70&amp;"*",$C$8:$C$17,C70))</f>
        <v>0</v>
      </c>
      <c r="E70" s="111"/>
      <c r="F70" s="88"/>
      <c r="G70" s="88"/>
      <c r="H70" s="88"/>
      <c r="I70" s="88"/>
      <c r="J70" s="88"/>
      <c r="K70" s="88"/>
      <c r="L70" s="88"/>
      <c r="M70" s="88"/>
      <c r="N70" s="88"/>
      <c r="O70" s="88"/>
      <c r="P70" s="88"/>
      <c r="Q70" s="88"/>
      <c r="R70" s="88"/>
      <c r="S70" s="88"/>
      <c r="T70" s="88"/>
    </row>
    <row r="71" spans="1:20" x14ac:dyDescent="0.35">
      <c r="A71" s="105"/>
      <c r="B71" s="390"/>
      <c r="C71" s="120" t="s">
        <v>583</v>
      </c>
      <c r="D71" s="120">
        <f>IF($B$70=0,0,COUNTIFS($B$8:$B$17,"*"&amp;$B$70&amp;"*",$C$8:$C$17,C71))</f>
        <v>0</v>
      </c>
      <c r="E71" s="111"/>
      <c r="F71" s="88"/>
      <c r="G71" s="88"/>
      <c r="H71" s="88"/>
      <c r="I71" s="88"/>
      <c r="J71" s="88"/>
      <c r="K71" s="88"/>
      <c r="L71" s="88"/>
      <c r="M71" s="88"/>
      <c r="N71" s="88"/>
      <c r="O71" s="88"/>
      <c r="P71" s="88"/>
      <c r="Q71" s="88"/>
      <c r="R71" s="88"/>
      <c r="S71" s="88"/>
      <c r="T71" s="88"/>
    </row>
    <row r="72" spans="1:20" x14ac:dyDescent="0.35">
      <c r="A72" s="105"/>
      <c r="B72" s="390"/>
      <c r="C72" s="120" t="s">
        <v>584</v>
      </c>
      <c r="D72" s="120">
        <f>IF($B$70=0,0,COUNTIFS($B$8:$B$17,"*"&amp;$B$70&amp;"*",$C$8:$C$17,C72))</f>
        <v>0</v>
      </c>
      <c r="E72" s="111"/>
      <c r="F72" s="88"/>
      <c r="G72" s="88"/>
      <c r="H72" s="88"/>
      <c r="I72" s="88"/>
      <c r="J72" s="88"/>
      <c r="K72" s="88"/>
      <c r="L72" s="88"/>
      <c r="M72" s="88"/>
      <c r="N72" s="88"/>
      <c r="O72" s="88"/>
      <c r="P72" s="88"/>
      <c r="Q72" s="88"/>
      <c r="R72" s="88"/>
      <c r="S72" s="88"/>
      <c r="T72" s="88"/>
    </row>
    <row r="73" spans="1:20" x14ac:dyDescent="0.35">
      <c r="A73" s="105"/>
      <c r="B73" s="390">
        <f>B31</f>
        <v>0</v>
      </c>
      <c r="C73" s="120" t="s">
        <v>549</v>
      </c>
      <c r="D73" s="120">
        <f>IF($B$73=0,0,COUNTIFS($B$8:$B$17,"*"&amp;$B$73&amp;"*",$C$8:$C$17,C73))</f>
        <v>0</v>
      </c>
      <c r="E73" s="111"/>
      <c r="F73" s="88"/>
      <c r="G73" s="88"/>
      <c r="H73" s="88"/>
      <c r="I73" s="88"/>
      <c r="J73" s="88"/>
      <c r="K73" s="88"/>
      <c r="L73" s="88"/>
      <c r="M73" s="88"/>
      <c r="N73" s="88"/>
      <c r="O73" s="88"/>
      <c r="P73" s="88"/>
      <c r="Q73" s="88"/>
      <c r="R73" s="88"/>
      <c r="S73" s="88"/>
      <c r="T73" s="88"/>
    </row>
    <row r="74" spans="1:20" x14ac:dyDescent="0.35">
      <c r="A74" s="105"/>
      <c r="B74" s="390"/>
      <c r="C74" s="120" t="s">
        <v>583</v>
      </c>
      <c r="D74" s="120">
        <f>IF($B$73=0,0,COUNTIFS($B$8:$B$17,"*"&amp;$B$73&amp;"*",$C$8:$C$17,C74))</f>
        <v>0</v>
      </c>
      <c r="E74" s="111"/>
      <c r="F74" s="88"/>
      <c r="G74" s="88"/>
      <c r="H74" s="88"/>
      <c r="I74" s="88"/>
      <c r="J74" s="88"/>
      <c r="K74" s="88"/>
      <c r="L74" s="88"/>
      <c r="M74" s="88"/>
      <c r="N74" s="88"/>
      <c r="O74" s="88"/>
      <c r="P74" s="88"/>
      <c r="Q74" s="88"/>
      <c r="R74" s="88"/>
      <c r="S74" s="88"/>
      <c r="T74" s="88"/>
    </row>
    <row r="75" spans="1:20" x14ac:dyDescent="0.35">
      <c r="A75" s="105"/>
      <c r="B75" s="390"/>
      <c r="C75" s="120" t="s">
        <v>584</v>
      </c>
      <c r="D75" s="120">
        <f>IF($B$73=0,0,COUNTIFS($B$8:$B$17,"*"&amp;$B$73&amp;"*",$C$8:$C$17,C75))</f>
        <v>0</v>
      </c>
      <c r="E75" s="111"/>
      <c r="F75" s="88"/>
      <c r="G75" s="88"/>
      <c r="H75" s="88"/>
      <c r="I75" s="88"/>
      <c r="J75" s="88"/>
      <c r="K75" s="88"/>
      <c r="L75" s="88"/>
      <c r="M75" s="88"/>
      <c r="N75" s="88"/>
      <c r="O75" s="88"/>
      <c r="P75" s="88"/>
      <c r="Q75" s="88"/>
      <c r="R75" s="88"/>
      <c r="S75" s="88"/>
      <c r="T75" s="88"/>
    </row>
    <row r="76" spans="1:20" x14ac:dyDescent="0.35">
      <c r="A76" s="105"/>
      <c r="B76" s="390">
        <f>B32</f>
        <v>0</v>
      </c>
      <c r="C76" s="120" t="s">
        <v>549</v>
      </c>
      <c r="D76" s="120">
        <f>IF($B$76=0,0,COUNTIFS($B$8:$B$17,"*"&amp;$B$76&amp;"*",$C$8:$C$17,C76))</f>
        <v>0</v>
      </c>
      <c r="E76" s="111"/>
      <c r="F76" s="88"/>
      <c r="G76" s="88"/>
      <c r="H76" s="88"/>
      <c r="I76" s="88"/>
      <c r="J76" s="88"/>
      <c r="K76" s="88"/>
      <c r="L76" s="88"/>
      <c r="M76" s="88"/>
      <c r="N76" s="88"/>
      <c r="O76" s="88"/>
      <c r="P76" s="88"/>
      <c r="Q76" s="88"/>
      <c r="R76" s="88"/>
      <c r="S76" s="88"/>
      <c r="T76" s="88"/>
    </row>
    <row r="77" spans="1:20" x14ac:dyDescent="0.35">
      <c r="A77" s="105"/>
      <c r="B77" s="390"/>
      <c r="C77" s="120" t="s">
        <v>583</v>
      </c>
      <c r="D77" s="120">
        <f>IF($B$76=0,0,COUNTIFS($B$8:$B$17,"*"&amp;$B$76&amp;"*",$C$8:$C$17,C77))</f>
        <v>0</v>
      </c>
      <c r="E77" s="111"/>
      <c r="F77" s="88"/>
      <c r="G77" s="88"/>
      <c r="H77" s="88"/>
      <c r="I77" s="88"/>
      <c r="J77" s="88"/>
      <c r="K77" s="88"/>
      <c r="L77" s="88"/>
      <c r="M77" s="88"/>
      <c r="N77" s="88"/>
      <c r="O77" s="88"/>
      <c r="P77" s="88"/>
      <c r="Q77" s="88"/>
      <c r="R77" s="88"/>
      <c r="S77" s="88"/>
      <c r="T77" s="88"/>
    </row>
    <row r="78" spans="1:20" x14ac:dyDescent="0.35">
      <c r="A78" s="105"/>
      <c r="B78" s="390"/>
      <c r="C78" s="120" t="s">
        <v>584</v>
      </c>
      <c r="D78" s="120">
        <f>IF($B$76=0,0,COUNTIFS($B$8:$B$17,"*"&amp;$B$76&amp;"*",$C$8:$C$17,C78))</f>
        <v>0</v>
      </c>
      <c r="E78" s="111"/>
      <c r="F78" s="88"/>
      <c r="G78" s="88"/>
      <c r="H78" s="88"/>
      <c r="I78" s="88"/>
      <c r="J78" s="88"/>
      <c r="K78" s="88"/>
      <c r="L78" s="88"/>
      <c r="M78" s="88"/>
      <c r="N78" s="88"/>
      <c r="O78" s="88"/>
      <c r="P78" s="88"/>
      <c r="Q78" s="88"/>
      <c r="R78" s="88"/>
      <c r="S78" s="88"/>
      <c r="T78" s="88"/>
    </row>
    <row r="79" spans="1:20" x14ac:dyDescent="0.35">
      <c r="A79" s="105"/>
      <c r="B79" s="83"/>
      <c r="C79" s="88"/>
      <c r="D79" s="88"/>
      <c r="E79" s="111"/>
      <c r="F79" s="88"/>
      <c r="G79" s="88"/>
      <c r="H79" s="88"/>
      <c r="I79" s="88"/>
      <c r="J79" s="88"/>
      <c r="K79" s="88"/>
      <c r="L79" s="88"/>
      <c r="M79" s="88"/>
      <c r="N79" s="88"/>
      <c r="O79" s="88"/>
      <c r="P79" s="88"/>
      <c r="Q79" s="88"/>
      <c r="R79" s="88"/>
      <c r="S79" s="88"/>
      <c r="T79" s="88"/>
    </row>
    <row r="80" spans="1:20" x14ac:dyDescent="0.35">
      <c r="A80" s="105"/>
      <c r="B80" s="83"/>
      <c r="C80" s="88"/>
      <c r="D80" s="88"/>
      <c r="E80" s="111"/>
      <c r="F80" s="88"/>
      <c r="G80" s="88"/>
      <c r="H80" s="88"/>
      <c r="I80" s="88"/>
      <c r="J80" s="88"/>
      <c r="K80" s="88"/>
      <c r="L80" s="88"/>
      <c r="M80" s="88"/>
      <c r="N80" s="88"/>
      <c r="O80" s="88"/>
      <c r="P80" s="88"/>
      <c r="Q80" s="88"/>
      <c r="R80" s="88"/>
      <c r="S80" s="88"/>
      <c r="T80" s="88"/>
    </row>
    <row r="81" spans="1:20" x14ac:dyDescent="0.35">
      <c r="A81" s="105"/>
      <c r="B81" s="83"/>
      <c r="C81" s="88"/>
      <c r="D81" s="88"/>
      <c r="E81" s="111"/>
      <c r="F81" s="88"/>
      <c r="G81" s="88"/>
      <c r="H81" s="88"/>
      <c r="I81" s="88"/>
      <c r="J81" s="88"/>
      <c r="K81" s="88"/>
      <c r="L81" s="88"/>
      <c r="M81" s="88"/>
      <c r="N81" s="88"/>
      <c r="O81" s="88"/>
      <c r="P81" s="88"/>
      <c r="Q81" s="88"/>
      <c r="R81" s="88"/>
      <c r="S81" s="88"/>
      <c r="T81" s="88"/>
    </row>
  </sheetData>
  <mergeCells count="40">
    <mergeCell ref="B1:F1"/>
    <mergeCell ref="H1:S1"/>
    <mergeCell ref="C2:F2"/>
    <mergeCell ref="H2:S2"/>
    <mergeCell ref="H3:S15"/>
    <mergeCell ref="B4:F4"/>
    <mergeCell ref="C6:F6"/>
    <mergeCell ref="C7:F7"/>
    <mergeCell ref="C12:F12"/>
    <mergeCell ref="C13:F13"/>
    <mergeCell ref="C28:F28"/>
    <mergeCell ref="B19:F19"/>
    <mergeCell ref="C20:F20"/>
    <mergeCell ref="C21:F21"/>
    <mergeCell ref="C22:F22"/>
    <mergeCell ref="C23:F23"/>
    <mergeCell ref="C24:F24"/>
    <mergeCell ref="C25:F25"/>
    <mergeCell ref="C26:F26"/>
    <mergeCell ref="C27:F27"/>
    <mergeCell ref="B39:D39"/>
    <mergeCell ref="B40:B42"/>
    <mergeCell ref="B43:B45"/>
    <mergeCell ref="B46:B48"/>
    <mergeCell ref="C29:F29"/>
    <mergeCell ref="C30:F30"/>
    <mergeCell ref="C31:F31"/>
    <mergeCell ref="C32:F32"/>
    <mergeCell ref="B34:F34"/>
    <mergeCell ref="D35:F35"/>
    <mergeCell ref="B76:B78"/>
    <mergeCell ref="B49:B51"/>
    <mergeCell ref="B52:B54"/>
    <mergeCell ref="B55:B57"/>
    <mergeCell ref="B58:B60"/>
    <mergeCell ref="B61:B63"/>
    <mergeCell ref="B64:B66"/>
    <mergeCell ref="B67:B69"/>
    <mergeCell ref="B70:B72"/>
    <mergeCell ref="B73:B75"/>
  </mergeCells>
  <conditionalFormatting sqref="B8 B10">
    <cfRule type="cellIs" dxfId="1232" priority="58" operator="equal">
      <formula>"NR"</formula>
    </cfRule>
    <cfRule type="cellIs" dxfId="1231" priority="59" operator="equal">
      <formula>"NOK"</formula>
    </cfRule>
    <cfRule type="cellIs" dxfId="1230" priority="60" operator="equal">
      <formula>"OK"</formula>
    </cfRule>
  </conditionalFormatting>
  <conditionalFormatting sqref="B2 B36:B38">
    <cfRule type="cellIs" dxfId="1229" priority="79" operator="equal">
      <formula>"NR"</formula>
    </cfRule>
    <cfRule type="cellIs" dxfId="1228" priority="80" operator="equal">
      <formula>"NOK"</formula>
    </cfRule>
    <cfRule type="cellIs" dxfId="1227" priority="81" operator="equal">
      <formula>"OK"</formula>
    </cfRule>
  </conditionalFormatting>
  <conditionalFormatting sqref="B4">
    <cfRule type="cellIs" dxfId="1226" priority="82" operator="equal">
      <formula>"NR"</formula>
    </cfRule>
    <cfRule type="cellIs" dxfId="1225" priority="83" operator="equal">
      <formula>"NOK"</formula>
    </cfRule>
    <cfRule type="cellIs" dxfId="1224" priority="84" operator="equal">
      <formula>"OK"</formula>
    </cfRule>
  </conditionalFormatting>
  <conditionalFormatting sqref="B3 B18 B5 B34 B79:B1048576">
    <cfRule type="cellIs" dxfId="1223" priority="94" operator="equal">
      <formula>"NR"</formula>
    </cfRule>
    <cfRule type="cellIs" dxfId="1222" priority="95" operator="equal">
      <formula>"NOK"</formula>
    </cfRule>
    <cfRule type="cellIs" dxfId="1221" priority="96" operator="equal">
      <formula>"OK"</formula>
    </cfRule>
  </conditionalFormatting>
  <conditionalFormatting sqref="B1">
    <cfRule type="cellIs" dxfId="1220" priority="91" operator="equal">
      <formula>"NR"</formula>
    </cfRule>
    <cfRule type="cellIs" dxfId="1219" priority="92" operator="equal">
      <formula>"NOK"</formula>
    </cfRule>
    <cfRule type="cellIs" dxfId="1218" priority="93" operator="equal">
      <formula>"OK"</formula>
    </cfRule>
  </conditionalFormatting>
  <conditionalFormatting sqref="B19">
    <cfRule type="cellIs" dxfId="1217" priority="88" operator="equal">
      <formula>"NR"</formula>
    </cfRule>
    <cfRule type="cellIs" dxfId="1216" priority="89" operator="equal">
      <formula>"NOK"</formula>
    </cfRule>
    <cfRule type="cellIs" dxfId="1215" priority="90" operator="equal">
      <formula>"OK"</formula>
    </cfRule>
  </conditionalFormatting>
  <conditionalFormatting sqref="C20:C30 C33">
    <cfRule type="cellIs" dxfId="1214" priority="85" operator="equal">
      <formula>"NR"</formula>
    </cfRule>
    <cfRule type="cellIs" dxfId="1213" priority="86" operator="equal">
      <formula>"NOK"</formula>
    </cfRule>
    <cfRule type="cellIs" dxfId="1212" priority="87" operator="equal">
      <formula>"OK"</formula>
    </cfRule>
  </conditionalFormatting>
  <conditionalFormatting sqref="B6:B7">
    <cfRule type="cellIs" dxfId="1211" priority="76" operator="equal">
      <formula>"NR"</formula>
    </cfRule>
    <cfRule type="cellIs" dxfId="1210" priority="77" operator="equal">
      <formula>"NOK"</formula>
    </cfRule>
    <cfRule type="cellIs" dxfId="1209" priority="78" operator="equal">
      <formula>"OK"</formula>
    </cfRule>
  </conditionalFormatting>
  <conditionalFormatting sqref="C35">
    <cfRule type="cellIs" dxfId="1208" priority="64" operator="equal">
      <formula>"NR"</formula>
    </cfRule>
    <cfRule type="cellIs" dxfId="1207" priority="65" operator="equal">
      <formula>"NOK"</formula>
    </cfRule>
    <cfRule type="cellIs" dxfId="1206" priority="66" operator="equal">
      <formula>"OK"</formula>
    </cfRule>
  </conditionalFormatting>
  <conditionalFormatting sqref="C11">
    <cfRule type="cellIs" dxfId="1205" priority="73" operator="equal">
      <formula>"NR"</formula>
    </cfRule>
    <cfRule type="cellIs" dxfId="1204" priority="74" operator="equal">
      <formula>"NOK"</formula>
    </cfRule>
    <cfRule type="cellIs" dxfId="1203" priority="75" operator="equal">
      <formula>"OK"</formula>
    </cfRule>
  </conditionalFormatting>
  <conditionalFormatting sqref="B35">
    <cfRule type="cellIs" dxfId="1202" priority="67" operator="equal">
      <formula>"NR"</formula>
    </cfRule>
    <cfRule type="cellIs" dxfId="1201" priority="68" operator="equal">
      <formula>"NOK"</formula>
    </cfRule>
    <cfRule type="cellIs" dxfId="1200" priority="69" operator="equal">
      <formula>"OK"</formula>
    </cfRule>
  </conditionalFormatting>
  <conditionalFormatting sqref="B39:B40 B43 B46 B52 B58 B64 B70 B49 B55 B61 B67 B73">
    <cfRule type="cellIs" dxfId="1199" priority="61" operator="equal">
      <formula>"NR"</formula>
    </cfRule>
    <cfRule type="cellIs" dxfId="1198" priority="62" operator="equal">
      <formula>"NOK"</formula>
    </cfRule>
    <cfRule type="cellIs" dxfId="1197" priority="63" operator="equal">
      <formula>"OK"</formula>
    </cfRule>
  </conditionalFormatting>
  <conditionalFormatting sqref="C9">
    <cfRule type="cellIs" dxfId="1196" priority="37" operator="equal">
      <formula>"NR"</formula>
    </cfRule>
    <cfRule type="cellIs" dxfId="1195" priority="38" operator="equal">
      <formula>"NOK"</formula>
    </cfRule>
    <cfRule type="cellIs" dxfId="1194" priority="39" operator="equal">
      <formula>"OK"</formula>
    </cfRule>
  </conditionalFormatting>
  <conditionalFormatting sqref="C31">
    <cfRule type="cellIs" dxfId="1193" priority="16" operator="equal">
      <formula>"NR"</formula>
    </cfRule>
    <cfRule type="cellIs" dxfId="1192" priority="17" operator="equal">
      <formula>"NOK"</formula>
    </cfRule>
    <cfRule type="cellIs" dxfId="1191" priority="18" operator="equal">
      <formula>"OK"</formula>
    </cfRule>
  </conditionalFormatting>
  <conditionalFormatting sqref="C32">
    <cfRule type="cellIs" dxfId="1190" priority="19" operator="equal">
      <formula>"NR"</formula>
    </cfRule>
    <cfRule type="cellIs" dxfId="1189" priority="20" operator="equal">
      <formula>"NOK"</formula>
    </cfRule>
    <cfRule type="cellIs" dxfId="1188" priority="21" operator="equal">
      <formula>"OK"</formula>
    </cfRule>
  </conditionalFormatting>
  <conditionalFormatting sqref="B76">
    <cfRule type="cellIs" dxfId="1187" priority="13" operator="equal">
      <formula>"NR"</formula>
    </cfRule>
    <cfRule type="cellIs" dxfId="1186" priority="14" operator="equal">
      <formula>"NOK"</formula>
    </cfRule>
    <cfRule type="cellIs" dxfId="1185" priority="15" operator="equal">
      <formula>"OK"</formula>
    </cfRule>
  </conditionalFormatting>
  <conditionalFormatting sqref="C15">
    <cfRule type="cellIs" dxfId="1184" priority="1" operator="equal">
      <formula>"NR"</formula>
    </cfRule>
    <cfRule type="cellIs" dxfId="1183" priority="2" operator="equal">
      <formula>"NOK"</formula>
    </cfRule>
    <cfRule type="cellIs" dxfId="1182" priority="3" operator="equal">
      <formula>"OK"</formula>
    </cfRule>
  </conditionalFormatting>
  <conditionalFormatting sqref="B14 B16">
    <cfRule type="cellIs" dxfId="1181" priority="4" operator="equal">
      <formula>"NR"</formula>
    </cfRule>
    <cfRule type="cellIs" dxfId="1180" priority="5" operator="equal">
      <formula>"NOK"</formula>
    </cfRule>
    <cfRule type="cellIs" dxfId="1179" priority="6" operator="equal">
      <formula>"OK"</formula>
    </cfRule>
  </conditionalFormatting>
  <conditionalFormatting sqref="B12:B13">
    <cfRule type="cellIs" dxfId="1178" priority="10" operator="equal">
      <formula>"NR"</formula>
    </cfRule>
    <cfRule type="cellIs" dxfId="1177" priority="11" operator="equal">
      <formula>"NOK"</formula>
    </cfRule>
    <cfRule type="cellIs" dxfId="1176" priority="12" operator="equal">
      <formula>"OK"</formula>
    </cfRule>
  </conditionalFormatting>
  <conditionalFormatting sqref="C17">
    <cfRule type="cellIs" dxfId="1175" priority="7" operator="equal">
      <formula>"NR"</formula>
    </cfRule>
    <cfRule type="cellIs" dxfId="1174" priority="8" operator="equal">
      <formula>"NOK"</formula>
    </cfRule>
    <cfRule type="cellIs" dxfId="1173" priority="9" operator="equal">
      <formula>"OK"</formula>
    </cfRule>
  </conditionalFormatting>
  <dataValidations count="1">
    <dataValidation type="list" allowBlank="1" showInputMessage="1" showErrorMessage="1" errorTitle="Remplissage Obligatoire" error="OK -&gt; Criteria Validated_x000a_NOK -&gt; Criteria Not Validated_x000a_NR -&gt; Impossiblity to check the criteria_x000a_NA -&gt; Impossiblity to validate the criteria" prompt="NO EMPTY CELLS" sqref="C35 C9 C11 C20:C33 C15 C17" xr:uid="{663A40BB-BE7C-43C7-8991-9A45425CC0D2}">
      <formula1>"OK,NOK,NR,NA"</formula1>
    </dataValidation>
  </dataValidations>
  <pageMargins left="0.7" right="0.7" top="0.75" bottom="0.75" header="0.3" footer="0.3"/>
  <pageSetup paperSize="9" orientation="portrait" verticalDpi="598" r:id="rId1"/>
  <headerFooter>
    <oddFooter>&amp;R&amp;1#&amp;"Arial"&amp;10&amp;K000000Confidential 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565D7-E7C3-4643-9234-B1E48C740D56}">
  <sheetPr codeName="Feuil24"/>
  <dimension ref="A1:UA764"/>
  <sheetViews>
    <sheetView tabSelected="1" topLeftCell="E1" zoomScale="60" zoomScaleNormal="60" workbookViewId="0">
      <selection activeCell="E9" sqref="E9"/>
    </sheetView>
  </sheetViews>
  <sheetFormatPr baseColWidth="10" defaultColWidth="9.1796875" defaultRowHeight="14.5" x14ac:dyDescent="0.35"/>
  <cols>
    <col min="1" max="1" width="6.81640625" style="105" customWidth="1"/>
    <col min="2" max="2" width="46.1796875" style="122" customWidth="1"/>
    <col min="3" max="3" width="37.81640625" style="84" customWidth="1"/>
    <col min="4" max="4" width="48.1796875" style="84" customWidth="1"/>
    <col min="5" max="5" width="95.7265625" style="123" customWidth="1"/>
    <col min="6" max="6" width="45.453125" style="84" customWidth="1"/>
    <col min="7" max="7" width="3.54296875" style="84" customWidth="1"/>
    <col min="8" max="8" width="9.1796875" style="84"/>
    <col min="9" max="9" width="52.54296875" style="84" customWidth="1"/>
    <col min="10" max="20" width="9.1796875" style="84"/>
    <col min="21" max="21" width="9.1796875" style="84" customWidth="1"/>
    <col min="22" max="16384" width="9.1796875" style="84"/>
  </cols>
  <sheetData>
    <row r="1" spans="1:20" ht="15" thickBot="1" x14ac:dyDescent="0.4">
      <c r="A1" s="82"/>
      <c r="B1" s="394" t="s">
        <v>838</v>
      </c>
      <c r="C1" s="395"/>
      <c r="D1" s="395"/>
      <c r="E1" s="395"/>
      <c r="F1" s="396"/>
      <c r="G1" s="83"/>
      <c r="H1" s="394" t="s">
        <v>535</v>
      </c>
      <c r="I1" s="395"/>
      <c r="J1" s="395"/>
      <c r="K1" s="395"/>
      <c r="L1" s="395"/>
      <c r="M1" s="395"/>
      <c r="N1" s="395"/>
      <c r="O1" s="395"/>
      <c r="P1" s="395"/>
      <c r="Q1" s="395"/>
      <c r="R1" s="395"/>
      <c r="S1" s="396"/>
      <c r="T1" s="83"/>
    </row>
    <row r="2" spans="1:20" ht="21.5" thickBot="1" x14ac:dyDescent="0.4">
      <c r="A2" s="82"/>
      <c r="B2" s="85" t="s">
        <v>536</v>
      </c>
      <c r="C2" s="402"/>
      <c r="D2" s="402"/>
      <c r="E2" s="402"/>
      <c r="F2" s="403"/>
      <c r="G2" s="83"/>
      <c r="H2" s="404" t="s">
        <v>537</v>
      </c>
      <c r="I2" s="405"/>
      <c r="J2" s="405"/>
      <c r="K2" s="405"/>
      <c r="L2" s="405"/>
      <c r="M2" s="405"/>
      <c r="N2" s="405"/>
      <c r="O2" s="405"/>
      <c r="P2" s="405"/>
      <c r="Q2" s="405"/>
      <c r="R2" s="405"/>
      <c r="S2" s="406"/>
      <c r="T2" s="83"/>
    </row>
    <row r="3" spans="1:20" ht="15" thickBot="1" x14ac:dyDescent="0.4">
      <c r="A3" s="82"/>
      <c r="B3" s="83"/>
      <c r="C3" s="83"/>
      <c r="D3" s="83"/>
      <c r="E3" s="86"/>
      <c r="F3" s="83"/>
      <c r="G3" s="83"/>
      <c r="H3" s="407"/>
      <c r="I3" s="408"/>
      <c r="J3" s="408"/>
      <c r="K3" s="408"/>
      <c r="L3" s="408"/>
      <c r="M3" s="408"/>
      <c r="N3" s="408"/>
      <c r="O3" s="408"/>
      <c r="P3" s="408"/>
      <c r="Q3" s="408"/>
      <c r="R3" s="408"/>
      <c r="S3" s="409"/>
      <c r="T3" s="83"/>
    </row>
    <row r="4" spans="1:20" x14ac:dyDescent="0.35">
      <c r="A4" s="87"/>
      <c r="B4" s="404" t="s">
        <v>538</v>
      </c>
      <c r="C4" s="405"/>
      <c r="D4" s="405"/>
      <c r="E4" s="405"/>
      <c r="F4" s="406"/>
      <c r="G4" s="88"/>
      <c r="H4" s="410"/>
      <c r="I4" s="411"/>
      <c r="J4" s="411"/>
      <c r="K4" s="411"/>
      <c r="L4" s="411"/>
      <c r="M4" s="411"/>
      <c r="N4" s="411"/>
      <c r="O4" s="411"/>
      <c r="P4" s="411"/>
      <c r="Q4" s="411"/>
      <c r="R4" s="411"/>
      <c r="S4" s="412"/>
      <c r="T4" s="83"/>
    </row>
    <row r="5" spans="1:20" x14ac:dyDescent="0.35">
      <c r="A5" s="87" t="str">
        <f>CONCATENATE(B5,C5)</f>
        <v>StepsActions</v>
      </c>
      <c r="B5" s="89" t="s">
        <v>539</v>
      </c>
      <c r="C5" s="90" t="s">
        <v>540</v>
      </c>
      <c r="D5" s="90" t="s">
        <v>541</v>
      </c>
      <c r="E5" s="90" t="s">
        <v>542</v>
      </c>
      <c r="F5" s="91" t="s">
        <v>57</v>
      </c>
      <c r="G5" s="83"/>
      <c r="H5" s="410"/>
      <c r="I5" s="411"/>
      <c r="J5" s="411"/>
      <c r="K5" s="411"/>
      <c r="L5" s="411"/>
      <c r="M5" s="411"/>
      <c r="N5" s="411"/>
      <c r="O5" s="411"/>
      <c r="P5" s="411"/>
      <c r="Q5" s="411"/>
      <c r="R5" s="411"/>
      <c r="S5" s="412"/>
      <c r="T5" s="83"/>
    </row>
    <row r="6" spans="1:20" s="94" customFormat="1" ht="15.5" x14ac:dyDescent="0.35">
      <c r="A6" s="87" t="str">
        <f>CONCATENATE(B6,C6)</f>
        <v>Part 1</v>
      </c>
      <c r="B6" s="92" t="s">
        <v>543</v>
      </c>
      <c r="C6" s="413"/>
      <c r="D6" s="414"/>
      <c r="E6" s="414"/>
      <c r="F6" s="415"/>
      <c r="G6" s="93"/>
      <c r="H6" s="410"/>
      <c r="I6" s="411"/>
      <c r="J6" s="411"/>
      <c r="K6" s="411"/>
      <c r="L6" s="411"/>
      <c r="M6" s="411"/>
      <c r="N6" s="411"/>
      <c r="O6" s="411"/>
      <c r="P6" s="411"/>
      <c r="Q6" s="411"/>
      <c r="R6" s="411"/>
      <c r="S6" s="412"/>
      <c r="T6" s="93"/>
    </row>
    <row r="7" spans="1:20" x14ac:dyDescent="0.35">
      <c r="A7" s="87" t="str">
        <f>CONCATENATE(B7,C7)</f>
        <v>Initial StateVehicle asleep and the vehicle is equiped with MyF2 or further MyFx software</v>
      </c>
      <c r="B7" s="95" t="s">
        <v>545</v>
      </c>
      <c r="C7" s="416" t="s">
        <v>839</v>
      </c>
      <c r="D7" s="417"/>
      <c r="E7" s="417"/>
      <c r="F7" s="418"/>
      <c r="G7" s="83"/>
      <c r="H7" s="410"/>
      <c r="I7" s="411"/>
      <c r="J7" s="411"/>
      <c r="K7" s="411"/>
      <c r="L7" s="411"/>
      <c r="M7" s="411"/>
      <c r="N7" s="411"/>
      <c r="O7" s="411"/>
      <c r="P7" s="411"/>
      <c r="Q7" s="411"/>
      <c r="R7" s="411"/>
      <c r="S7" s="412"/>
      <c r="T7" s="83"/>
    </row>
    <row r="8" spans="1:20" ht="29" x14ac:dyDescent="0.35">
      <c r="A8" s="87" t="str">
        <f>CONCATENATE(B8,C8)</f>
        <v>1.1Wake up the car with the key and accept to share the information</v>
      </c>
      <c r="B8" s="96" t="s">
        <v>122</v>
      </c>
      <c r="C8" s="97" t="s">
        <v>840</v>
      </c>
      <c r="D8" s="98"/>
      <c r="E8" s="99"/>
      <c r="F8" s="100"/>
      <c r="G8" s="83"/>
      <c r="H8" s="410"/>
      <c r="I8" s="411"/>
      <c r="J8" s="411"/>
      <c r="K8" s="411"/>
      <c r="L8" s="411"/>
      <c r="M8" s="411"/>
      <c r="N8" s="411"/>
      <c r="O8" s="411"/>
      <c r="P8" s="411"/>
      <c r="Q8" s="411"/>
      <c r="R8" s="411"/>
      <c r="S8" s="412"/>
      <c r="T8" s="83"/>
    </row>
    <row r="9" spans="1:20" ht="261" x14ac:dyDescent="0.35">
      <c r="A9" s="87"/>
      <c r="B9" s="101" t="s">
        <v>116</v>
      </c>
      <c r="C9" s="129" t="s">
        <v>549</v>
      </c>
      <c r="D9" s="102" t="s">
        <v>841</v>
      </c>
      <c r="E9" s="103" t="s">
        <v>842</v>
      </c>
      <c r="F9" s="104"/>
      <c r="G9" s="83"/>
      <c r="H9" s="410"/>
      <c r="I9" s="411"/>
      <c r="J9" s="411"/>
      <c r="K9" s="411"/>
      <c r="L9" s="411"/>
      <c r="M9" s="411"/>
      <c r="N9" s="411"/>
      <c r="O9" s="411"/>
      <c r="P9" s="411"/>
      <c r="Q9" s="411"/>
      <c r="R9" s="411"/>
      <c r="S9" s="412"/>
      <c r="T9" s="83"/>
    </row>
    <row r="10" spans="1:20" ht="409.5" x14ac:dyDescent="0.35">
      <c r="A10" s="87"/>
      <c r="B10" s="101" t="s">
        <v>843</v>
      </c>
      <c r="C10" s="129" t="s">
        <v>549</v>
      </c>
      <c r="D10" s="102" t="s">
        <v>844</v>
      </c>
      <c r="E10" s="103" t="s">
        <v>845</v>
      </c>
      <c r="F10" s="104" t="s">
        <v>846</v>
      </c>
      <c r="G10" s="83"/>
      <c r="H10" s="410"/>
      <c r="I10" s="411"/>
      <c r="J10" s="411"/>
      <c r="K10" s="411"/>
      <c r="L10" s="411"/>
      <c r="M10" s="411"/>
      <c r="N10" s="411"/>
      <c r="O10" s="411"/>
      <c r="P10" s="411"/>
      <c r="Q10" s="411"/>
      <c r="R10" s="411"/>
      <c r="S10" s="412"/>
      <c r="T10" s="83"/>
    </row>
    <row r="11" spans="1:20" ht="348" x14ac:dyDescent="0.35">
      <c r="A11" s="87"/>
      <c r="B11" s="101" t="s">
        <v>847</v>
      </c>
      <c r="C11" s="129" t="s">
        <v>549</v>
      </c>
      <c r="D11" s="102" t="s">
        <v>848</v>
      </c>
      <c r="E11" s="103" t="s">
        <v>849</v>
      </c>
      <c r="F11" s="104" t="s">
        <v>850</v>
      </c>
      <c r="G11" s="83"/>
      <c r="H11" s="410"/>
      <c r="I11" s="411"/>
      <c r="J11" s="411"/>
      <c r="K11" s="411"/>
      <c r="L11" s="411"/>
      <c r="M11" s="411"/>
      <c r="N11" s="411"/>
      <c r="O11" s="411"/>
      <c r="P11" s="411"/>
      <c r="Q11" s="411"/>
      <c r="R11" s="411"/>
      <c r="S11" s="412"/>
      <c r="T11" s="83"/>
    </row>
    <row r="12" spans="1:20" ht="275.5" x14ac:dyDescent="0.35">
      <c r="A12" s="87"/>
      <c r="B12" s="101" t="s">
        <v>851</v>
      </c>
      <c r="C12" s="129" t="s">
        <v>549</v>
      </c>
      <c r="D12" s="102" t="s">
        <v>852</v>
      </c>
      <c r="E12" s="103" t="s">
        <v>853</v>
      </c>
      <c r="F12" s="104" t="s">
        <v>854</v>
      </c>
      <c r="G12" s="83"/>
      <c r="H12" s="410"/>
      <c r="I12" s="411"/>
      <c r="J12" s="411"/>
      <c r="K12" s="411"/>
      <c r="L12" s="411"/>
      <c r="M12" s="411"/>
      <c r="N12" s="411"/>
      <c r="O12" s="411"/>
      <c r="P12" s="411"/>
      <c r="Q12" s="411"/>
      <c r="R12" s="411"/>
      <c r="S12" s="412"/>
      <c r="T12" s="83"/>
    </row>
    <row r="13" spans="1:20" ht="159.5" x14ac:dyDescent="0.35">
      <c r="A13" s="87"/>
      <c r="B13" s="101" t="s">
        <v>378</v>
      </c>
      <c r="C13" s="129" t="s">
        <v>549</v>
      </c>
      <c r="D13" s="102" t="s">
        <v>852</v>
      </c>
      <c r="E13" s="103" t="s">
        <v>855</v>
      </c>
      <c r="F13" s="104"/>
      <c r="G13" s="83"/>
      <c r="H13" s="410"/>
      <c r="I13" s="411"/>
      <c r="J13" s="411"/>
      <c r="K13" s="411"/>
      <c r="L13" s="411"/>
      <c r="M13" s="411"/>
      <c r="N13" s="411"/>
      <c r="O13" s="411"/>
      <c r="P13" s="411"/>
      <c r="Q13" s="411"/>
      <c r="R13" s="411"/>
      <c r="S13" s="412"/>
      <c r="T13" s="83"/>
    </row>
    <row r="14" spans="1:20" ht="275.5" x14ac:dyDescent="0.35">
      <c r="A14" s="87"/>
      <c r="B14" s="159" t="s">
        <v>126</v>
      </c>
      <c r="C14" s="129" t="s">
        <v>549</v>
      </c>
      <c r="D14" s="102" t="s">
        <v>856</v>
      </c>
      <c r="E14" s="103" t="s">
        <v>857</v>
      </c>
      <c r="F14" s="104" t="s">
        <v>858</v>
      </c>
      <c r="G14" s="83"/>
      <c r="H14" s="410"/>
      <c r="I14" s="411"/>
      <c r="J14" s="411"/>
      <c r="K14" s="411"/>
      <c r="L14" s="411"/>
      <c r="M14" s="411"/>
      <c r="N14" s="411"/>
      <c r="O14" s="411"/>
      <c r="P14" s="411"/>
      <c r="Q14" s="411"/>
      <c r="R14" s="411"/>
      <c r="S14" s="412"/>
      <c r="T14" s="83"/>
    </row>
    <row r="15" spans="1:20" ht="58" x14ac:dyDescent="0.35">
      <c r="A15" s="87"/>
      <c r="B15" s="159" t="s">
        <v>383</v>
      </c>
      <c r="C15" s="129" t="s">
        <v>549</v>
      </c>
      <c r="D15" s="102" t="s">
        <v>856</v>
      </c>
      <c r="E15" s="103" t="s">
        <v>859</v>
      </c>
      <c r="F15" s="104" t="s">
        <v>860</v>
      </c>
      <c r="G15" s="83"/>
      <c r="H15" s="410"/>
      <c r="I15" s="411"/>
      <c r="J15" s="411"/>
      <c r="K15" s="411"/>
      <c r="L15" s="411"/>
      <c r="M15" s="411"/>
      <c r="N15" s="411"/>
      <c r="O15" s="411"/>
      <c r="P15" s="411"/>
      <c r="Q15" s="411"/>
      <c r="R15" s="411"/>
      <c r="S15" s="412"/>
      <c r="T15" s="83"/>
    </row>
    <row r="16" spans="1:20" ht="130.5" x14ac:dyDescent="0.35">
      <c r="A16" s="87"/>
      <c r="B16" s="159" t="s">
        <v>861</v>
      </c>
      <c r="C16" s="129" t="s">
        <v>549</v>
      </c>
      <c r="D16" s="102" t="s">
        <v>841</v>
      </c>
      <c r="E16" s="103" t="s">
        <v>862</v>
      </c>
      <c r="F16" s="104" t="s">
        <v>863</v>
      </c>
      <c r="G16" s="83"/>
      <c r="H16" s="410"/>
      <c r="I16" s="411"/>
      <c r="J16" s="411"/>
      <c r="K16" s="411"/>
      <c r="L16" s="411"/>
      <c r="M16" s="411"/>
      <c r="N16" s="411"/>
      <c r="O16" s="411"/>
      <c r="P16" s="411"/>
      <c r="Q16" s="411"/>
      <c r="R16" s="411"/>
      <c r="S16" s="412"/>
      <c r="T16" s="83"/>
    </row>
    <row r="17" spans="1:547" ht="406" x14ac:dyDescent="0.35">
      <c r="A17" s="87"/>
      <c r="B17" s="159" t="s">
        <v>864</v>
      </c>
      <c r="C17" s="129" t="s">
        <v>549</v>
      </c>
      <c r="D17" s="102" t="s">
        <v>865</v>
      </c>
      <c r="E17" s="103" t="s">
        <v>866</v>
      </c>
      <c r="F17" s="104" t="s">
        <v>867</v>
      </c>
      <c r="G17" s="83"/>
      <c r="H17" s="410"/>
      <c r="I17" s="411"/>
      <c r="J17" s="411"/>
      <c r="K17" s="411"/>
      <c r="L17" s="411"/>
      <c r="M17" s="411"/>
      <c r="N17" s="411"/>
      <c r="O17" s="411"/>
      <c r="P17" s="411"/>
      <c r="Q17" s="411"/>
      <c r="R17" s="411"/>
      <c r="S17" s="412"/>
      <c r="T17" s="83"/>
    </row>
    <row r="18" spans="1:547" ht="159.5" x14ac:dyDescent="0.35">
      <c r="A18" s="87"/>
      <c r="B18" s="159" t="s">
        <v>381</v>
      </c>
      <c r="C18" s="129" t="s">
        <v>549</v>
      </c>
      <c r="D18" s="102" t="s">
        <v>865</v>
      </c>
      <c r="E18" s="103" t="s">
        <v>868</v>
      </c>
      <c r="F18" s="104" t="s">
        <v>860</v>
      </c>
      <c r="G18" s="83"/>
      <c r="H18" s="410"/>
      <c r="I18" s="411"/>
      <c r="J18" s="411"/>
      <c r="K18" s="411"/>
      <c r="L18" s="411"/>
      <c r="M18" s="411"/>
      <c r="N18" s="411"/>
      <c r="O18" s="411"/>
      <c r="P18" s="411"/>
      <c r="Q18" s="411"/>
      <c r="R18" s="411"/>
      <c r="S18" s="412"/>
      <c r="T18" s="83"/>
    </row>
    <row r="19" spans="1:547" ht="101.5" x14ac:dyDescent="0.35">
      <c r="B19" s="101" t="s">
        <v>869</v>
      </c>
      <c r="C19" s="129" t="s">
        <v>549</v>
      </c>
      <c r="D19" s="102" t="s">
        <v>870</v>
      </c>
      <c r="E19" s="103" t="s">
        <v>871</v>
      </c>
      <c r="F19" s="104" t="s">
        <v>872</v>
      </c>
      <c r="G19" s="88"/>
      <c r="H19" s="410"/>
      <c r="I19" s="411"/>
      <c r="J19" s="411"/>
      <c r="K19" s="411"/>
      <c r="L19" s="411"/>
      <c r="M19" s="411"/>
      <c r="N19" s="411"/>
      <c r="O19" s="411"/>
      <c r="P19" s="411"/>
      <c r="Q19" s="411"/>
      <c r="R19" s="411"/>
      <c r="S19" s="412"/>
      <c r="T19" s="88"/>
    </row>
    <row r="20" spans="1:547" ht="188.5" x14ac:dyDescent="0.35">
      <c r="B20" s="101" t="s">
        <v>873</v>
      </c>
      <c r="C20" s="129" t="s">
        <v>549</v>
      </c>
      <c r="D20" s="102" t="s">
        <v>870</v>
      </c>
      <c r="E20" s="103" t="s">
        <v>874</v>
      </c>
      <c r="F20" s="104" t="s">
        <v>872</v>
      </c>
      <c r="G20" s="88"/>
      <c r="H20" s="410"/>
      <c r="I20" s="411"/>
      <c r="J20" s="411"/>
      <c r="K20" s="411"/>
      <c r="L20" s="411"/>
      <c r="M20" s="411"/>
      <c r="N20" s="411"/>
      <c r="O20" s="411"/>
      <c r="P20" s="411"/>
      <c r="Q20" s="411"/>
      <c r="R20" s="411"/>
      <c r="S20" s="412"/>
      <c r="T20" s="88"/>
    </row>
    <row r="21" spans="1:547" ht="116" x14ac:dyDescent="0.35">
      <c r="B21" s="101" t="s">
        <v>875</v>
      </c>
      <c r="C21" s="129" t="s">
        <v>549</v>
      </c>
      <c r="D21" s="102" t="s">
        <v>870</v>
      </c>
      <c r="E21" s="103" t="s">
        <v>876</v>
      </c>
      <c r="F21" s="104" t="s">
        <v>872</v>
      </c>
      <c r="G21" s="88"/>
      <c r="H21" s="410"/>
      <c r="I21" s="411"/>
      <c r="J21" s="411"/>
      <c r="K21" s="411"/>
      <c r="L21" s="411"/>
      <c r="M21" s="411"/>
      <c r="N21" s="411"/>
      <c r="O21" s="411"/>
      <c r="P21" s="411"/>
      <c r="Q21" s="411"/>
      <c r="R21" s="411"/>
      <c r="S21" s="412"/>
      <c r="T21" s="88"/>
    </row>
    <row r="22" spans="1:547" ht="145" x14ac:dyDescent="0.35">
      <c r="B22" s="101" t="s">
        <v>877</v>
      </c>
      <c r="C22" s="129" t="s">
        <v>549</v>
      </c>
      <c r="D22" s="102" t="s">
        <v>870</v>
      </c>
      <c r="E22" s="103" t="s">
        <v>878</v>
      </c>
      <c r="F22" s="104" t="s">
        <v>872</v>
      </c>
      <c r="G22" s="88"/>
      <c r="H22" s="410"/>
      <c r="I22" s="411"/>
      <c r="J22" s="411"/>
      <c r="K22" s="411"/>
      <c r="L22" s="411"/>
      <c r="M22" s="411"/>
      <c r="N22" s="411"/>
      <c r="O22" s="411"/>
      <c r="P22" s="411"/>
      <c r="Q22" s="411"/>
      <c r="R22" s="411"/>
      <c r="S22" s="412"/>
      <c r="T22" s="88"/>
    </row>
    <row r="23" spans="1:547" ht="409.5" x14ac:dyDescent="0.35">
      <c r="A23" s="87"/>
      <c r="B23" s="101" t="s">
        <v>879</v>
      </c>
      <c r="C23" s="129" t="s">
        <v>549</v>
      </c>
      <c r="D23" s="102" t="s">
        <v>841</v>
      </c>
      <c r="E23" s="103" t="s">
        <v>880</v>
      </c>
      <c r="F23" s="104"/>
      <c r="G23" s="83"/>
      <c r="H23" s="410"/>
      <c r="I23" s="411"/>
      <c r="J23" s="411"/>
      <c r="K23" s="411"/>
      <c r="L23" s="411"/>
      <c r="M23" s="411"/>
      <c r="N23" s="411"/>
      <c r="O23" s="411"/>
      <c r="P23" s="411"/>
      <c r="Q23" s="411"/>
      <c r="R23" s="411"/>
      <c r="S23" s="412"/>
      <c r="T23" s="83"/>
    </row>
    <row r="24" spans="1:547" ht="174" x14ac:dyDescent="0.35">
      <c r="A24" s="87"/>
      <c r="B24" s="101" t="s">
        <v>881</v>
      </c>
      <c r="C24" s="129" t="s">
        <v>549</v>
      </c>
      <c r="D24" s="102" t="s">
        <v>841</v>
      </c>
      <c r="E24" s="103" t="s">
        <v>882</v>
      </c>
      <c r="F24" s="104"/>
      <c r="G24" s="83"/>
      <c r="H24" s="410"/>
      <c r="I24" s="411"/>
      <c r="J24" s="411"/>
      <c r="K24" s="411"/>
      <c r="L24" s="411"/>
      <c r="M24" s="411"/>
      <c r="N24" s="411"/>
      <c r="O24" s="411"/>
      <c r="P24" s="411"/>
      <c r="Q24" s="411"/>
      <c r="R24" s="411"/>
      <c r="S24" s="412"/>
      <c r="T24" s="83"/>
    </row>
    <row r="25" spans="1:547" s="162" customFormat="1" ht="43.5" x14ac:dyDescent="0.35">
      <c r="A25" s="87"/>
      <c r="B25" s="101" t="s">
        <v>883</v>
      </c>
      <c r="C25" s="161" t="s">
        <v>549</v>
      </c>
      <c r="D25" s="163" t="s">
        <v>841</v>
      </c>
      <c r="E25" s="103" t="s">
        <v>884</v>
      </c>
      <c r="F25" s="104"/>
      <c r="G25" s="83"/>
      <c r="H25" s="410"/>
      <c r="I25" s="411"/>
      <c r="J25" s="411"/>
      <c r="K25" s="411"/>
      <c r="L25" s="411"/>
      <c r="M25" s="411"/>
      <c r="N25" s="411"/>
      <c r="O25" s="411"/>
      <c r="P25" s="411"/>
      <c r="Q25" s="411"/>
      <c r="R25" s="411"/>
      <c r="S25" s="412"/>
      <c r="T25" s="83"/>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84"/>
      <c r="AW25" s="84"/>
      <c r="AX25" s="84"/>
      <c r="AY25" s="84"/>
      <c r="AZ25" s="84"/>
      <c r="BA25" s="84"/>
      <c r="BB25" s="84"/>
      <c r="BC25" s="84"/>
      <c r="BD25" s="84"/>
      <c r="BE25" s="84"/>
      <c r="BF25" s="84"/>
      <c r="BG25" s="84"/>
      <c r="BH25" s="84"/>
      <c r="BI25" s="84"/>
      <c r="BJ25" s="84"/>
      <c r="BK25" s="84"/>
      <c r="BL25" s="84"/>
      <c r="BM25" s="84"/>
      <c r="BN25" s="84"/>
      <c r="BO25" s="84"/>
      <c r="BP25" s="84"/>
      <c r="BQ25" s="84"/>
      <c r="BR25" s="84"/>
      <c r="BS25" s="84"/>
      <c r="BT25" s="84"/>
      <c r="BU25" s="84"/>
      <c r="BV25" s="84"/>
      <c r="BW25" s="84"/>
      <c r="BX25" s="84"/>
      <c r="BY25" s="84"/>
      <c r="BZ25" s="84"/>
      <c r="CA25" s="84"/>
      <c r="CB25" s="84"/>
      <c r="CC25" s="84"/>
      <c r="CD25" s="84"/>
      <c r="CE25" s="84"/>
      <c r="CF25" s="84"/>
      <c r="CG25" s="84"/>
      <c r="CH25" s="84"/>
      <c r="CI25" s="84"/>
      <c r="CJ25" s="84"/>
      <c r="CK25" s="84"/>
      <c r="CL25" s="84"/>
      <c r="CM25" s="84"/>
      <c r="CN25" s="84"/>
      <c r="CO25" s="84"/>
      <c r="CP25" s="84"/>
      <c r="CQ25" s="84"/>
      <c r="CR25" s="84"/>
      <c r="CS25" s="84"/>
      <c r="CT25" s="84"/>
      <c r="CU25" s="84"/>
      <c r="CV25" s="84"/>
      <c r="CW25" s="84"/>
      <c r="CX25" s="84"/>
      <c r="CY25" s="84"/>
      <c r="CZ25" s="84"/>
      <c r="DA25" s="84"/>
      <c r="DB25" s="84"/>
      <c r="DC25" s="84"/>
      <c r="DD25" s="84"/>
      <c r="DE25" s="84"/>
      <c r="DF25" s="84"/>
      <c r="DG25" s="84"/>
      <c r="DH25" s="84"/>
      <c r="DI25" s="84"/>
      <c r="DJ25" s="84"/>
      <c r="DK25" s="84"/>
      <c r="DL25" s="84"/>
      <c r="DM25" s="84"/>
      <c r="DN25" s="84"/>
      <c r="DO25" s="84"/>
      <c r="DP25" s="84"/>
      <c r="DQ25" s="84"/>
      <c r="DR25" s="84"/>
      <c r="DS25" s="84"/>
      <c r="DT25" s="84"/>
      <c r="DU25" s="84"/>
      <c r="DV25" s="84"/>
      <c r="DW25" s="84"/>
      <c r="DX25" s="84"/>
      <c r="DY25" s="84"/>
      <c r="DZ25" s="84"/>
      <c r="EA25" s="84"/>
      <c r="EB25" s="84"/>
      <c r="EC25" s="84"/>
      <c r="ED25" s="84"/>
      <c r="EE25" s="84"/>
      <c r="EF25" s="84"/>
      <c r="EG25" s="84"/>
      <c r="EH25" s="84"/>
      <c r="EI25" s="84"/>
      <c r="EJ25" s="84"/>
      <c r="EK25" s="84"/>
      <c r="EL25" s="84"/>
      <c r="EM25" s="84"/>
      <c r="EN25" s="84"/>
      <c r="EO25" s="84"/>
      <c r="EP25" s="84"/>
      <c r="EQ25" s="84"/>
      <c r="ER25" s="84"/>
      <c r="ES25" s="84"/>
      <c r="ET25" s="84"/>
      <c r="EU25" s="84"/>
      <c r="EV25" s="84"/>
      <c r="EW25" s="84"/>
      <c r="EX25" s="84"/>
      <c r="EY25" s="84"/>
      <c r="EZ25" s="84"/>
      <c r="FA25" s="84"/>
      <c r="FB25" s="84"/>
      <c r="FC25" s="84"/>
      <c r="FD25" s="84"/>
      <c r="FE25" s="84"/>
      <c r="FF25" s="84"/>
      <c r="FG25" s="84"/>
      <c r="FH25" s="84"/>
      <c r="FI25" s="84"/>
      <c r="FJ25" s="84"/>
      <c r="FK25" s="84"/>
      <c r="FL25" s="84"/>
      <c r="FM25" s="84"/>
      <c r="FN25" s="84"/>
      <c r="FO25" s="84"/>
      <c r="FP25" s="84"/>
      <c r="FQ25" s="84"/>
      <c r="FR25" s="84"/>
      <c r="FS25" s="84"/>
      <c r="FT25" s="84"/>
      <c r="FU25" s="84"/>
      <c r="FV25" s="84"/>
      <c r="FW25" s="84"/>
      <c r="FX25" s="84"/>
      <c r="FY25" s="84"/>
      <c r="FZ25" s="84"/>
      <c r="GA25" s="84"/>
      <c r="GB25" s="84"/>
      <c r="GC25" s="84"/>
      <c r="GD25" s="84"/>
      <c r="GE25" s="84"/>
      <c r="GF25" s="84"/>
      <c r="GG25" s="84"/>
      <c r="GH25" s="84"/>
      <c r="GI25" s="84"/>
      <c r="GJ25" s="84"/>
      <c r="GK25" s="84"/>
      <c r="GL25" s="84"/>
      <c r="GM25" s="84"/>
      <c r="GN25" s="84"/>
      <c r="GO25" s="84"/>
      <c r="GP25" s="84"/>
      <c r="GQ25" s="84"/>
      <c r="GR25" s="84"/>
      <c r="GS25" s="84"/>
      <c r="GT25" s="84"/>
      <c r="GU25" s="84"/>
      <c r="GV25" s="84"/>
      <c r="GW25" s="84"/>
      <c r="GX25" s="84"/>
      <c r="GY25" s="84"/>
      <c r="GZ25" s="84"/>
      <c r="HA25" s="84"/>
      <c r="HB25" s="84"/>
      <c r="HC25" s="84"/>
      <c r="HD25" s="84"/>
      <c r="HE25" s="84"/>
      <c r="HF25" s="84"/>
      <c r="HG25" s="84"/>
      <c r="HH25" s="84"/>
      <c r="HI25" s="84"/>
      <c r="HJ25" s="84"/>
      <c r="HK25" s="84"/>
      <c r="HL25" s="84"/>
      <c r="HM25" s="84"/>
      <c r="HN25" s="84"/>
      <c r="HO25" s="84"/>
      <c r="HP25" s="84"/>
      <c r="HQ25" s="84"/>
      <c r="HR25" s="84"/>
      <c r="HS25" s="84"/>
      <c r="HT25" s="84"/>
      <c r="HU25" s="84"/>
      <c r="HV25" s="84"/>
      <c r="HW25" s="84"/>
      <c r="HX25" s="84"/>
      <c r="HY25" s="84"/>
      <c r="HZ25" s="84"/>
      <c r="IA25" s="84"/>
      <c r="IB25" s="84"/>
      <c r="IC25" s="84"/>
      <c r="ID25" s="84"/>
      <c r="IE25" s="84"/>
      <c r="IF25" s="84"/>
      <c r="IG25" s="84"/>
      <c r="IH25" s="84"/>
      <c r="II25" s="84"/>
      <c r="IJ25" s="84"/>
      <c r="IK25" s="84"/>
      <c r="IL25" s="84"/>
      <c r="IM25" s="84"/>
      <c r="IN25" s="84"/>
      <c r="IO25" s="84"/>
      <c r="IP25" s="84"/>
      <c r="IQ25" s="84"/>
      <c r="IR25" s="84"/>
      <c r="IS25" s="84"/>
      <c r="IT25" s="84"/>
      <c r="IU25" s="84"/>
      <c r="IV25" s="84"/>
      <c r="IW25" s="84"/>
      <c r="IX25" s="84"/>
      <c r="IY25" s="84"/>
      <c r="IZ25" s="84"/>
      <c r="JA25" s="84"/>
      <c r="JB25" s="84"/>
      <c r="JC25" s="84"/>
      <c r="JD25" s="84"/>
      <c r="JE25" s="84"/>
      <c r="JF25" s="84"/>
      <c r="JG25" s="84"/>
      <c r="JH25" s="84"/>
      <c r="JI25" s="84"/>
      <c r="JJ25" s="84"/>
      <c r="JK25" s="84"/>
      <c r="JL25" s="84"/>
      <c r="JM25" s="84"/>
      <c r="JN25" s="84"/>
      <c r="JO25" s="84"/>
      <c r="JP25" s="84"/>
      <c r="JQ25" s="84"/>
      <c r="JR25" s="84"/>
      <c r="JS25" s="84"/>
      <c r="JT25" s="84"/>
      <c r="JU25" s="84"/>
      <c r="JV25" s="84"/>
      <c r="JW25" s="84"/>
      <c r="JX25" s="84"/>
      <c r="JY25" s="84"/>
      <c r="JZ25" s="84"/>
      <c r="KA25" s="84"/>
      <c r="KB25" s="84"/>
      <c r="KC25" s="84"/>
      <c r="KD25" s="84"/>
      <c r="KE25" s="84"/>
      <c r="KF25" s="84"/>
      <c r="KG25" s="84"/>
      <c r="KH25" s="84"/>
      <c r="KI25" s="84"/>
      <c r="KJ25" s="84"/>
      <c r="KK25" s="84"/>
      <c r="KL25" s="84"/>
      <c r="KM25" s="84"/>
      <c r="KN25" s="84"/>
      <c r="KO25" s="84"/>
      <c r="KP25" s="84"/>
      <c r="KQ25" s="84"/>
      <c r="KR25" s="84"/>
      <c r="KS25" s="84"/>
      <c r="KT25" s="84"/>
      <c r="KU25" s="84"/>
      <c r="KV25" s="84"/>
      <c r="KW25" s="84"/>
      <c r="KX25" s="84"/>
      <c r="KY25" s="84"/>
      <c r="KZ25" s="84"/>
      <c r="LA25" s="84"/>
      <c r="LB25" s="84"/>
      <c r="LC25" s="84"/>
      <c r="LD25" s="84"/>
      <c r="LE25" s="84"/>
      <c r="LF25" s="84"/>
      <c r="LG25" s="84"/>
      <c r="LH25" s="84"/>
      <c r="LI25" s="84"/>
      <c r="LJ25" s="84"/>
      <c r="LK25" s="84"/>
      <c r="LL25" s="84"/>
      <c r="LM25" s="84"/>
      <c r="LN25" s="84"/>
      <c r="LO25" s="84"/>
      <c r="LP25" s="84"/>
      <c r="LQ25" s="84"/>
      <c r="LR25" s="84"/>
      <c r="LS25" s="84"/>
      <c r="LT25" s="84"/>
      <c r="LU25" s="84"/>
      <c r="LV25" s="84"/>
      <c r="LW25" s="84"/>
      <c r="LX25" s="84"/>
      <c r="LY25" s="84"/>
      <c r="LZ25" s="84"/>
      <c r="MA25" s="84"/>
      <c r="MB25" s="84"/>
      <c r="MC25" s="84"/>
      <c r="MD25" s="84"/>
      <c r="ME25" s="84"/>
      <c r="MF25" s="84"/>
      <c r="MG25" s="84"/>
      <c r="MH25" s="84"/>
      <c r="MI25" s="84"/>
      <c r="MJ25" s="84"/>
      <c r="MK25" s="84"/>
      <c r="ML25" s="84"/>
      <c r="MM25" s="84"/>
      <c r="MN25" s="84"/>
      <c r="MO25" s="84"/>
      <c r="MP25" s="84"/>
      <c r="MQ25" s="84"/>
      <c r="MR25" s="84"/>
      <c r="MS25" s="84"/>
      <c r="MT25" s="84"/>
      <c r="MU25" s="84"/>
      <c r="MV25" s="84"/>
      <c r="MW25" s="84"/>
      <c r="MX25" s="84"/>
      <c r="MY25" s="84"/>
      <c r="MZ25" s="84"/>
      <c r="NA25" s="84"/>
      <c r="NB25" s="84"/>
      <c r="NC25" s="84"/>
      <c r="ND25" s="84"/>
      <c r="NE25" s="84"/>
      <c r="NF25" s="84"/>
      <c r="NG25" s="84"/>
      <c r="NH25" s="84"/>
      <c r="NI25" s="84"/>
      <c r="NJ25" s="84"/>
      <c r="NK25" s="84"/>
      <c r="NL25" s="84"/>
      <c r="NM25" s="84"/>
      <c r="NN25" s="84"/>
      <c r="NO25" s="84"/>
      <c r="NP25" s="84"/>
      <c r="NQ25" s="84"/>
      <c r="NR25" s="84"/>
      <c r="NS25" s="84"/>
      <c r="NT25" s="84"/>
      <c r="NU25" s="84"/>
      <c r="NV25" s="84"/>
      <c r="NW25" s="84"/>
      <c r="NX25" s="84"/>
      <c r="NY25" s="84"/>
      <c r="NZ25" s="84"/>
      <c r="OA25" s="84"/>
      <c r="OB25" s="84"/>
      <c r="OC25" s="84"/>
      <c r="OD25" s="84"/>
      <c r="OE25" s="84"/>
      <c r="OF25" s="84"/>
      <c r="OG25" s="84"/>
      <c r="OH25" s="84"/>
      <c r="OI25" s="84"/>
      <c r="OJ25" s="84"/>
      <c r="OK25" s="84"/>
      <c r="OL25" s="84"/>
      <c r="OM25" s="84"/>
      <c r="ON25" s="84"/>
      <c r="OO25" s="84"/>
      <c r="OP25" s="84"/>
      <c r="OQ25" s="84"/>
      <c r="OR25" s="84"/>
      <c r="OS25" s="84"/>
      <c r="OT25" s="84"/>
      <c r="OU25" s="84"/>
      <c r="OV25" s="84"/>
      <c r="OW25" s="84"/>
      <c r="OX25" s="84"/>
      <c r="OY25" s="84"/>
      <c r="OZ25" s="84"/>
      <c r="PA25" s="84"/>
      <c r="PB25" s="84"/>
      <c r="PC25" s="84"/>
      <c r="PD25" s="84"/>
      <c r="PE25" s="84"/>
      <c r="PF25" s="84"/>
      <c r="PG25" s="84"/>
      <c r="PH25" s="84"/>
      <c r="PI25" s="84"/>
      <c r="PJ25" s="84"/>
      <c r="PK25" s="84"/>
      <c r="PL25" s="84"/>
      <c r="PM25" s="84"/>
      <c r="PN25" s="84"/>
      <c r="PO25" s="84"/>
      <c r="PP25" s="84"/>
      <c r="PQ25" s="84"/>
      <c r="PR25" s="84"/>
      <c r="PS25" s="84"/>
      <c r="PT25" s="84"/>
      <c r="PU25" s="84"/>
      <c r="PV25" s="84"/>
      <c r="PW25" s="84"/>
      <c r="PX25" s="84"/>
      <c r="PY25" s="84"/>
      <c r="PZ25" s="84"/>
      <c r="QA25" s="84"/>
      <c r="QB25" s="84"/>
      <c r="QC25" s="84"/>
      <c r="QD25" s="84"/>
      <c r="QE25" s="84"/>
      <c r="QF25" s="84"/>
      <c r="QG25" s="84"/>
      <c r="QH25" s="84"/>
      <c r="QI25" s="84"/>
      <c r="QJ25" s="84"/>
      <c r="QK25" s="84"/>
      <c r="QL25" s="84"/>
      <c r="QM25" s="84"/>
      <c r="QN25" s="84"/>
      <c r="QO25" s="84"/>
      <c r="QP25" s="84"/>
      <c r="QQ25" s="84"/>
      <c r="QR25" s="84"/>
      <c r="QS25" s="84"/>
      <c r="QT25" s="84"/>
      <c r="QU25" s="84"/>
      <c r="QV25" s="84"/>
      <c r="QW25" s="84"/>
      <c r="QX25" s="84"/>
      <c r="QY25" s="84"/>
      <c r="QZ25" s="84"/>
      <c r="RA25" s="84"/>
      <c r="RB25" s="84"/>
      <c r="RC25" s="84"/>
      <c r="RD25" s="84"/>
      <c r="RE25" s="84"/>
      <c r="RF25" s="84"/>
      <c r="RG25" s="84"/>
      <c r="RH25" s="84"/>
      <c r="RI25" s="84"/>
      <c r="RJ25" s="84"/>
      <c r="RK25" s="84"/>
      <c r="RL25" s="84"/>
      <c r="RM25" s="84"/>
      <c r="RN25" s="84"/>
      <c r="RO25" s="84"/>
      <c r="RP25" s="84"/>
      <c r="RQ25" s="84"/>
      <c r="RR25" s="84"/>
      <c r="RS25" s="84"/>
      <c r="RT25" s="84"/>
      <c r="RU25" s="84"/>
      <c r="RV25" s="84"/>
      <c r="RW25" s="84"/>
      <c r="RX25" s="84"/>
      <c r="RY25" s="84"/>
      <c r="RZ25" s="84"/>
      <c r="SA25" s="84"/>
      <c r="SB25" s="84"/>
      <c r="SC25" s="84"/>
      <c r="SD25" s="84"/>
      <c r="SE25" s="84"/>
      <c r="SF25" s="84"/>
      <c r="SG25" s="84"/>
      <c r="SH25" s="84"/>
      <c r="SI25" s="84"/>
      <c r="SJ25" s="84"/>
      <c r="SK25" s="84"/>
      <c r="SL25" s="84"/>
      <c r="SM25" s="84"/>
      <c r="SN25" s="84"/>
      <c r="SO25" s="84"/>
      <c r="SP25" s="84"/>
      <c r="SQ25" s="84"/>
      <c r="SR25" s="84"/>
      <c r="SS25" s="84"/>
      <c r="ST25" s="84"/>
      <c r="SU25" s="84"/>
      <c r="SV25" s="84"/>
      <c r="SW25" s="84"/>
      <c r="SX25" s="84"/>
      <c r="SY25" s="84"/>
      <c r="SZ25" s="84"/>
      <c r="TA25" s="84"/>
      <c r="TB25" s="84"/>
      <c r="TC25" s="84"/>
      <c r="TD25" s="84"/>
      <c r="TE25" s="84"/>
      <c r="TF25" s="84"/>
      <c r="TG25" s="84"/>
      <c r="TH25" s="84"/>
      <c r="TI25" s="84"/>
      <c r="TJ25" s="84"/>
      <c r="TK25" s="84"/>
      <c r="TL25" s="84"/>
      <c r="TM25" s="84"/>
      <c r="TN25" s="84"/>
      <c r="TO25" s="84"/>
      <c r="TP25" s="84"/>
      <c r="TQ25" s="84"/>
      <c r="TR25" s="84"/>
      <c r="TS25" s="84"/>
      <c r="TT25" s="84"/>
      <c r="TU25" s="84"/>
      <c r="TV25" s="84"/>
      <c r="TW25" s="84"/>
      <c r="TX25" s="84"/>
      <c r="TY25" s="84"/>
      <c r="TZ25" s="84"/>
      <c r="UA25" s="84"/>
    </row>
    <row r="26" spans="1:547" ht="29" x14ac:dyDescent="0.35">
      <c r="A26" s="87"/>
      <c r="B26" s="96" t="s">
        <v>552</v>
      </c>
      <c r="C26" s="97" t="s">
        <v>885</v>
      </c>
      <c r="D26" s="98"/>
      <c r="E26" s="98"/>
      <c r="F26" s="100"/>
      <c r="G26" s="83"/>
      <c r="H26" s="410"/>
      <c r="I26" s="411"/>
      <c r="J26" s="411"/>
      <c r="K26" s="411"/>
      <c r="L26" s="411"/>
      <c r="M26" s="411"/>
      <c r="N26" s="411"/>
      <c r="O26" s="411"/>
      <c r="P26" s="411"/>
      <c r="Q26" s="411"/>
      <c r="R26" s="411"/>
      <c r="S26" s="412"/>
      <c r="T26" s="83"/>
    </row>
    <row r="27" spans="1:547" ht="261" x14ac:dyDescent="0.35">
      <c r="A27" s="87" t="e">
        <f>CONCATENATE(#REF!,#REF!)</f>
        <v>#REF!</v>
      </c>
      <c r="B27" s="101" t="s">
        <v>116</v>
      </c>
      <c r="C27" s="129" t="s">
        <v>549</v>
      </c>
      <c r="D27" s="102" t="s">
        <v>841</v>
      </c>
      <c r="E27" s="103" t="s">
        <v>842</v>
      </c>
      <c r="F27" s="104"/>
      <c r="G27" s="83"/>
      <c r="H27" s="410"/>
      <c r="I27" s="411"/>
      <c r="J27" s="411"/>
      <c r="K27" s="411"/>
      <c r="L27" s="411"/>
      <c r="M27" s="411"/>
      <c r="N27" s="411"/>
      <c r="O27" s="411"/>
      <c r="P27" s="411"/>
      <c r="Q27" s="411"/>
      <c r="R27" s="411"/>
      <c r="S27" s="412"/>
      <c r="T27" s="83"/>
    </row>
    <row r="28" spans="1:547" ht="409.5" x14ac:dyDescent="0.35">
      <c r="A28" s="87"/>
      <c r="B28" s="101" t="s">
        <v>843</v>
      </c>
      <c r="C28" s="129" t="s">
        <v>549</v>
      </c>
      <c r="D28" s="102" t="s">
        <v>886</v>
      </c>
      <c r="E28" s="103" t="s">
        <v>845</v>
      </c>
      <c r="F28" s="104" t="s">
        <v>846</v>
      </c>
      <c r="G28" s="83"/>
      <c r="H28" s="410"/>
      <c r="I28" s="411"/>
      <c r="J28" s="411"/>
      <c r="K28" s="411"/>
      <c r="L28" s="411"/>
      <c r="M28" s="411"/>
      <c r="N28" s="411"/>
      <c r="O28" s="411"/>
      <c r="P28" s="411"/>
      <c r="Q28" s="411"/>
      <c r="R28" s="411"/>
      <c r="S28" s="412"/>
      <c r="T28" s="83"/>
    </row>
    <row r="29" spans="1:547" ht="348" x14ac:dyDescent="0.35">
      <c r="A29" s="87"/>
      <c r="B29" s="101" t="s">
        <v>887</v>
      </c>
      <c r="C29" s="129" t="s">
        <v>549</v>
      </c>
      <c r="D29" s="102" t="s">
        <v>852</v>
      </c>
      <c r="E29" s="103" t="s">
        <v>849</v>
      </c>
      <c r="F29" s="104" t="s">
        <v>888</v>
      </c>
      <c r="G29" s="83"/>
      <c r="H29" s="410"/>
      <c r="I29" s="411"/>
      <c r="J29" s="411"/>
      <c r="K29" s="411"/>
      <c r="L29" s="411"/>
      <c r="M29" s="411"/>
      <c r="N29" s="411"/>
      <c r="O29" s="411"/>
      <c r="P29" s="411"/>
      <c r="Q29" s="411"/>
      <c r="R29" s="411"/>
      <c r="S29" s="412"/>
      <c r="T29" s="83"/>
    </row>
    <row r="30" spans="1:547" ht="275.5" x14ac:dyDescent="0.35">
      <c r="A30" s="87"/>
      <c r="B30" s="101" t="s">
        <v>851</v>
      </c>
      <c r="C30" s="129" t="s">
        <v>549</v>
      </c>
      <c r="D30" s="102" t="s">
        <v>852</v>
      </c>
      <c r="E30" s="103" t="s">
        <v>853</v>
      </c>
      <c r="F30" s="104" t="s">
        <v>854</v>
      </c>
      <c r="G30" s="83"/>
      <c r="H30" s="410"/>
      <c r="I30" s="411"/>
      <c r="J30" s="411"/>
      <c r="K30" s="411"/>
      <c r="L30" s="411"/>
      <c r="M30" s="411"/>
      <c r="N30" s="411"/>
      <c r="O30" s="411"/>
      <c r="P30" s="411"/>
      <c r="Q30" s="411"/>
      <c r="R30" s="411"/>
      <c r="S30" s="412"/>
      <c r="T30" s="83"/>
    </row>
    <row r="31" spans="1:547" ht="159.5" x14ac:dyDescent="0.35">
      <c r="A31" s="87"/>
      <c r="B31" s="101" t="s">
        <v>378</v>
      </c>
      <c r="C31" s="129" t="s">
        <v>549</v>
      </c>
      <c r="D31" s="102" t="s">
        <v>852</v>
      </c>
      <c r="E31" s="103" t="s">
        <v>889</v>
      </c>
      <c r="F31" s="104"/>
      <c r="G31" s="83"/>
      <c r="H31" s="410"/>
      <c r="I31" s="411"/>
      <c r="J31" s="411"/>
      <c r="K31" s="411"/>
      <c r="L31" s="411"/>
      <c r="M31" s="411"/>
      <c r="N31" s="411"/>
      <c r="O31" s="411"/>
      <c r="P31" s="411"/>
      <c r="Q31" s="411"/>
      <c r="R31" s="411"/>
      <c r="S31" s="412"/>
      <c r="T31" s="83"/>
    </row>
    <row r="32" spans="1:547" ht="275.5" x14ac:dyDescent="0.35">
      <c r="A32" s="87"/>
      <c r="B32" s="159" t="s">
        <v>126</v>
      </c>
      <c r="C32" s="129" t="s">
        <v>549</v>
      </c>
      <c r="D32" s="102" t="s">
        <v>856</v>
      </c>
      <c r="E32" s="103" t="s">
        <v>857</v>
      </c>
      <c r="F32" s="104" t="s">
        <v>858</v>
      </c>
      <c r="G32" s="83"/>
      <c r="H32" s="410"/>
      <c r="I32" s="411"/>
      <c r="J32" s="411"/>
      <c r="K32" s="411"/>
      <c r="L32" s="411"/>
      <c r="M32" s="411"/>
      <c r="N32" s="411"/>
      <c r="O32" s="411"/>
      <c r="P32" s="411"/>
      <c r="Q32" s="411"/>
      <c r="R32" s="411"/>
      <c r="S32" s="412"/>
      <c r="T32" s="83"/>
    </row>
    <row r="33" spans="1:20" ht="58" x14ac:dyDescent="0.35">
      <c r="A33" s="87"/>
      <c r="B33" s="159" t="s">
        <v>383</v>
      </c>
      <c r="C33" s="129" t="s">
        <v>549</v>
      </c>
      <c r="D33" s="102" t="s">
        <v>856</v>
      </c>
      <c r="E33" s="103" t="s">
        <v>859</v>
      </c>
      <c r="F33" s="104" t="s">
        <v>860</v>
      </c>
      <c r="G33" s="83"/>
      <c r="H33" s="410"/>
      <c r="I33" s="411"/>
      <c r="J33" s="411"/>
      <c r="K33" s="411"/>
      <c r="L33" s="411"/>
      <c r="M33" s="411"/>
      <c r="N33" s="411"/>
      <c r="O33" s="411"/>
      <c r="P33" s="411"/>
      <c r="Q33" s="411"/>
      <c r="R33" s="411"/>
      <c r="S33" s="412"/>
      <c r="T33" s="83"/>
    </row>
    <row r="34" spans="1:20" ht="130.5" x14ac:dyDescent="0.35">
      <c r="A34" s="87"/>
      <c r="B34" s="159" t="s">
        <v>861</v>
      </c>
      <c r="C34" s="129" t="s">
        <v>549</v>
      </c>
      <c r="D34" s="102" t="s">
        <v>841</v>
      </c>
      <c r="E34" s="103" t="s">
        <v>862</v>
      </c>
      <c r="F34" s="104" t="s">
        <v>863</v>
      </c>
      <c r="G34" s="83"/>
      <c r="H34" s="410"/>
      <c r="I34" s="411"/>
      <c r="J34" s="411"/>
      <c r="K34" s="411"/>
      <c r="L34" s="411"/>
      <c r="M34" s="411"/>
      <c r="N34" s="411"/>
      <c r="O34" s="411"/>
      <c r="P34" s="411"/>
      <c r="Q34" s="411"/>
      <c r="R34" s="411"/>
      <c r="S34" s="412"/>
      <c r="T34" s="83"/>
    </row>
    <row r="35" spans="1:20" ht="406" x14ac:dyDescent="0.35">
      <c r="A35" s="87"/>
      <c r="B35" s="159" t="s">
        <v>864</v>
      </c>
      <c r="C35" s="129" t="s">
        <v>549</v>
      </c>
      <c r="D35" s="102" t="s">
        <v>865</v>
      </c>
      <c r="E35" s="103" t="s">
        <v>866</v>
      </c>
      <c r="F35" s="104" t="s">
        <v>867</v>
      </c>
      <c r="G35" s="83"/>
      <c r="H35" s="410"/>
      <c r="I35" s="411"/>
      <c r="J35" s="411"/>
      <c r="K35" s="411"/>
      <c r="L35" s="411"/>
      <c r="M35" s="411"/>
      <c r="N35" s="411"/>
      <c r="O35" s="411"/>
      <c r="P35" s="411"/>
      <c r="Q35" s="411"/>
      <c r="R35" s="411"/>
      <c r="S35" s="412"/>
      <c r="T35" s="83"/>
    </row>
    <row r="36" spans="1:20" ht="159.5" x14ac:dyDescent="0.35">
      <c r="A36" s="87"/>
      <c r="B36" s="159" t="s">
        <v>381</v>
      </c>
      <c r="C36" s="129" t="s">
        <v>549</v>
      </c>
      <c r="D36" s="102" t="s">
        <v>865</v>
      </c>
      <c r="E36" s="103" t="s">
        <v>868</v>
      </c>
      <c r="F36" s="104" t="s">
        <v>860</v>
      </c>
      <c r="G36" s="83"/>
      <c r="H36" s="410"/>
      <c r="I36" s="411"/>
      <c r="J36" s="411"/>
      <c r="K36" s="411"/>
      <c r="L36" s="411"/>
      <c r="M36" s="411"/>
      <c r="N36" s="411"/>
      <c r="O36" s="411"/>
      <c r="P36" s="411"/>
      <c r="Q36" s="411"/>
      <c r="R36" s="411"/>
      <c r="S36" s="412"/>
      <c r="T36" s="83"/>
    </row>
    <row r="37" spans="1:20" ht="101.5" x14ac:dyDescent="0.35">
      <c r="B37" s="101" t="s">
        <v>869</v>
      </c>
      <c r="C37" s="129" t="s">
        <v>549</v>
      </c>
      <c r="D37" s="102" t="s">
        <v>870</v>
      </c>
      <c r="E37" s="103" t="s">
        <v>871</v>
      </c>
      <c r="F37" s="104" t="s">
        <v>872</v>
      </c>
      <c r="G37" s="88"/>
      <c r="H37" s="410"/>
      <c r="I37" s="411"/>
      <c r="J37" s="411"/>
      <c r="K37" s="411"/>
      <c r="L37" s="411"/>
      <c r="M37" s="411"/>
      <c r="N37" s="411"/>
      <c r="O37" s="411"/>
      <c r="P37" s="411"/>
      <c r="Q37" s="411"/>
      <c r="R37" s="411"/>
      <c r="S37" s="412"/>
      <c r="T37" s="88"/>
    </row>
    <row r="38" spans="1:20" ht="188.5" x14ac:dyDescent="0.35">
      <c r="B38" s="101" t="s">
        <v>873</v>
      </c>
      <c r="C38" s="129" t="s">
        <v>549</v>
      </c>
      <c r="D38" s="102" t="s">
        <v>870</v>
      </c>
      <c r="E38" s="103" t="s">
        <v>874</v>
      </c>
      <c r="F38" s="104" t="s">
        <v>872</v>
      </c>
      <c r="G38" s="88"/>
      <c r="H38" s="410"/>
      <c r="I38" s="411"/>
      <c r="J38" s="411"/>
      <c r="K38" s="411"/>
      <c r="L38" s="411"/>
      <c r="M38" s="411"/>
      <c r="N38" s="411"/>
      <c r="O38" s="411"/>
      <c r="P38" s="411"/>
      <c r="Q38" s="411"/>
      <c r="R38" s="411"/>
      <c r="S38" s="412"/>
      <c r="T38" s="88"/>
    </row>
    <row r="39" spans="1:20" ht="116" x14ac:dyDescent="0.35">
      <c r="B39" s="101" t="s">
        <v>875</v>
      </c>
      <c r="C39" s="129" t="s">
        <v>549</v>
      </c>
      <c r="D39" s="102" t="s">
        <v>870</v>
      </c>
      <c r="E39" s="103" t="s">
        <v>876</v>
      </c>
      <c r="F39" s="104" t="s">
        <v>872</v>
      </c>
      <c r="G39" s="88"/>
      <c r="H39" s="410"/>
      <c r="I39" s="411"/>
      <c r="J39" s="411"/>
      <c r="K39" s="411"/>
      <c r="L39" s="411"/>
      <c r="M39" s="411"/>
      <c r="N39" s="411"/>
      <c r="O39" s="411"/>
      <c r="P39" s="411"/>
      <c r="Q39" s="411"/>
      <c r="R39" s="411"/>
      <c r="S39" s="412"/>
      <c r="T39" s="88"/>
    </row>
    <row r="40" spans="1:20" ht="145" x14ac:dyDescent="0.35">
      <c r="B40" s="101" t="s">
        <v>877</v>
      </c>
      <c r="C40" s="129" t="s">
        <v>549</v>
      </c>
      <c r="D40" s="102" t="s">
        <v>870</v>
      </c>
      <c r="E40" s="103" t="s">
        <v>878</v>
      </c>
      <c r="F40" s="104" t="s">
        <v>872</v>
      </c>
      <c r="G40" s="88"/>
      <c r="H40" s="410"/>
      <c r="I40" s="411"/>
      <c r="J40" s="411"/>
      <c r="K40" s="411"/>
      <c r="L40" s="411"/>
      <c r="M40" s="411"/>
      <c r="N40" s="411"/>
      <c r="O40" s="411"/>
      <c r="P40" s="411"/>
      <c r="Q40" s="411"/>
      <c r="R40" s="411"/>
      <c r="S40" s="412"/>
      <c r="T40" s="88"/>
    </row>
    <row r="41" spans="1:20" ht="409.5" x14ac:dyDescent="0.35">
      <c r="A41" s="87"/>
      <c r="B41" s="101" t="s">
        <v>879</v>
      </c>
      <c r="C41" s="129" t="s">
        <v>549</v>
      </c>
      <c r="D41" s="102" t="s">
        <v>841</v>
      </c>
      <c r="E41" s="103" t="s">
        <v>880</v>
      </c>
      <c r="F41" s="104"/>
      <c r="G41" s="83"/>
      <c r="H41" s="410"/>
      <c r="I41" s="411"/>
      <c r="J41" s="411"/>
      <c r="K41" s="411"/>
      <c r="L41" s="411"/>
      <c r="M41" s="411"/>
      <c r="N41" s="411"/>
      <c r="O41" s="411"/>
      <c r="P41" s="411"/>
      <c r="Q41" s="411"/>
      <c r="R41" s="411"/>
      <c r="S41" s="412"/>
      <c r="T41" s="83"/>
    </row>
    <row r="42" spans="1:20" ht="174" x14ac:dyDescent="0.35">
      <c r="A42" s="87"/>
      <c r="B42" s="101" t="s">
        <v>881</v>
      </c>
      <c r="C42" s="129" t="s">
        <v>549</v>
      </c>
      <c r="D42" s="102" t="s">
        <v>841</v>
      </c>
      <c r="E42" s="103" t="s">
        <v>882</v>
      </c>
      <c r="F42" s="104"/>
      <c r="G42" s="83"/>
      <c r="H42" s="410"/>
      <c r="I42" s="411"/>
      <c r="J42" s="411"/>
      <c r="K42" s="411"/>
      <c r="L42" s="411"/>
      <c r="M42" s="411"/>
      <c r="N42" s="411"/>
      <c r="O42" s="411"/>
      <c r="P42" s="411"/>
      <c r="Q42" s="411"/>
      <c r="R42" s="411"/>
      <c r="S42" s="412"/>
      <c r="T42" s="83"/>
    </row>
    <row r="43" spans="1:20" ht="43.5" x14ac:dyDescent="0.35">
      <c r="B43" s="101" t="s">
        <v>883</v>
      </c>
      <c r="C43" s="129" t="s">
        <v>549</v>
      </c>
      <c r="D43" s="102" t="s">
        <v>841</v>
      </c>
      <c r="E43" s="103" t="s">
        <v>884</v>
      </c>
      <c r="F43" s="104"/>
      <c r="G43" s="88"/>
      <c r="H43" s="410"/>
      <c r="I43" s="411"/>
      <c r="J43" s="411"/>
      <c r="K43" s="411"/>
      <c r="L43" s="411"/>
      <c r="M43" s="411"/>
      <c r="N43" s="411"/>
      <c r="O43" s="411"/>
      <c r="P43" s="411"/>
      <c r="Q43" s="411"/>
      <c r="R43" s="411"/>
      <c r="S43" s="412"/>
      <c r="T43" s="88"/>
    </row>
    <row r="44" spans="1:20" x14ac:dyDescent="0.35">
      <c r="A44" s="87"/>
      <c r="B44" s="166" t="s">
        <v>424</v>
      </c>
      <c r="C44" s="97" t="s">
        <v>890</v>
      </c>
      <c r="D44" s="98"/>
      <c r="E44" s="98"/>
      <c r="F44" s="100"/>
      <c r="G44" s="83"/>
      <c r="H44" s="410"/>
      <c r="I44" s="411"/>
      <c r="J44" s="411"/>
      <c r="K44" s="411"/>
      <c r="L44" s="411"/>
      <c r="M44" s="411"/>
      <c r="N44" s="411"/>
      <c r="O44" s="411"/>
      <c r="P44" s="411"/>
      <c r="Q44" s="411"/>
      <c r="R44" s="411"/>
      <c r="S44" s="412"/>
      <c r="T44" s="83"/>
    </row>
    <row r="45" spans="1:20" ht="261" x14ac:dyDescent="0.35">
      <c r="A45" s="87"/>
      <c r="B45" s="101" t="s">
        <v>116</v>
      </c>
      <c r="C45" s="129" t="s">
        <v>549</v>
      </c>
      <c r="D45" s="102" t="s">
        <v>841</v>
      </c>
      <c r="E45" s="103" t="s">
        <v>842</v>
      </c>
      <c r="F45" s="104"/>
      <c r="G45" s="83"/>
      <c r="H45" s="410"/>
      <c r="I45" s="411"/>
      <c r="J45" s="411"/>
      <c r="K45" s="411"/>
      <c r="L45" s="411"/>
      <c r="M45" s="411"/>
      <c r="N45" s="411"/>
      <c r="O45" s="411"/>
      <c r="P45" s="411"/>
      <c r="Q45" s="411"/>
      <c r="R45" s="411"/>
      <c r="S45" s="412"/>
      <c r="T45" s="83"/>
    </row>
    <row r="46" spans="1:20" ht="409.5" x14ac:dyDescent="0.35">
      <c r="A46" s="87"/>
      <c r="B46" s="101" t="s">
        <v>843</v>
      </c>
      <c r="C46" s="129" t="s">
        <v>549</v>
      </c>
      <c r="D46" s="102" t="s">
        <v>886</v>
      </c>
      <c r="E46" s="103" t="s">
        <v>845</v>
      </c>
      <c r="F46" s="104" t="s">
        <v>846</v>
      </c>
      <c r="G46" s="83"/>
      <c r="H46" s="410"/>
      <c r="I46" s="411"/>
      <c r="J46" s="411"/>
      <c r="K46" s="411"/>
      <c r="L46" s="411"/>
      <c r="M46" s="411"/>
      <c r="N46" s="411"/>
      <c r="O46" s="411"/>
      <c r="P46" s="411"/>
      <c r="Q46" s="411"/>
      <c r="R46" s="411"/>
      <c r="S46" s="412"/>
      <c r="T46" s="83"/>
    </row>
    <row r="47" spans="1:20" ht="348" x14ac:dyDescent="0.35">
      <c r="A47" s="87"/>
      <c r="B47" s="101" t="s">
        <v>887</v>
      </c>
      <c r="C47" s="129" t="s">
        <v>549</v>
      </c>
      <c r="D47" s="102" t="s">
        <v>852</v>
      </c>
      <c r="E47" s="103" t="s">
        <v>849</v>
      </c>
      <c r="F47" s="104" t="s">
        <v>888</v>
      </c>
      <c r="G47" s="83"/>
      <c r="H47" s="410"/>
      <c r="I47" s="411"/>
      <c r="J47" s="411"/>
      <c r="K47" s="411"/>
      <c r="L47" s="411"/>
      <c r="M47" s="411"/>
      <c r="N47" s="411"/>
      <c r="O47" s="411"/>
      <c r="P47" s="411"/>
      <c r="Q47" s="411"/>
      <c r="R47" s="411"/>
      <c r="S47" s="412"/>
      <c r="T47" s="83"/>
    </row>
    <row r="48" spans="1:20" ht="275.5" x14ac:dyDescent="0.35">
      <c r="A48" s="87"/>
      <c r="B48" s="101" t="s">
        <v>851</v>
      </c>
      <c r="C48" s="129" t="s">
        <v>549</v>
      </c>
      <c r="D48" s="102" t="s">
        <v>852</v>
      </c>
      <c r="E48" s="103" t="s">
        <v>853</v>
      </c>
      <c r="F48" s="104" t="s">
        <v>854</v>
      </c>
      <c r="G48" s="83"/>
      <c r="H48" s="410"/>
      <c r="I48" s="411"/>
      <c r="J48" s="411"/>
      <c r="K48" s="411"/>
      <c r="L48" s="411"/>
      <c r="M48" s="411"/>
      <c r="N48" s="411"/>
      <c r="O48" s="411"/>
      <c r="P48" s="411"/>
      <c r="Q48" s="411"/>
      <c r="R48" s="411"/>
      <c r="S48" s="412"/>
      <c r="T48" s="83"/>
    </row>
    <row r="49" spans="1:20" ht="159.5" x14ac:dyDescent="0.35">
      <c r="A49" s="87"/>
      <c r="B49" s="101" t="s">
        <v>378</v>
      </c>
      <c r="C49" s="129" t="s">
        <v>549</v>
      </c>
      <c r="D49" s="102" t="s">
        <v>852</v>
      </c>
      <c r="E49" s="103" t="s">
        <v>889</v>
      </c>
      <c r="F49" s="104"/>
      <c r="G49" s="83"/>
      <c r="H49" s="410"/>
      <c r="I49" s="411"/>
      <c r="J49" s="411"/>
      <c r="K49" s="411"/>
      <c r="L49" s="411"/>
      <c r="M49" s="411"/>
      <c r="N49" s="411"/>
      <c r="O49" s="411"/>
      <c r="P49" s="411"/>
      <c r="Q49" s="411"/>
      <c r="R49" s="411"/>
      <c r="S49" s="412"/>
      <c r="T49" s="83"/>
    </row>
    <row r="50" spans="1:20" ht="275.5" x14ac:dyDescent="0.35">
      <c r="A50" s="87"/>
      <c r="B50" s="159" t="s">
        <v>126</v>
      </c>
      <c r="C50" s="129" t="s">
        <v>549</v>
      </c>
      <c r="D50" s="102" t="s">
        <v>856</v>
      </c>
      <c r="E50" s="103" t="s">
        <v>857</v>
      </c>
      <c r="F50" s="104" t="s">
        <v>858</v>
      </c>
      <c r="G50" s="83"/>
      <c r="H50" s="410"/>
      <c r="I50" s="411"/>
      <c r="J50" s="411"/>
      <c r="K50" s="411"/>
      <c r="L50" s="411"/>
      <c r="M50" s="411"/>
      <c r="N50" s="411"/>
      <c r="O50" s="411"/>
      <c r="P50" s="411"/>
      <c r="Q50" s="411"/>
      <c r="R50" s="411"/>
      <c r="S50" s="412"/>
      <c r="T50" s="83"/>
    </row>
    <row r="51" spans="1:20" ht="58" x14ac:dyDescent="0.35">
      <c r="A51" s="87"/>
      <c r="B51" s="159" t="s">
        <v>383</v>
      </c>
      <c r="C51" s="129" t="s">
        <v>549</v>
      </c>
      <c r="D51" s="102" t="s">
        <v>856</v>
      </c>
      <c r="E51" s="103" t="s">
        <v>859</v>
      </c>
      <c r="F51" s="104" t="s">
        <v>860</v>
      </c>
      <c r="G51" s="83"/>
      <c r="H51" s="410"/>
      <c r="I51" s="411"/>
      <c r="J51" s="411"/>
      <c r="K51" s="411"/>
      <c r="L51" s="411"/>
      <c r="M51" s="411"/>
      <c r="N51" s="411"/>
      <c r="O51" s="411"/>
      <c r="P51" s="411"/>
      <c r="Q51" s="411"/>
      <c r="R51" s="411"/>
      <c r="S51" s="412"/>
      <c r="T51" s="83"/>
    </row>
    <row r="52" spans="1:20" ht="130.5" x14ac:dyDescent="0.35">
      <c r="A52" s="87"/>
      <c r="B52" s="159" t="s">
        <v>861</v>
      </c>
      <c r="C52" s="129" t="s">
        <v>549</v>
      </c>
      <c r="D52" s="102" t="s">
        <v>841</v>
      </c>
      <c r="E52" s="103" t="s">
        <v>862</v>
      </c>
      <c r="F52" s="104" t="s">
        <v>863</v>
      </c>
      <c r="G52" s="83"/>
      <c r="H52" s="410"/>
      <c r="I52" s="411"/>
      <c r="J52" s="411"/>
      <c r="K52" s="411"/>
      <c r="L52" s="411"/>
      <c r="M52" s="411"/>
      <c r="N52" s="411"/>
      <c r="O52" s="411"/>
      <c r="P52" s="411"/>
      <c r="Q52" s="411"/>
      <c r="R52" s="411"/>
      <c r="S52" s="412"/>
      <c r="T52" s="83"/>
    </row>
    <row r="53" spans="1:20" ht="406" x14ac:dyDescent="0.35">
      <c r="A53" s="87"/>
      <c r="B53" s="159" t="s">
        <v>864</v>
      </c>
      <c r="C53" s="129" t="s">
        <v>549</v>
      </c>
      <c r="D53" s="102" t="s">
        <v>865</v>
      </c>
      <c r="E53" s="103" t="s">
        <v>866</v>
      </c>
      <c r="F53" s="104" t="s">
        <v>867</v>
      </c>
      <c r="G53" s="83"/>
      <c r="H53" s="410"/>
      <c r="I53" s="411"/>
      <c r="J53" s="411"/>
      <c r="K53" s="411"/>
      <c r="L53" s="411"/>
      <c r="M53" s="411"/>
      <c r="N53" s="411"/>
      <c r="O53" s="411"/>
      <c r="P53" s="411"/>
      <c r="Q53" s="411"/>
      <c r="R53" s="411"/>
      <c r="S53" s="412"/>
      <c r="T53" s="83"/>
    </row>
    <row r="54" spans="1:20" ht="159.5" x14ac:dyDescent="0.35">
      <c r="A54" s="87"/>
      <c r="B54" s="159" t="s">
        <v>381</v>
      </c>
      <c r="C54" s="129" t="s">
        <v>549</v>
      </c>
      <c r="D54" s="102" t="s">
        <v>865</v>
      </c>
      <c r="E54" s="103" t="s">
        <v>868</v>
      </c>
      <c r="F54" s="104" t="s">
        <v>860</v>
      </c>
      <c r="G54" s="83"/>
      <c r="H54" s="410"/>
      <c r="I54" s="411"/>
      <c r="J54" s="411"/>
      <c r="K54" s="411"/>
      <c r="L54" s="411"/>
      <c r="M54" s="411"/>
      <c r="N54" s="411"/>
      <c r="O54" s="411"/>
      <c r="P54" s="411"/>
      <c r="Q54" s="411"/>
      <c r="R54" s="411"/>
      <c r="S54" s="412"/>
      <c r="T54" s="83"/>
    </row>
    <row r="55" spans="1:20" ht="101.5" x14ac:dyDescent="0.35">
      <c r="B55" s="101" t="s">
        <v>869</v>
      </c>
      <c r="C55" s="129" t="s">
        <v>549</v>
      </c>
      <c r="D55" s="102" t="s">
        <v>870</v>
      </c>
      <c r="E55" s="103" t="s">
        <v>871</v>
      </c>
      <c r="F55" s="104" t="s">
        <v>872</v>
      </c>
      <c r="G55" s="88"/>
      <c r="H55" s="410"/>
      <c r="I55" s="411"/>
      <c r="J55" s="411"/>
      <c r="K55" s="411"/>
      <c r="L55" s="411"/>
      <c r="M55" s="411"/>
      <c r="N55" s="411"/>
      <c r="O55" s="411"/>
      <c r="P55" s="411"/>
      <c r="Q55" s="411"/>
      <c r="R55" s="411"/>
      <c r="S55" s="412"/>
      <c r="T55" s="88"/>
    </row>
    <row r="56" spans="1:20" ht="188.5" x14ac:dyDescent="0.35">
      <c r="B56" s="101" t="s">
        <v>873</v>
      </c>
      <c r="C56" s="129" t="s">
        <v>549</v>
      </c>
      <c r="D56" s="102" t="s">
        <v>870</v>
      </c>
      <c r="E56" s="103" t="s">
        <v>874</v>
      </c>
      <c r="F56" s="104" t="s">
        <v>872</v>
      </c>
      <c r="G56" s="88"/>
      <c r="H56" s="410"/>
      <c r="I56" s="411"/>
      <c r="J56" s="411"/>
      <c r="K56" s="411"/>
      <c r="L56" s="411"/>
      <c r="M56" s="411"/>
      <c r="N56" s="411"/>
      <c r="O56" s="411"/>
      <c r="P56" s="411"/>
      <c r="Q56" s="411"/>
      <c r="R56" s="411"/>
      <c r="S56" s="412"/>
      <c r="T56" s="88"/>
    </row>
    <row r="57" spans="1:20" ht="116" x14ac:dyDescent="0.35">
      <c r="B57" s="101" t="s">
        <v>875</v>
      </c>
      <c r="C57" s="129" t="s">
        <v>549</v>
      </c>
      <c r="D57" s="102" t="s">
        <v>870</v>
      </c>
      <c r="E57" s="103" t="s">
        <v>876</v>
      </c>
      <c r="F57" s="104" t="s">
        <v>872</v>
      </c>
      <c r="G57" s="88"/>
      <c r="H57" s="410"/>
      <c r="I57" s="411"/>
      <c r="J57" s="411"/>
      <c r="K57" s="411"/>
      <c r="L57" s="411"/>
      <c r="M57" s="411"/>
      <c r="N57" s="411"/>
      <c r="O57" s="411"/>
      <c r="P57" s="411"/>
      <c r="Q57" s="411"/>
      <c r="R57" s="411"/>
      <c r="S57" s="412"/>
      <c r="T57" s="88"/>
    </row>
    <row r="58" spans="1:20" ht="145" x14ac:dyDescent="0.35">
      <c r="B58" s="101" t="s">
        <v>877</v>
      </c>
      <c r="C58" s="129" t="s">
        <v>549</v>
      </c>
      <c r="D58" s="102" t="s">
        <v>870</v>
      </c>
      <c r="E58" s="103" t="s">
        <v>878</v>
      </c>
      <c r="F58" s="104" t="s">
        <v>872</v>
      </c>
      <c r="G58" s="88"/>
      <c r="H58" s="410"/>
      <c r="I58" s="411"/>
      <c r="J58" s="411"/>
      <c r="K58" s="411"/>
      <c r="L58" s="411"/>
      <c r="M58" s="411"/>
      <c r="N58" s="411"/>
      <c r="O58" s="411"/>
      <c r="P58" s="411"/>
      <c r="Q58" s="411"/>
      <c r="R58" s="411"/>
      <c r="S58" s="412"/>
      <c r="T58" s="88"/>
    </row>
    <row r="59" spans="1:20" ht="409.5" x14ac:dyDescent="0.35">
      <c r="A59" s="87"/>
      <c r="B59" s="101" t="s">
        <v>879</v>
      </c>
      <c r="C59" s="129" t="s">
        <v>549</v>
      </c>
      <c r="D59" s="102" t="s">
        <v>841</v>
      </c>
      <c r="E59" s="103" t="s">
        <v>880</v>
      </c>
      <c r="F59" s="104"/>
      <c r="G59" s="83"/>
      <c r="H59" s="410"/>
      <c r="I59" s="411"/>
      <c r="J59" s="411"/>
      <c r="K59" s="411"/>
      <c r="L59" s="411"/>
      <c r="M59" s="411"/>
      <c r="N59" s="411"/>
      <c r="O59" s="411"/>
      <c r="P59" s="411"/>
      <c r="Q59" s="411"/>
      <c r="R59" s="411"/>
      <c r="S59" s="412"/>
      <c r="T59" s="83"/>
    </row>
    <row r="60" spans="1:20" ht="174" x14ac:dyDescent="0.35">
      <c r="A60" s="87"/>
      <c r="B60" s="101" t="s">
        <v>881</v>
      </c>
      <c r="C60" s="129" t="s">
        <v>549</v>
      </c>
      <c r="D60" s="102" t="s">
        <v>841</v>
      </c>
      <c r="E60" s="103" t="s">
        <v>882</v>
      </c>
      <c r="F60" s="104"/>
      <c r="G60" s="83"/>
      <c r="H60" s="410"/>
      <c r="I60" s="411"/>
      <c r="J60" s="411"/>
      <c r="K60" s="411"/>
      <c r="L60" s="411"/>
      <c r="M60" s="411"/>
      <c r="N60" s="411"/>
      <c r="O60" s="411"/>
      <c r="P60" s="411"/>
      <c r="Q60" s="411"/>
      <c r="R60" s="411"/>
      <c r="S60" s="412"/>
      <c r="T60" s="83"/>
    </row>
    <row r="61" spans="1:20" ht="43.5" x14ac:dyDescent="0.35">
      <c r="B61" s="101" t="s">
        <v>883</v>
      </c>
      <c r="C61" s="129" t="s">
        <v>549</v>
      </c>
      <c r="D61" s="102" t="s">
        <v>841</v>
      </c>
      <c r="E61" s="103" t="s">
        <v>884</v>
      </c>
      <c r="F61" s="104"/>
      <c r="G61" s="88"/>
      <c r="H61" s="410"/>
      <c r="I61" s="411"/>
      <c r="J61" s="411"/>
      <c r="K61" s="411"/>
      <c r="L61" s="411"/>
      <c r="M61" s="411"/>
      <c r="N61" s="411"/>
      <c r="O61" s="411"/>
      <c r="P61" s="411"/>
      <c r="Q61" s="411"/>
      <c r="R61" s="411"/>
      <c r="S61" s="412"/>
      <c r="T61" s="88"/>
    </row>
    <row r="62" spans="1:20" ht="43.5" x14ac:dyDescent="0.35">
      <c r="A62" s="87"/>
      <c r="B62" s="96" t="s">
        <v>559</v>
      </c>
      <c r="C62" s="97" t="s">
        <v>891</v>
      </c>
      <c r="D62" s="98"/>
      <c r="E62" s="98"/>
      <c r="F62" s="100" t="s">
        <v>892</v>
      </c>
      <c r="G62" s="83"/>
      <c r="H62" s="410"/>
      <c r="I62" s="411"/>
      <c r="J62" s="411"/>
      <c r="K62" s="411"/>
      <c r="L62" s="411"/>
      <c r="M62" s="411"/>
      <c r="N62" s="411"/>
      <c r="O62" s="411"/>
      <c r="P62" s="411"/>
      <c r="Q62" s="411"/>
      <c r="R62" s="411"/>
      <c r="S62" s="412"/>
      <c r="T62" s="83"/>
    </row>
    <row r="63" spans="1:20" ht="261" x14ac:dyDescent="0.35">
      <c r="A63" s="87"/>
      <c r="B63" s="101" t="s">
        <v>116</v>
      </c>
      <c r="C63" s="129" t="s">
        <v>549</v>
      </c>
      <c r="D63" s="102" t="s">
        <v>841</v>
      </c>
      <c r="E63" s="103" t="s">
        <v>842</v>
      </c>
      <c r="F63" s="104"/>
      <c r="G63" s="83"/>
      <c r="H63" s="410"/>
      <c r="I63" s="411"/>
      <c r="J63" s="411"/>
      <c r="K63" s="411"/>
      <c r="L63" s="411"/>
      <c r="M63" s="411"/>
      <c r="N63" s="411"/>
      <c r="O63" s="411"/>
      <c r="P63" s="411"/>
      <c r="Q63" s="411"/>
      <c r="R63" s="411"/>
      <c r="S63" s="412"/>
      <c r="T63" s="83"/>
    </row>
    <row r="64" spans="1:20" ht="409.5" x14ac:dyDescent="0.35">
      <c r="A64" s="87"/>
      <c r="B64" s="101" t="s">
        <v>843</v>
      </c>
      <c r="C64" s="129" t="s">
        <v>549</v>
      </c>
      <c r="D64" s="102" t="s">
        <v>886</v>
      </c>
      <c r="E64" s="103" t="s">
        <v>845</v>
      </c>
      <c r="F64" s="104" t="s">
        <v>846</v>
      </c>
      <c r="G64" s="83"/>
      <c r="H64" s="410"/>
      <c r="I64" s="411"/>
      <c r="J64" s="411"/>
      <c r="K64" s="411"/>
      <c r="L64" s="411"/>
      <c r="M64" s="411"/>
      <c r="N64" s="411"/>
      <c r="O64" s="411"/>
      <c r="P64" s="411"/>
      <c r="Q64" s="411"/>
      <c r="R64" s="411"/>
      <c r="S64" s="412"/>
      <c r="T64" s="83"/>
    </row>
    <row r="65" spans="1:20" ht="348" x14ac:dyDescent="0.35">
      <c r="A65" s="87"/>
      <c r="B65" s="101" t="s">
        <v>887</v>
      </c>
      <c r="C65" s="129" t="s">
        <v>549</v>
      </c>
      <c r="D65" s="102" t="s">
        <v>852</v>
      </c>
      <c r="E65" s="103" t="s">
        <v>849</v>
      </c>
      <c r="F65" s="104" t="s">
        <v>888</v>
      </c>
      <c r="G65" s="83"/>
      <c r="H65" s="410"/>
      <c r="I65" s="411"/>
      <c r="J65" s="411"/>
      <c r="K65" s="411"/>
      <c r="L65" s="411"/>
      <c r="M65" s="411"/>
      <c r="N65" s="411"/>
      <c r="O65" s="411"/>
      <c r="P65" s="411"/>
      <c r="Q65" s="411"/>
      <c r="R65" s="411"/>
      <c r="S65" s="412"/>
      <c r="T65" s="83"/>
    </row>
    <row r="66" spans="1:20" ht="275.5" x14ac:dyDescent="0.35">
      <c r="A66" s="87"/>
      <c r="B66" s="101" t="s">
        <v>893</v>
      </c>
      <c r="C66" s="129" t="s">
        <v>549</v>
      </c>
      <c r="D66" s="102" t="s">
        <v>852</v>
      </c>
      <c r="E66" s="103" t="s">
        <v>853</v>
      </c>
      <c r="F66" s="104" t="s">
        <v>854</v>
      </c>
      <c r="G66" s="83"/>
      <c r="H66" s="410"/>
      <c r="I66" s="411"/>
      <c r="J66" s="411"/>
      <c r="K66" s="411"/>
      <c r="L66" s="411"/>
      <c r="M66" s="411"/>
      <c r="N66" s="411"/>
      <c r="O66" s="411"/>
      <c r="P66" s="411"/>
      <c r="Q66" s="411"/>
      <c r="R66" s="411"/>
      <c r="S66" s="412"/>
      <c r="T66" s="83"/>
    </row>
    <row r="67" spans="1:20" ht="159.5" x14ac:dyDescent="0.35">
      <c r="A67" s="87"/>
      <c r="B67" s="101" t="s">
        <v>378</v>
      </c>
      <c r="C67" s="129" t="s">
        <v>549</v>
      </c>
      <c r="D67" s="102" t="s">
        <v>852</v>
      </c>
      <c r="E67" s="103" t="s">
        <v>889</v>
      </c>
      <c r="F67" s="104"/>
      <c r="G67" s="83"/>
      <c r="H67" s="410"/>
      <c r="I67" s="411"/>
      <c r="J67" s="411"/>
      <c r="K67" s="411"/>
      <c r="L67" s="411"/>
      <c r="M67" s="411"/>
      <c r="N67" s="411"/>
      <c r="O67" s="411"/>
      <c r="P67" s="411"/>
      <c r="Q67" s="411"/>
      <c r="R67" s="411"/>
      <c r="S67" s="412"/>
      <c r="T67" s="83"/>
    </row>
    <row r="68" spans="1:20" ht="275.5" x14ac:dyDescent="0.35">
      <c r="A68" s="87"/>
      <c r="B68" s="159" t="s">
        <v>126</v>
      </c>
      <c r="C68" s="129" t="s">
        <v>549</v>
      </c>
      <c r="D68" s="102" t="s">
        <v>856</v>
      </c>
      <c r="E68" s="103" t="s">
        <v>857</v>
      </c>
      <c r="F68" s="104" t="s">
        <v>858</v>
      </c>
      <c r="G68" s="83"/>
      <c r="H68" s="410"/>
      <c r="I68" s="411"/>
      <c r="J68" s="411"/>
      <c r="K68" s="411"/>
      <c r="L68" s="411"/>
      <c r="M68" s="411"/>
      <c r="N68" s="411"/>
      <c r="O68" s="411"/>
      <c r="P68" s="411"/>
      <c r="Q68" s="411"/>
      <c r="R68" s="411"/>
      <c r="S68" s="412"/>
      <c r="T68" s="83"/>
    </row>
    <row r="69" spans="1:20" ht="58" x14ac:dyDescent="0.35">
      <c r="A69" s="87"/>
      <c r="B69" s="159" t="s">
        <v>383</v>
      </c>
      <c r="C69" s="129" t="s">
        <v>549</v>
      </c>
      <c r="D69" s="102" t="s">
        <v>856</v>
      </c>
      <c r="E69" s="103" t="s">
        <v>859</v>
      </c>
      <c r="F69" s="104" t="s">
        <v>860</v>
      </c>
      <c r="G69" s="83"/>
      <c r="H69" s="410"/>
      <c r="I69" s="411"/>
      <c r="J69" s="411"/>
      <c r="K69" s="411"/>
      <c r="L69" s="411"/>
      <c r="M69" s="411"/>
      <c r="N69" s="411"/>
      <c r="O69" s="411"/>
      <c r="P69" s="411"/>
      <c r="Q69" s="411"/>
      <c r="R69" s="411"/>
      <c r="S69" s="412"/>
      <c r="T69" s="83"/>
    </row>
    <row r="70" spans="1:20" ht="130.5" x14ac:dyDescent="0.35">
      <c r="A70" s="87"/>
      <c r="B70" s="159" t="s">
        <v>861</v>
      </c>
      <c r="C70" s="129" t="s">
        <v>549</v>
      </c>
      <c r="D70" s="102" t="s">
        <v>841</v>
      </c>
      <c r="E70" s="103" t="s">
        <v>862</v>
      </c>
      <c r="F70" s="104" t="s">
        <v>863</v>
      </c>
      <c r="G70" s="83"/>
      <c r="H70" s="410"/>
      <c r="I70" s="411"/>
      <c r="J70" s="411"/>
      <c r="K70" s="411"/>
      <c r="L70" s="411"/>
      <c r="M70" s="411"/>
      <c r="N70" s="411"/>
      <c r="O70" s="411"/>
      <c r="P70" s="411"/>
      <c r="Q70" s="411"/>
      <c r="R70" s="411"/>
      <c r="S70" s="412"/>
      <c r="T70" s="83"/>
    </row>
    <row r="71" spans="1:20" ht="406" x14ac:dyDescent="0.35">
      <c r="A71" s="87"/>
      <c r="B71" s="159" t="s">
        <v>864</v>
      </c>
      <c r="C71" s="129" t="s">
        <v>549</v>
      </c>
      <c r="D71" s="102" t="s">
        <v>865</v>
      </c>
      <c r="E71" s="103" t="s">
        <v>866</v>
      </c>
      <c r="F71" s="104" t="s">
        <v>867</v>
      </c>
      <c r="G71" s="83"/>
      <c r="H71" s="410"/>
      <c r="I71" s="411"/>
      <c r="J71" s="411"/>
      <c r="K71" s="411"/>
      <c r="L71" s="411"/>
      <c r="M71" s="411"/>
      <c r="N71" s="411"/>
      <c r="O71" s="411"/>
      <c r="P71" s="411"/>
      <c r="Q71" s="411"/>
      <c r="R71" s="411"/>
      <c r="S71" s="412"/>
      <c r="T71" s="83"/>
    </row>
    <row r="72" spans="1:20" ht="159.5" x14ac:dyDescent="0.35">
      <c r="A72" s="87"/>
      <c r="B72" s="159" t="s">
        <v>381</v>
      </c>
      <c r="C72" s="129" t="s">
        <v>549</v>
      </c>
      <c r="D72" s="102" t="s">
        <v>865</v>
      </c>
      <c r="E72" s="103" t="s">
        <v>868</v>
      </c>
      <c r="F72" s="104" t="s">
        <v>860</v>
      </c>
      <c r="G72" s="83"/>
      <c r="H72" s="410"/>
      <c r="I72" s="411"/>
      <c r="J72" s="411"/>
      <c r="K72" s="411"/>
      <c r="L72" s="411"/>
      <c r="M72" s="411"/>
      <c r="N72" s="411"/>
      <c r="O72" s="411"/>
      <c r="P72" s="411"/>
      <c r="Q72" s="411"/>
      <c r="R72" s="411"/>
      <c r="S72" s="412"/>
      <c r="T72" s="83"/>
    </row>
    <row r="73" spans="1:20" ht="101.5" x14ac:dyDescent="0.35">
      <c r="B73" s="101" t="s">
        <v>869</v>
      </c>
      <c r="C73" s="129" t="s">
        <v>549</v>
      </c>
      <c r="D73" s="102" t="s">
        <v>870</v>
      </c>
      <c r="E73" s="103" t="s">
        <v>871</v>
      </c>
      <c r="F73" s="104" t="s">
        <v>872</v>
      </c>
      <c r="G73" s="88"/>
      <c r="H73" s="410"/>
      <c r="I73" s="411"/>
      <c r="J73" s="411"/>
      <c r="K73" s="411"/>
      <c r="L73" s="411"/>
      <c r="M73" s="411"/>
      <c r="N73" s="411"/>
      <c r="O73" s="411"/>
      <c r="P73" s="411"/>
      <c r="Q73" s="411"/>
      <c r="R73" s="411"/>
      <c r="S73" s="412"/>
      <c r="T73" s="88"/>
    </row>
    <row r="74" spans="1:20" ht="188.5" x14ac:dyDescent="0.35">
      <c r="B74" s="101" t="s">
        <v>873</v>
      </c>
      <c r="C74" s="129" t="s">
        <v>549</v>
      </c>
      <c r="D74" s="102" t="s">
        <v>870</v>
      </c>
      <c r="E74" s="103" t="s">
        <v>874</v>
      </c>
      <c r="F74" s="104" t="s">
        <v>872</v>
      </c>
      <c r="G74" s="88"/>
      <c r="H74" s="410"/>
      <c r="I74" s="411"/>
      <c r="J74" s="411"/>
      <c r="K74" s="411"/>
      <c r="L74" s="411"/>
      <c r="M74" s="411"/>
      <c r="N74" s="411"/>
      <c r="O74" s="411"/>
      <c r="P74" s="411"/>
      <c r="Q74" s="411"/>
      <c r="R74" s="411"/>
      <c r="S74" s="412"/>
      <c r="T74" s="88"/>
    </row>
    <row r="75" spans="1:20" ht="116" x14ac:dyDescent="0.35">
      <c r="B75" s="101" t="s">
        <v>875</v>
      </c>
      <c r="C75" s="129" t="s">
        <v>549</v>
      </c>
      <c r="D75" s="102" t="s">
        <v>870</v>
      </c>
      <c r="E75" s="103" t="s">
        <v>876</v>
      </c>
      <c r="F75" s="104" t="s">
        <v>872</v>
      </c>
      <c r="G75" s="88"/>
      <c r="H75" s="410"/>
      <c r="I75" s="411"/>
      <c r="J75" s="411"/>
      <c r="K75" s="411"/>
      <c r="L75" s="411"/>
      <c r="M75" s="411"/>
      <c r="N75" s="411"/>
      <c r="O75" s="411"/>
      <c r="P75" s="411"/>
      <c r="Q75" s="411"/>
      <c r="R75" s="411"/>
      <c r="S75" s="412"/>
      <c r="T75" s="88"/>
    </row>
    <row r="76" spans="1:20" ht="145" x14ac:dyDescent="0.35">
      <c r="B76" s="101" t="s">
        <v>877</v>
      </c>
      <c r="C76" s="129" t="s">
        <v>549</v>
      </c>
      <c r="D76" s="102" t="s">
        <v>870</v>
      </c>
      <c r="E76" s="103" t="s">
        <v>878</v>
      </c>
      <c r="F76" s="104" t="s">
        <v>872</v>
      </c>
      <c r="G76" s="88"/>
      <c r="H76" s="410"/>
      <c r="I76" s="411"/>
      <c r="J76" s="411"/>
      <c r="K76" s="411"/>
      <c r="L76" s="411"/>
      <c r="M76" s="411"/>
      <c r="N76" s="411"/>
      <c r="O76" s="411"/>
      <c r="P76" s="411"/>
      <c r="Q76" s="411"/>
      <c r="R76" s="411"/>
      <c r="S76" s="412"/>
      <c r="T76" s="88"/>
    </row>
    <row r="77" spans="1:20" ht="409.5" x14ac:dyDescent="0.35">
      <c r="A77" s="87"/>
      <c r="B77" s="101" t="s">
        <v>879</v>
      </c>
      <c r="C77" s="129" t="s">
        <v>549</v>
      </c>
      <c r="D77" s="102" t="s">
        <v>841</v>
      </c>
      <c r="E77" s="103" t="s">
        <v>880</v>
      </c>
      <c r="F77" s="104"/>
      <c r="G77" s="83"/>
      <c r="H77" s="410"/>
      <c r="I77" s="411"/>
      <c r="J77" s="411"/>
      <c r="K77" s="411"/>
      <c r="L77" s="411"/>
      <c r="M77" s="411"/>
      <c r="N77" s="411"/>
      <c r="O77" s="411"/>
      <c r="P77" s="411"/>
      <c r="Q77" s="411"/>
      <c r="R77" s="411"/>
      <c r="S77" s="412"/>
      <c r="T77" s="83"/>
    </row>
    <row r="78" spans="1:20" ht="174" x14ac:dyDescent="0.35">
      <c r="A78" s="87"/>
      <c r="B78" s="101" t="s">
        <v>881</v>
      </c>
      <c r="C78" s="129" t="s">
        <v>549</v>
      </c>
      <c r="D78" s="102" t="s">
        <v>841</v>
      </c>
      <c r="E78" s="103" t="s">
        <v>882</v>
      </c>
      <c r="F78" s="104"/>
      <c r="G78" s="83"/>
      <c r="H78" s="410"/>
      <c r="I78" s="411"/>
      <c r="J78" s="411"/>
      <c r="K78" s="411"/>
      <c r="L78" s="411"/>
      <c r="M78" s="411"/>
      <c r="N78" s="411"/>
      <c r="O78" s="411"/>
      <c r="P78" s="411"/>
      <c r="Q78" s="411"/>
      <c r="R78" s="411"/>
      <c r="S78" s="412"/>
      <c r="T78" s="83"/>
    </row>
    <row r="79" spans="1:20" ht="43.5" x14ac:dyDescent="0.35">
      <c r="B79" s="101" t="s">
        <v>883</v>
      </c>
      <c r="C79" s="129" t="s">
        <v>549</v>
      </c>
      <c r="D79" s="102" t="s">
        <v>841</v>
      </c>
      <c r="E79" s="103" t="s">
        <v>884</v>
      </c>
      <c r="F79" s="104"/>
      <c r="G79" s="88"/>
      <c r="H79" s="410"/>
      <c r="I79" s="411"/>
      <c r="J79" s="411"/>
      <c r="K79" s="411"/>
      <c r="L79" s="411"/>
      <c r="M79" s="411"/>
      <c r="N79" s="411"/>
      <c r="O79" s="411"/>
      <c r="P79" s="411"/>
      <c r="Q79" s="411"/>
      <c r="R79" s="411"/>
      <c r="S79" s="412"/>
      <c r="T79" s="88"/>
    </row>
    <row r="80" spans="1:20" ht="29" x14ac:dyDescent="0.35">
      <c r="A80" s="87"/>
      <c r="B80" s="96" t="s">
        <v>560</v>
      </c>
      <c r="C80" s="97" t="s">
        <v>894</v>
      </c>
      <c r="D80" s="98"/>
      <c r="E80" s="98"/>
      <c r="F80" s="100"/>
      <c r="G80" s="83"/>
      <c r="H80" s="410"/>
      <c r="I80" s="411"/>
      <c r="J80" s="411"/>
      <c r="K80" s="411"/>
      <c r="L80" s="411"/>
      <c r="M80" s="411"/>
      <c r="N80" s="411"/>
      <c r="O80" s="411"/>
      <c r="P80" s="411"/>
      <c r="Q80" s="411"/>
      <c r="R80" s="411"/>
      <c r="S80" s="412"/>
      <c r="T80" s="83"/>
    </row>
    <row r="81" spans="1:20" ht="261" x14ac:dyDescent="0.35">
      <c r="A81" s="87"/>
      <c r="B81" s="101" t="s">
        <v>116</v>
      </c>
      <c r="C81" s="129" t="s">
        <v>549</v>
      </c>
      <c r="D81" s="102" t="s">
        <v>841</v>
      </c>
      <c r="E81" s="103" t="s">
        <v>842</v>
      </c>
      <c r="F81" s="104"/>
      <c r="G81" s="83"/>
      <c r="H81" s="410"/>
      <c r="I81" s="411"/>
      <c r="J81" s="411"/>
      <c r="K81" s="411"/>
      <c r="L81" s="411"/>
      <c r="M81" s="411"/>
      <c r="N81" s="411"/>
      <c r="O81" s="411"/>
      <c r="P81" s="411"/>
      <c r="Q81" s="411"/>
      <c r="R81" s="411"/>
      <c r="S81" s="412"/>
      <c r="T81" s="83"/>
    </row>
    <row r="82" spans="1:20" ht="409.5" x14ac:dyDescent="0.35">
      <c r="A82" s="87"/>
      <c r="B82" s="101" t="s">
        <v>843</v>
      </c>
      <c r="C82" s="129" t="s">
        <v>549</v>
      </c>
      <c r="D82" s="102" t="s">
        <v>886</v>
      </c>
      <c r="E82" s="103" t="s">
        <v>845</v>
      </c>
      <c r="F82" s="104" t="s">
        <v>846</v>
      </c>
      <c r="G82" s="83"/>
      <c r="H82" s="410"/>
      <c r="I82" s="411"/>
      <c r="J82" s="411"/>
      <c r="K82" s="411"/>
      <c r="L82" s="411"/>
      <c r="M82" s="411"/>
      <c r="N82" s="411"/>
      <c r="O82" s="411"/>
      <c r="P82" s="411"/>
      <c r="Q82" s="411"/>
      <c r="R82" s="411"/>
      <c r="S82" s="412"/>
      <c r="T82" s="83"/>
    </row>
    <row r="83" spans="1:20" ht="348" x14ac:dyDescent="0.35">
      <c r="A83" s="87"/>
      <c r="B83" s="101" t="s">
        <v>887</v>
      </c>
      <c r="C83" s="129" t="s">
        <v>549</v>
      </c>
      <c r="D83" s="102" t="s">
        <v>852</v>
      </c>
      <c r="E83" s="103" t="s">
        <v>849</v>
      </c>
      <c r="F83" s="104" t="s">
        <v>888</v>
      </c>
      <c r="G83" s="83"/>
      <c r="H83" s="410"/>
      <c r="I83" s="411"/>
      <c r="J83" s="411"/>
      <c r="K83" s="411"/>
      <c r="L83" s="411"/>
      <c r="M83" s="411"/>
      <c r="N83" s="411"/>
      <c r="O83" s="411"/>
      <c r="P83" s="411"/>
      <c r="Q83" s="411"/>
      <c r="R83" s="411"/>
      <c r="S83" s="412"/>
      <c r="T83" s="83"/>
    </row>
    <row r="84" spans="1:20" ht="275.5" x14ac:dyDescent="0.35">
      <c r="A84" s="87"/>
      <c r="B84" s="101" t="s">
        <v>851</v>
      </c>
      <c r="C84" s="129" t="s">
        <v>549</v>
      </c>
      <c r="D84" s="102" t="s">
        <v>852</v>
      </c>
      <c r="E84" s="103" t="s">
        <v>853</v>
      </c>
      <c r="F84" s="104" t="s">
        <v>854</v>
      </c>
      <c r="G84" s="83"/>
      <c r="H84" s="410"/>
      <c r="I84" s="411"/>
      <c r="J84" s="411"/>
      <c r="K84" s="411"/>
      <c r="L84" s="411"/>
      <c r="M84" s="411"/>
      <c r="N84" s="411"/>
      <c r="O84" s="411"/>
      <c r="P84" s="411"/>
      <c r="Q84" s="411"/>
      <c r="R84" s="411"/>
      <c r="S84" s="412"/>
      <c r="T84" s="83"/>
    </row>
    <row r="85" spans="1:20" ht="159.5" x14ac:dyDescent="0.35">
      <c r="A85" s="87"/>
      <c r="B85" s="101" t="s">
        <v>378</v>
      </c>
      <c r="C85" s="129" t="s">
        <v>549</v>
      </c>
      <c r="D85" s="102" t="s">
        <v>852</v>
      </c>
      <c r="E85" s="103" t="s">
        <v>889</v>
      </c>
      <c r="F85" s="104"/>
      <c r="G85" s="83"/>
      <c r="H85" s="410"/>
      <c r="I85" s="411"/>
      <c r="J85" s="411"/>
      <c r="K85" s="411"/>
      <c r="L85" s="411"/>
      <c r="M85" s="411"/>
      <c r="N85" s="411"/>
      <c r="O85" s="411"/>
      <c r="P85" s="411"/>
      <c r="Q85" s="411"/>
      <c r="R85" s="411"/>
      <c r="S85" s="412"/>
      <c r="T85" s="83"/>
    </row>
    <row r="86" spans="1:20" ht="275.5" x14ac:dyDescent="0.35">
      <c r="A86" s="87"/>
      <c r="B86" s="159" t="s">
        <v>126</v>
      </c>
      <c r="C86" s="129" t="s">
        <v>549</v>
      </c>
      <c r="D86" s="102" t="s">
        <v>856</v>
      </c>
      <c r="E86" s="103" t="s">
        <v>857</v>
      </c>
      <c r="F86" s="104" t="s">
        <v>858</v>
      </c>
      <c r="G86" s="83"/>
      <c r="H86" s="410"/>
      <c r="I86" s="411"/>
      <c r="J86" s="411"/>
      <c r="K86" s="411"/>
      <c r="L86" s="411"/>
      <c r="M86" s="411"/>
      <c r="N86" s="411"/>
      <c r="O86" s="411"/>
      <c r="P86" s="411"/>
      <c r="Q86" s="411"/>
      <c r="R86" s="411"/>
      <c r="S86" s="412"/>
      <c r="T86" s="83"/>
    </row>
    <row r="87" spans="1:20" ht="58" x14ac:dyDescent="0.35">
      <c r="A87" s="87"/>
      <c r="B87" s="159" t="s">
        <v>383</v>
      </c>
      <c r="C87" s="129" t="s">
        <v>549</v>
      </c>
      <c r="D87" s="102" t="s">
        <v>856</v>
      </c>
      <c r="E87" s="103" t="s">
        <v>859</v>
      </c>
      <c r="F87" s="104" t="s">
        <v>860</v>
      </c>
      <c r="G87" s="83"/>
      <c r="H87" s="410"/>
      <c r="I87" s="411"/>
      <c r="J87" s="411"/>
      <c r="K87" s="411"/>
      <c r="L87" s="411"/>
      <c r="M87" s="411"/>
      <c r="N87" s="411"/>
      <c r="O87" s="411"/>
      <c r="P87" s="411"/>
      <c r="Q87" s="411"/>
      <c r="R87" s="411"/>
      <c r="S87" s="412"/>
      <c r="T87" s="83"/>
    </row>
    <row r="88" spans="1:20" ht="130.5" x14ac:dyDescent="0.35">
      <c r="A88" s="87"/>
      <c r="B88" s="159" t="s">
        <v>861</v>
      </c>
      <c r="C88" s="129" t="s">
        <v>549</v>
      </c>
      <c r="D88" s="102" t="s">
        <v>841</v>
      </c>
      <c r="E88" s="103" t="s">
        <v>862</v>
      </c>
      <c r="F88" s="104" t="s">
        <v>863</v>
      </c>
      <c r="G88" s="83"/>
      <c r="H88" s="410"/>
      <c r="I88" s="411"/>
      <c r="J88" s="411"/>
      <c r="K88" s="411"/>
      <c r="L88" s="411"/>
      <c r="M88" s="411"/>
      <c r="N88" s="411"/>
      <c r="O88" s="411"/>
      <c r="P88" s="411"/>
      <c r="Q88" s="411"/>
      <c r="R88" s="411"/>
      <c r="S88" s="412"/>
      <c r="T88" s="83"/>
    </row>
    <row r="89" spans="1:20" ht="406" x14ac:dyDescent="0.35">
      <c r="A89" s="87"/>
      <c r="B89" s="159" t="s">
        <v>864</v>
      </c>
      <c r="C89" s="129" t="s">
        <v>549</v>
      </c>
      <c r="D89" s="102" t="s">
        <v>865</v>
      </c>
      <c r="E89" s="103" t="s">
        <v>866</v>
      </c>
      <c r="F89" s="104" t="s">
        <v>867</v>
      </c>
      <c r="G89" s="83"/>
      <c r="H89" s="410"/>
      <c r="I89" s="411"/>
      <c r="J89" s="411"/>
      <c r="K89" s="411"/>
      <c r="L89" s="411"/>
      <c r="M89" s="411"/>
      <c r="N89" s="411"/>
      <c r="O89" s="411"/>
      <c r="P89" s="411"/>
      <c r="Q89" s="411"/>
      <c r="R89" s="411"/>
      <c r="S89" s="412"/>
      <c r="T89" s="83"/>
    </row>
    <row r="90" spans="1:20" ht="159.5" x14ac:dyDescent="0.35">
      <c r="A90" s="87"/>
      <c r="B90" s="159" t="s">
        <v>381</v>
      </c>
      <c r="C90" s="129" t="s">
        <v>549</v>
      </c>
      <c r="D90" s="102" t="s">
        <v>865</v>
      </c>
      <c r="E90" s="103" t="s">
        <v>868</v>
      </c>
      <c r="F90" s="104" t="s">
        <v>860</v>
      </c>
      <c r="G90" s="83"/>
      <c r="H90" s="410"/>
      <c r="I90" s="411"/>
      <c r="J90" s="411"/>
      <c r="K90" s="411"/>
      <c r="L90" s="411"/>
      <c r="M90" s="411"/>
      <c r="N90" s="411"/>
      <c r="O90" s="411"/>
      <c r="P90" s="411"/>
      <c r="Q90" s="411"/>
      <c r="R90" s="411"/>
      <c r="S90" s="412"/>
      <c r="T90" s="83"/>
    </row>
    <row r="91" spans="1:20" ht="101.5" x14ac:dyDescent="0.35">
      <c r="B91" s="101" t="s">
        <v>869</v>
      </c>
      <c r="C91" s="129" t="s">
        <v>549</v>
      </c>
      <c r="D91" s="102" t="s">
        <v>870</v>
      </c>
      <c r="E91" s="103" t="s">
        <v>871</v>
      </c>
      <c r="F91" s="104" t="s">
        <v>872</v>
      </c>
      <c r="G91" s="88"/>
      <c r="H91" s="410"/>
      <c r="I91" s="411"/>
      <c r="J91" s="411"/>
      <c r="K91" s="411"/>
      <c r="L91" s="411"/>
      <c r="M91" s="411"/>
      <c r="N91" s="411"/>
      <c r="O91" s="411"/>
      <c r="P91" s="411"/>
      <c r="Q91" s="411"/>
      <c r="R91" s="411"/>
      <c r="S91" s="412"/>
      <c r="T91" s="88"/>
    </row>
    <row r="92" spans="1:20" ht="188.5" x14ac:dyDescent="0.35">
      <c r="B92" s="101" t="s">
        <v>873</v>
      </c>
      <c r="C92" s="129" t="s">
        <v>549</v>
      </c>
      <c r="D92" s="102" t="s">
        <v>870</v>
      </c>
      <c r="E92" s="103" t="s">
        <v>874</v>
      </c>
      <c r="F92" s="104" t="s">
        <v>872</v>
      </c>
      <c r="G92" s="88"/>
      <c r="H92" s="410"/>
      <c r="I92" s="411"/>
      <c r="J92" s="411"/>
      <c r="K92" s="411"/>
      <c r="L92" s="411"/>
      <c r="M92" s="411"/>
      <c r="N92" s="411"/>
      <c r="O92" s="411"/>
      <c r="P92" s="411"/>
      <c r="Q92" s="411"/>
      <c r="R92" s="411"/>
      <c r="S92" s="412"/>
      <c r="T92" s="88"/>
    </row>
    <row r="93" spans="1:20" ht="116" x14ac:dyDescent="0.35">
      <c r="B93" s="101" t="s">
        <v>875</v>
      </c>
      <c r="C93" s="129" t="s">
        <v>549</v>
      </c>
      <c r="D93" s="102" t="s">
        <v>870</v>
      </c>
      <c r="E93" s="103" t="s">
        <v>876</v>
      </c>
      <c r="F93" s="104" t="s">
        <v>872</v>
      </c>
      <c r="G93" s="88"/>
      <c r="H93" s="410"/>
      <c r="I93" s="411"/>
      <c r="J93" s="411"/>
      <c r="K93" s="411"/>
      <c r="L93" s="411"/>
      <c r="M93" s="411"/>
      <c r="N93" s="411"/>
      <c r="O93" s="411"/>
      <c r="P93" s="411"/>
      <c r="Q93" s="411"/>
      <c r="R93" s="411"/>
      <c r="S93" s="412"/>
      <c r="T93" s="88"/>
    </row>
    <row r="94" spans="1:20" ht="145" x14ac:dyDescent="0.35">
      <c r="B94" s="101" t="s">
        <v>877</v>
      </c>
      <c r="C94" s="129" t="s">
        <v>549</v>
      </c>
      <c r="D94" s="102" t="s">
        <v>870</v>
      </c>
      <c r="E94" s="103" t="s">
        <v>878</v>
      </c>
      <c r="F94" s="104" t="s">
        <v>872</v>
      </c>
      <c r="G94" s="88"/>
      <c r="H94" s="410"/>
      <c r="I94" s="411"/>
      <c r="J94" s="411"/>
      <c r="K94" s="411"/>
      <c r="L94" s="411"/>
      <c r="M94" s="411"/>
      <c r="N94" s="411"/>
      <c r="O94" s="411"/>
      <c r="P94" s="411"/>
      <c r="Q94" s="411"/>
      <c r="R94" s="411"/>
      <c r="S94" s="412"/>
      <c r="T94" s="88"/>
    </row>
    <row r="95" spans="1:20" ht="409.5" x14ac:dyDescent="0.35">
      <c r="A95" s="87"/>
      <c r="B95" s="101" t="s">
        <v>879</v>
      </c>
      <c r="C95" s="129" t="s">
        <v>549</v>
      </c>
      <c r="D95" s="102" t="s">
        <v>841</v>
      </c>
      <c r="E95" s="103" t="s">
        <v>880</v>
      </c>
      <c r="F95" s="104"/>
      <c r="G95" s="83"/>
      <c r="H95" s="410"/>
      <c r="I95" s="411"/>
      <c r="J95" s="411"/>
      <c r="K95" s="411"/>
      <c r="L95" s="411"/>
      <c r="M95" s="411"/>
      <c r="N95" s="411"/>
      <c r="O95" s="411"/>
      <c r="P95" s="411"/>
      <c r="Q95" s="411"/>
      <c r="R95" s="411"/>
      <c r="S95" s="412"/>
      <c r="T95" s="83"/>
    </row>
    <row r="96" spans="1:20" ht="174" x14ac:dyDescent="0.35">
      <c r="A96" s="87"/>
      <c r="B96" s="101" t="s">
        <v>881</v>
      </c>
      <c r="C96" s="129" t="s">
        <v>549</v>
      </c>
      <c r="D96" s="102" t="s">
        <v>841</v>
      </c>
      <c r="E96" s="103" t="s">
        <v>882</v>
      </c>
      <c r="F96" s="104"/>
      <c r="G96" s="83"/>
      <c r="H96" s="410"/>
      <c r="I96" s="411"/>
      <c r="J96" s="411"/>
      <c r="K96" s="411"/>
      <c r="L96" s="411"/>
      <c r="M96" s="411"/>
      <c r="N96" s="411"/>
      <c r="O96" s="411"/>
      <c r="P96" s="411"/>
      <c r="Q96" s="411"/>
      <c r="R96" s="411"/>
      <c r="S96" s="412"/>
      <c r="T96" s="83"/>
    </row>
    <row r="97" spans="1:20" ht="43.5" x14ac:dyDescent="0.35">
      <c r="B97" s="101" t="s">
        <v>883</v>
      </c>
      <c r="C97" s="129" t="s">
        <v>549</v>
      </c>
      <c r="D97" s="102" t="s">
        <v>841</v>
      </c>
      <c r="E97" s="103" t="s">
        <v>884</v>
      </c>
      <c r="F97" s="104"/>
      <c r="G97" s="88"/>
      <c r="H97" s="410"/>
      <c r="I97" s="411"/>
      <c r="J97" s="411"/>
      <c r="K97" s="411"/>
      <c r="L97" s="411"/>
      <c r="M97" s="411"/>
      <c r="N97" s="411"/>
      <c r="O97" s="411"/>
      <c r="P97" s="411"/>
      <c r="Q97" s="411"/>
      <c r="R97" s="411"/>
      <c r="S97" s="412"/>
      <c r="T97" s="88"/>
    </row>
    <row r="98" spans="1:20" ht="43.5" x14ac:dyDescent="0.35">
      <c r="A98" s="87"/>
      <c r="B98" s="166" t="s">
        <v>562</v>
      </c>
      <c r="C98" s="97" t="s">
        <v>895</v>
      </c>
      <c r="D98" s="98"/>
      <c r="E98" s="98"/>
      <c r="F98" s="100"/>
      <c r="G98" s="83"/>
      <c r="H98" s="410"/>
      <c r="I98" s="411"/>
      <c r="J98" s="411"/>
      <c r="K98" s="411"/>
      <c r="L98" s="411"/>
      <c r="M98" s="411"/>
      <c r="N98" s="411"/>
      <c r="O98" s="411"/>
      <c r="P98" s="411"/>
      <c r="Q98" s="411"/>
      <c r="R98" s="411"/>
      <c r="S98" s="412"/>
      <c r="T98" s="83"/>
    </row>
    <row r="99" spans="1:20" ht="261" x14ac:dyDescent="0.35">
      <c r="A99" s="87"/>
      <c r="B99" s="101" t="s">
        <v>116</v>
      </c>
      <c r="C99" s="129" t="s">
        <v>549</v>
      </c>
      <c r="D99" s="102" t="s">
        <v>841</v>
      </c>
      <c r="E99" s="103" t="s">
        <v>842</v>
      </c>
      <c r="F99" s="104"/>
      <c r="G99" s="83"/>
      <c r="H99" s="410"/>
      <c r="I99" s="411"/>
      <c r="J99" s="411"/>
      <c r="K99" s="411"/>
      <c r="L99" s="411"/>
      <c r="M99" s="411"/>
      <c r="N99" s="411"/>
      <c r="O99" s="411"/>
      <c r="P99" s="411"/>
      <c r="Q99" s="411"/>
      <c r="R99" s="411"/>
      <c r="S99" s="412"/>
      <c r="T99" s="83"/>
    </row>
    <row r="100" spans="1:20" ht="409.5" x14ac:dyDescent="0.35">
      <c r="A100" s="87"/>
      <c r="B100" s="101" t="s">
        <v>843</v>
      </c>
      <c r="C100" s="129" t="s">
        <v>549</v>
      </c>
      <c r="D100" s="102" t="s">
        <v>886</v>
      </c>
      <c r="E100" s="103" t="s">
        <v>845</v>
      </c>
      <c r="F100" s="104" t="s">
        <v>846</v>
      </c>
      <c r="G100" s="83"/>
      <c r="H100" s="410"/>
      <c r="I100" s="411"/>
      <c r="J100" s="411"/>
      <c r="K100" s="411"/>
      <c r="L100" s="411"/>
      <c r="M100" s="411"/>
      <c r="N100" s="411"/>
      <c r="O100" s="411"/>
      <c r="P100" s="411"/>
      <c r="Q100" s="411"/>
      <c r="R100" s="411"/>
      <c r="S100" s="412"/>
      <c r="T100" s="83"/>
    </row>
    <row r="101" spans="1:20" ht="348" x14ac:dyDescent="0.35">
      <c r="A101" s="87"/>
      <c r="B101" s="101" t="s">
        <v>887</v>
      </c>
      <c r="C101" s="129" t="s">
        <v>549</v>
      </c>
      <c r="D101" s="102" t="s">
        <v>852</v>
      </c>
      <c r="E101" s="103" t="s">
        <v>849</v>
      </c>
      <c r="F101" s="104" t="s">
        <v>888</v>
      </c>
      <c r="G101" s="83"/>
      <c r="H101" s="410"/>
      <c r="I101" s="411"/>
      <c r="J101" s="411"/>
      <c r="K101" s="411"/>
      <c r="L101" s="411"/>
      <c r="M101" s="411"/>
      <c r="N101" s="411"/>
      <c r="O101" s="411"/>
      <c r="P101" s="411"/>
      <c r="Q101" s="411"/>
      <c r="R101" s="411"/>
      <c r="S101" s="412"/>
      <c r="T101" s="83"/>
    </row>
    <row r="102" spans="1:20" ht="246.5" x14ac:dyDescent="0.35">
      <c r="A102" s="87"/>
      <c r="B102" s="101" t="s">
        <v>851</v>
      </c>
      <c r="C102" s="129" t="s">
        <v>549</v>
      </c>
      <c r="D102" s="102" t="s">
        <v>852</v>
      </c>
      <c r="E102" s="103" t="s">
        <v>896</v>
      </c>
      <c r="F102" s="104" t="s">
        <v>854</v>
      </c>
      <c r="G102" s="83"/>
      <c r="H102" s="410"/>
      <c r="I102" s="411"/>
      <c r="J102" s="411"/>
      <c r="K102" s="411"/>
      <c r="L102" s="411"/>
      <c r="M102" s="411"/>
      <c r="N102" s="411"/>
      <c r="O102" s="411"/>
      <c r="P102" s="411"/>
      <c r="Q102" s="411"/>
      <c r="R102" s="411"/>
      <c r="S102" s="412"/>
      <c r="T102" s="83"/>
    </row>
    <row r="103" spans="1:20" ht="159.5" x14ac:dyDescent="0.35">
      <c r="A103" s="87"/>
      <c r="B103" s="101" t="s">
        <v>378</v>
      </c>
      <c r="C103" s="129" t="s">
        <v>549</v>
      </c>
      <c r="D103" s="102" t="s">
        <v>852</v>
      </c>
      <c r="E103" s="103" t="s">
        <v>889</v>
      </c>
      <c r="F103" s="104"/>
      <c r="G103" s="83"/>
      <c r="H103" s="130"/>
      <c r="I103" s="130"/>
      <c r="J103" s="130"/>
      <c r="K103" s="130"/>
      <c r="L103" s="130"/>
      <c r="M103" s="130"/>
      <c r="N103" s="130"/>
      <c r="O103" s="130"/>
      <c r="P103" s="130"/>
      <c r="Q103" s="130"/>
      <c r="R103" s="130"/>
      <c r="S103" s="130"/>
      <c r="T103" s="83"/>
    </row>
    <row r="104" spans="1:20" ht="275.5" x14ac:dyDescent="0.35">
      <c r="A104" s="87"/>
      <c r="B104" s="159" t="s">
        <v>126</v>
      </c>
      <c r="C104" s="129" t="s">
        <v>549</v>
      </c>
      <c r="D104" s="102" t="s">
        <v>856</v>
      </c>
      <c r="E104" s="103" t="s">
        <v>857</v>
      </c>
      <c r="F104" s="104" t="s">
        <v>858</v>
      </c>
      <c r="G104" s="83"/>
      <c r="H104" s="88"/>
      <c r="I104" s="88"/>
      <c r="J104" s="88"/>
      <c r="K104" s="88"/>
      <c r="L104" s="88"/>
      <c r="M104" s="88"/>
      <c r="N104" s="88"/>
      <c r="O104" s="88"/>
      <c r="P104" s="88"/>
      <c r="Q104" s="88"/>
      <c r="R104" s="88"/>
      <c r="S104" s="88"/>
      <c r="T104" s="83"/>
    </row>
    <row r="105" spans="1:20" ht="58" x14ac:dyDescent="0.35">
      <c r="A105" s="87"/>
      <c r="B105" s="159" t="s">
        <v>383</v>
      </c>
      <c r="C105" s="129" t="s">
        <v>549</v>
      </c>
      <c r="D105" s="102" t="s">
        <v>856</v>
      </c>
      <c r="E105" s="103" t="s">
        <v>859</v>
      </c>
      <c r="F105" s="104" t="s">
        <v>860</v>
      </c>
      <c r="G105" s="83"/>
      <c r="H105" s="88"/>
      <c r="I105" s="88"/>
      <c r="J105" s="88"/>
      <c r="K105" s="88"/>
      <c r="L105" s="88"/>
      <c r="M105" s="88"/>
      <c r="N105" s="88"/>
      <c r="O105" s="88"/>
      <c r="P105" s="88"/>
      <c r="Q105" s="88"/>
      <c r="R105" s="88"/>
      <c r="S105" s="88"/>
      <c r="T105" s="83"/>
    </row>
    <row r="106" spans="1:20" ht="130.5" x14ac:dyDescent="0.35">
      <c r="B106" s="159" t="s">
        <v>861</v>
      </c>
      <c r="C106" s="129" t="s">
        <v>549</v>
      </c>
      <c r="D106" s="102" t="s">
        <v>841</v>
      </c>
      <c r="E106" s="103" t="s">
        <v>862</v>
      </c>
      <c r="F106" s="104" t="s">
        <v>863</v>
      </c>
      <c r="G106" s="88"/>
      <c r="H106" s="88"/>
      <c r="I106" s="88"/>
      <c r="J106" s="88"/>
      <c r="K106" s="88"/>
      <c r="L106" s="88"/>
      <c r="M106" s="88"/>
      <c r="N106" s="88"/>
      <c r="O106" s="88"/>
      <c r="P106" s="88"/>
      <c r="Q106" s="88"/>
      <c r="R106" s="88"/>
      <c r="S106" s="88"/>
      <c r="T106" s="88"/>
    </row>
    <row r="107" spans="1:20" ht="406" x14ac:dyDescent="0.35">
      <c r="A107" s="87"/>
      <c r="B107" s="159" t="s">
        <v>864</v>
      </c>
      <c r="C107" s="129" t="s">
        <v>549</v>
      </c>
      <c r="D107" s="102" t="s">
        <v>865</v>
      </c>
      <c r="E107" s="103" t="s">
        <v>866</v>
      </c>
      <c r="F107" s="104" t="s">
        <v>867</v>
      </c>
      <c r="G107" s="83"/>
      <c r="H107" s="88"/>
      <c r="I107" s="88"/>
      <c r="J107" s="88"/>
      <c r="K107" s="88"/>
      <c r="L107" s="88"/>
      <c r="M107" s="88"/>
      <c r="N107" s="88"/>
      <c r="O107" s="88"/>
      <c r="P107" s="88"/>
      <c r="Q107" s="88"/>
      <c r="R107" s="88"/>
      <c r="S107" s="88"/>
      <c r="T107" s="83"/>
    </row>
    <row r="108" spans="1:20" ht="159.5" x14ac:dyDescent="0.35">
      <c r="A108" s="87"/>
      <c r="B108" s="159" t="s">
        <v>381</v>
      </c>
      <c r="C108" s="129" t="s">
        <v>549</v>
      </c>
      <c r="D108" s="102" t="s">
        <v>865</v>
      </c>
      <c r="E108" s="103" t="s">
        <v>868</v>
      </c>
      <c r="F108" s="104" t="s">
        <v>860</v>
      </c>
      <c r="G108" s="83"/>
      <c r="H108" s="88"/>
      <c r="I108" s="88"/>
      <c r="J108" s="88"/>
      <c r="K108" s="88"/>
      <c r="L108" s="88"/>
      <c r="M108" s="88"/>
      <c r="N108" s="88"/>
      <c r="O108" s="88"/>
      <c r="P108" s="88"/>
      <c r="Q108" s="88"/>
      <c r="R108" s="88"/>
      <c r="S108" s="88"/>
      <c r="T108" s="83"/>
    </row>
    <row r="109" spans="1:20" ht="101.5" x14ac:dyDescent="0.35">
      <c r="B109" s="101" t="s">
        <v>869</v>
      </c>
      <c r="C109" s="129" t="s">
        <v>549</v>
      </c>
      <c r="D109" s="102" t="s">
        <v>870</v>
      </c>
      <c r="E109" s="103" t="s">
        <v>871</v>
      </c>
      <c r="F109" s="104" t="s">
        <v>872</v>
      </c>
      <c r="G109" s="88"/>
      <c r="H109" s="88"/>
      <c r="I109" s="88"/>
      <c r="J109" s="88"/>
      <c r="K109" s="88"/>
      <c r="L109" s="88"/>
      <c r="M109" s="88"/>
      <c r="N109" s="88"/>
      <c r="O109" s="88"/>
      <c r="P109" s="88"/>
      <c r="Q109" s="88"/>
      <c r="R109" s="88"/>
      <c r="S109" s="88"/>
      <c r="T109" s="88"/>
    </row>
    <row r="110" spans="1:20" ht="188.5" x14ac:dyDescent="0.35">
      <c r="B110" s="101" t="s">
        <v>873</v>
      </c>
      <c r="C110" s="129" t="s">
        <v>549</v>
      </c>
      <c r="D110" s="102" t="s">
        <v>870</v>
      </c>
      <c r="E110" s="103" t="s">
        <v>874</v>
      </c>
      <c r="F110" s="104" t="s">
        <v>872</v>
      </c>
      <c r="G110" s="88"/>
      <c r="H110" s="88"/>
      <c r="I110" s="88"/>
      <c r="J110" s="88"/>
      <c r="K110" s="88"/>
      <c r="L110" s="88"/>
      <c r="M110" s="88"/>
      <c r="N110" s="88"/>
      <c r="O110" s="88"/>
      <c r="P110" s="88"/>
      <c r="Q110" s="88"/>
      <c r="R110" s="88"/>
      <c r="S110" s="88"/>
      <c r="T110" s="88"/>
    </row>
    <row r="111" spans="1:20" ht="116" x14ac:dyDescent="0.35">
      <c r="B111" s="101" t="s">
        <v>875</v>
      </c>
      <c r="C111" s="129" t="s">
        <v>549</v>
      </c>
      <c r="D111" s="102" t="s">
        <v>870</v>
      </c>
      <c r="E111" s="103" t="s">
        <v>876</v>
      </c>
      <c r="F111" s="104" t="s">
        <v>872</v>
      </c>
      <c r="G111" s="88"/>
      <c r="H111" s="88"/>
      <c r="I111" s="88"/>
      <c r="J111" s="88"/>
      <c r="K111" s="88"/>
      <c r="L111" s="88"/>
      <c r="M111" s="88"/>
      <c r="N111" s="88"/>
      <c r="O111" s="88"/>
      <c r="P111" s="88"/>
      <c r="Q111" s="88"/>
      <c r="R111" s="88"/>
      <c r="S111" s="88"/>
      <c r="T111" s="88"/>
    </row>
    <row r="112" spans="1:20" ht="145" x14ac:dyDescent="0.35">
      <c r="B112" s="101" t="s">
        <v>877</v>
      </c>
      <c r="C112" s="129" t="s">
        <v>549</v>
      </c>
      <c r="D112" s="102" t="s">
        <v>870</v>
      </c>
      <c r="E112" s="103" t="s">
        <v>878</v>
      </c>
      <c r="F112" s="104" t="s">
        <v>872</v>
      </c>
      <c r="G112" s="88"/>
      <c r="H112" s="88"/>
      <c r="I112" s="88"/>
      <c r="J112" s="88"/>
      <c r="K112" s="88"/>
      <c r="L112" s="88"/>
      <c r="M112" s="88"/>
      <c r="N112" s="88"/>
      <c r="O112" s="88"/>
      <c r="P112" s="88"/>
      <c r="Q112" s="88"/>
      <c r="R112" s="88"/>
      <c r="S112" s="88"/>
      <c r="T112" s="88"/>
    </row>
    <row r="113" spans="1:20" ht="409.5" x14ac:dyDescent="0.35">
      <c r="B113" s="101" t="s">
        <v>879</v>
      </c>
      <c r="C113" s="129" t="s">
        <v>549</v>
      </c>
      <c r="D113" s="102" t="s">
        <v>841</v>
      </c>
      <c r="E113" s="103" t="s">
        <v>880</v>
      </c>
      <c r="F113" s="104"/>
      <c r="G113" s="88"/>
      <c r="H113" s="88"/>
      <c r="I113" s="88"/>
      <c r="J113" s="88"/>
      <c r="K113" s="88"/>
      <c r="L113" s="88"/>
      <c r="M113" s="88"/>
      <c r="N113" s="88"/>
      <c r="O113" s="88"/>
      <c r="P113" s="88"/>
      <c r="Q113" s="88"/>
      <c r="R113" s="88"/>
      <c r="S113" s="88"/>
      <c r="T113" s="88"/>
    </row>
    <row r="114" spans="1:20" ht="174" x14ac:dyDescent="0.35">
      <c r="B114" s="101" t="s">
        <v>881</v>
      </c>
      <c r="C114" s="129" t="s">
        <v>549</v>
      </c>
      <c r="D114" s="102" t="s">
        <v>841</v>
      </c>
      <c r="E114" s="103" t="s">
        <v>882</v>
      </c>
      <c r="F114" s="104"/>
      <c r="G114" s="88"/>
      <c r="H114" s="88"/>
      <c r="I114" s="88"/>
      <c r="J114" s="88"/>
      <c r="K114" s="88"/>
      <c r="L114" s="88"/>
      <c r="M114" s="88"/>
      <c r="N114" s="88"/>
      <c r="O114" s="88"/>
      <c r="P114" s="88"/>
      <c r="Q114" s="88"/>
      <c r="R114" s="88"/>
      <c r="S114" s="88"/>
      <c r="T114" s="88"/>
    </row>
    <row r="115" spans="1:20" ht="43.5" x14ac:dyDescent="0.35">
      <c r="B115" s="101" t="s">
        <v>883</v>
      </c>
      <c r="C115" s="129" t="s">
        <v>549</v>
      </c>
      <c r="D115" s="102" t="s">
        <v>841</v>
      </c>
      <c r="E115" s="103" t="s">
        <v>884</v>
      </c>
      <c r="F115" s="104"/>
      <c r="G115" s="88"/>
      <c r="H115" s="88"/>
      <c r="I115" s="88"/>
      <c r="J115" s="88"/>
      <c r="K115" s="88"/>
      <c r="L115" s="88"/>
      <c r="M115" s="88"/>
      <c r="N115" s="88"/>
      <c r="O115" s="88"/>
      <c r="P115" s="88"/>
      <c r="Q115" s="88"/>
      <c r="R115" s="88"/>
      <c r="S115" s="88"/>
      <c r="T115" s="88"/>
    </row>
    <row r="116" spans="1:20" ht="43.5" x14ac:dyDescent="0.35">
      <c r="B116" s="166" t="s">
        <v>564</v>
      </c>
      <c r="C116" s="97" t="s">
        <v>897</v>
      </c>
      <c r="D116" s="98"/>
      <c r="E116" s="98"/>
      <c r="F116" s="100"/>
      <c r="G116" s="88"/>
      <c r="H116" s="88"/>
      <c r="I116" s="88"/>
      <c r="J116" s="88"/>
      <c r="K116" s="88"/>
      <c r="L116" s="88"/>
      <c r="M116" s="88"/>
      <c r="N116" s="88"/>
      <c r="O116" s="88"/>
      <c r="P116" s="88"/>
      <c r="Q116" s="88"/>
      <c r="R116" s="88"/>
      <c r="S116" s="88"/>
      <c r="T116" s="88"/>
    </row>
    <row r="117" spans="1:20" ht="261" x14ac:dyDescent="0.35">
      <c r="B117" s="101" t="s">
        <v>116</v>
      </c>
      <c r="C117" s="129" t="s">
        <v>549</v>
      </c>
      <c r="D117" s="102" t="s">
        <v>841</v>
      </c>
      <c r="E117" s="103" t="s">
        <v>842</v>
      </c>
      <c r="F117" s="104"/>
      <c r="G117" s="88"/>
      <c r="H117" s="88"/>
      <c r="I117" s="88"/>
      <c r="J117" s="88"/>
      <c r="K117" s="88"/>
      <c r="L117" s="88"/>
      <c r="M117" s="88"/>
      <c r="N117" s="88"/>
      <c r="O117" s="88"/>
      <c r="P117" s="88"/>
      <c r="Q117" s="88"/>
      <c r="R117" s="88"/>
      <c r="S117" s="88"/>
      <c r="T117" s="88"/>
    </row>
    <row r="118" spans="1:20" ht="409.5" x14ac:dyDescent="0.35">
      <c r="A118" s="87"/>
      <c r="B118" s="101" t="s">
        <v>843</v>
      </c>
      <c r="C118" s="129" t="s">
        <v>549</v>
      </c>
      <c r="D118" s="102" t="s">
        <v>886</v>
      </c>
      <c r="E118" s="103" t="s">
        <v>845</v>
      </c>
      <c r="F118" s="104" t="s">
        <v>846</v>
      </c>
      <c r="G118" s="83"/>
      <c r="H118" s="88"/>
      <c r="I118" s="88"/>
      <c r="J118" s="88"/>
      <c r="K118" s="88"/>
      <c r="L118" s="88"/>
      <c r="M118" s="88"/>
      <c r="N118" s="88"/>
      <c r="O118" s="88"/>
      <c r="P118" s="88"/>
      <c r="Q118" s="88"/>
      <c r="R118" s="88"/>
      <c r="S118" s="88"/>
      <c r="T118" s="83"/>
    </row>
    <row r="119" spans="1:20" ht="348" x14ac:dyDescent="0.35">
      <c r="A119" s="87"/>
      <c r="B119" s="101" t="s">
        <v>887</v>
      </c>
      <c r="C119" s="129" t="s">
        <v>549</v>
      </c>
      <c r="D119" s="102" t="s">
        <v>852</v>
      </c>
      <c r="E119" s="103" t="s">
        <v>849</v>
      </c>
      <c r="F119" s="104" t="s">
        <v>888</v>
      </c>
      <c r="G119" s="83"/>
      <c r="H119" s="88"/>
      <c r="I119" s="88"/>
      <c r="J119" s="88"/>
      <c r="K119" s="88"/>
      <c r="L119" s="88"/>
      <c r="M119" s="88"/>
      <c r="N119" s="88"/>
      <c r="O119" s="88"/>
      <c r="P119" s="88"/>
      <c r="Q119" s="88"/>
      <c r="R119" s="88"/>
      <c r="S119" s="88"/>
      <c r="T119" s="83"/>
    </row>
    <row r="120" spans="1:20" ht="275.5" x14ac:dyDescent="0.35">
      <c r="A120" s="87"/>
      <c r="B120" s="101" t="s">
        <v>851</v>
      </c>
      <c r="C120" s="129" t="s">
        <v>549</v>
      </c>
      <c r="D120" s="102" t="s">
        <v>852</v>
      </c>
      <c r="E120" s="103" t="s">
        <v>853</v>
      </c>
      <c r="F120" s="104" t="s">
        <v>854</v>
      </c>
      <c r="G120" s="83"/>
      <c r="H120" s="88"/>
      <c r="I120" s="88"/>
      <c r="J120" s="88"/>
      <c r="K120" s="88"/>
      <c r="L120" s="88"/>
      <c r="M120" s="88"/>
      <c r="N120" s="88"/>
      <c r="O120" s="88"/>
      <c r="P120" s="88"/>
      <c r="Q120" s="88"/>
      <c r="R120" s="88"/>
      <c r="S120" s="88"/>
      <c r="T120" s="83"/>
    </row>
    <row r="121" spans="1:20" ht="159.5" x14ac:dyDescent="0.35">
      <c r="A121" s="87"/>
      <c r="B121" s="101" t="s">
        <v>378</v>
      </c>
      <c r="C121" s="129" t="s">
        <v>549</v>
      </c>
      <c r="D121" s="102" t="s">
        <v>852</v>
      </c>
      <c r="E121" s="103" t="s">
        <v>889</v>
      </c>
      <c r="F121" s="104"/>
      <c r="G121" s="83"/>
      <c r="H121" s="130"/>
      <c r="I121" s="130"/>
      <c r="J121" s="130"/>
      <c r="K121" s="130"/>
      <c r="L121" s="130"/>
      <c r="M121" s="130"/>
      <c r="N121" s="130"/>
      <c r="O121" s="130"/>
      <c r="P121" s="130"/>
      <c r="Q121" s="130"/>
      <c r="R121" s="130"/>
      <c r="S121" s="130"/>
      <c r="T121" s="83"/>
    </row>
    <row r="122" spans="1:20" ht="409.5" x14ac:dyDescent="0.35">
      <c r="B122" s="101"/>
      <c r="C122" s="129" t="s">
        <v>549</v>
      </c>
      <c r="D122" s="102" t="s">
        <v>841</v>
      </c>
      <c r="E122" s="103" t="s">
        <v>898</v>
      </c>
      <c r="F122" s="104"/>
      <c r="G122" s="88"/>
      <c r="H122" s="88"/>
      <c r="I122" s="88"/>
      <c r="J122" s="88"/>
      <c r="K122" s="88"/>
      <c r="L122" s="88"/>
      <c r="M122" s="88"/>
      <c r="N122" s="88"/>
      <c r="O122" s="88"/>
      <c r="P122" s="88"/>
      <c r="Q122" s="88"/>
      <c r="R122" s="88"/>
      <c r="S122" s="88"/>
      <c r="T122" s="88"/>
    </row>
    <row r="123" spans="1:20" ht="275.5" x14ac:dyDescent="0.35">
      <c r="A123" s="87"/>
      <c r="B123" s="159" t="s">
        <v>126</v>
      </c>
      <c r="C123" s="129" t="s">
        <v>549</v>
      </c>
      <c r="D123" s="102" t="s">
        <v>856</v>
      </c>
      <c r="E123" s="103" t="s">
        <v>857</v>
      </c>
      <c r="F123" s="104" t="s">
        <v>858</v>
      </c>
      <c r="G123" s="83"/>
      <c r="H123" s="88"/>
      <c r="I123" s="88"/>
      <c r="J123" s="88"/>
      <c r="K123" s="88"/>
      <c r="L123" s="88"/>
      <c r="M123" s="88"/>
      <c r="N123" s="88"/>
      <c r="O123" s="88"/>
      <c r="P123" s="88"/>
      <c r="Q123" s="88"/>
      <c r="R123" s="88"/>
      <c r="S123" s="88"/>
      <c r="T123" s="83"/>
    </row>
    <row r="124" spans="1:20" ht="58" x14ac:dyDescent="0.35">
      <c r="A124" s="87"/>
      <c r="B124" s="159" t="s">
        <v>383</v>
      </c>
      <c r="C124" s="129" t="s">
        <v>549</v>
      </c>
      <c r="D124" s="102" t="s">
        <v>856</v>
      </c>
      <c r="E124" s="103" t="s">
        <v>859</v>
      </c>
      <c r="F124" s="104" t="s">
        <v>860</v>
      </c>
      <c r="G124" s="83"/>
      <c r="H124" s="88"/>
      <c r="I124" s="88"/>
      <c r="J124" s="88"/>
      <c r="K124" s="88"/>
      <c r="L124" s="88"/>
      <c r="M124" s="88"/>
      <c r="N124" s="88"/>
      <c r="O124" s="88"/>
      <c r="P124" s="88"/>
      <c r="Q124" s="88"/>
      <c r="R124" s="88"/>
      <c r="S124" s="88"/>
      <c r="T124" s="83"/>
    </row>
    <row r="125" spans="1:20" ht="130.5" x14ac:dyDescent="0.35">
      <c r="B125" s="159" t="s">
        <v>861</v>
      </c>
      <c r="C125" s="129" t="s">
        <v>549</v>
      </c>
      <c r="D125" s="102" t="s">
        <v>841</v>
      </c>
      <c r="E125" s="103" t="s">
        <v>862</v>
      </c>
      <c r="F125" s="104" t="s">
        <v>863</v>
      </c>
      <c r="G125" s="88"/>
      <c r="H125" s="88"/>
      <c r="I125" s="88"/>
      <c r="J125" s="88"/>
      <c r="K125" s="88"/>
      <c r="L125" s="88"/>
      <c r="M125" s="88"/>
      <c r="N125" s="88"/>
      <c r="O125" s="88"/>
      <c r="P125" s="88"/>
      <c r="Q125" s="88"/>
      <c r="R125" s="88"/>
      <c r="S125" s="88"/>
      <c r="T125" s="88"/>
    </row>
    <row r="126" spans="1:20" ht="406" x14ac:dyDescent="0.35">
      <c r="A126" s="87"/>
      <c r="B126" s="159" t="s">
        <v>864</v>
      </c>
      <c r="C126" s="129" t="s">
        <v>549</v>
      </c>
      <c r="D126" s="102" t="s">
        <v>865</v>
      </c>
      <c r="E126" s="103" t="s">
        <v>866</v>
      </c>
      <c r="F126" s="104" t="s">
        <v>867</v>
      </c>
      <c r="G126" s="83"/>
      <c r="H126" s="88"/>
      <c r="I126" s="88"/>
      <c r="J126" s="88"/>
      <c r="K126" s="88"/>
      <c r="L126" s="88"/>
      <c r="M126" s="88"/>
      <c r="N126" s="88"/>
      <c r="O126" s="88"/>
      <c r="P126" s="88"/>
      <c r="Q126" s="88"/>
      <c r="R126" s="88"/>
      <c r="S126" s="88"/>
      <c r="T126" s="83"/>
    </row>
    <row r="127" spans="1:20" ht="159.5" x14ac:dyDescent="0.35">
      <c r="A127" s="87"/>
      <c r="B127" s="159" t="s">
        <v>381</v>
      </c>
      <c r="C127" s="129" t="s">
        <v>549</v>
      </c>
      <c r="D127" s="102" t="s">
        <v>865</v>
      </c>
      <c r="E127" s="103" t="s">
        <v>868</v>
      </c>
      <c r="F127" s="104" t="s">
        <v>860</v>
      </c>
      <c r="G127" s="83"/>
      <c r="H127" s="88"/>
      <c r="I127" s="88"/>
      <c r="J127" s="88"/>
      <c r="K127" s="88"/>
      <c r="L127" s="88"/>
      <c r="M127" s="88"/>
      <c r="N127" s="88"/>
      <c r="O127" s="88"/>
      <c r="P127" s="88"/>
      <c r="Q127" s="88"/>
      <c r="R127" s="88"/>
      <c r="S127" s="88"/>
      <c r="T127" s="83"/>
    </row>
    <row r="128" spans="1:20" ht="101.5" x14ac:dyDescent="0.35">
      <c r="B128" s="101" t="s">
        <v>869</v>
      </c>
      <c r="C128" s="129" t="s">
        <v>549</v>
      </c>
      <c r="D128" s="102" t="s">
        <v>870</v>
      </c>
      <c r="E128" s="103" t="s">
        <v>871</v>
      </c>
      <c r="F128" s="104" t="s">
        <v>872</v>
      </c>
      <c r="G128" s="88"/>
      <c r="H128" s="88"/>
      <c r="I128" s="88"/>
      <c r="J128" s="88"/>
      <c r="K128" s="88"/>
      <c r="L128" s="88"/>
      <c r="M128" s="88"/>
      <c r="N128" s="88"/>
      <c r="O128" s="88"/>
      <c r="P128" s="88"/>
      <c r="Q128" s="88"/>
      <c r="R128" s="88"/>
      <c r="S128" s="88"/>
      <c r="T128" s="88"/>
    </row>
    <row r="129" spans="1:20" ht="188.5" x14ac:dyDescent="0.35">
      <c r="B129" s="101" t="s">
        <v>873</v>
      </c>
      <c r="C129" s="129" t="s">
        <v>549</v>
      </c>
      <c r="D129" s="102" t="s">
        <v>870</v>
      </c>
      <c r="E129" s="103" t="s">
        <v>874</v>
      </c>
      <c r="F129" s="104" t="s">
        <v>872</v>
      </c>
      <c r="G129" s="88"/>
      <c r="H129" s="88"/>
      <c r="I129" s="88"/>
      <c r="J129" s="88"/>
      <c r="K129" s="88"/>
      <c r="L129" s="88"/>
      <c r="M129" s="88"/>
      <c r="N129" s="88"/>
      <c r="O129" s="88"/>
      <c r="P129" s="88"/>
      <c r="Q129" s="88"/>
      <c r="R129" s="88"/>
      <c r="S129" s="88"/>
      <c r="T129" s="88"/>
    </row>
    <row r="130" spans="1:20" ht="116" x14ac:dyDescent="0.35">
      <c r="B130" s="101" t="s">
        <v>875</v>
      </c>
      <c r="C130" s="129" t="s">
        <v>549</v>
      </c>
      <c r="D130" s="102" t="s">
        <v>870</v>
      </c>
      <c r="E130" s="103" t="s">
        <v>876</v>
      </c>
      <c r="F130" s="104" t="s">
        <v>872</v>
      </c>
      <c r="G130" s="88"/>
      <c r="H130" s="88"/>
      <c r="I130" s="88"/>
      <c r="J130" s="88"/>
      <c r="K130" s="88"/>
      <c r="L130" s="88"/>
      <c r="M130" s="88"/>
      <c r="N130" s="88"/>
      <c r="O130" s="88"/>
      <c r="P130" s="88"/>
      <c r="Q130" s="88"/>
      <c r="R130" s="88"/>
      <c r="S130" s="88"/>
      <c r="T130" s="88"/>
    </row>
    <row r="131" spans="1:20" ht="145" x14ac:dyDescent="0.35">
      <c r="B131" s="101" t="s">
        <v>877</v>
      </c>
      <c r="C131" s="129" t="s">
        <v>549</v>
      </c>
      <c r="D131" s="102" t="s">
        <v>870</v>
      </c>
      <c r="E131" s="103" t="s">
        <v>878</v>
      </c>
      <c r="F131" s="104" t="s">
        <v>872</v>
      </c>
      <c r="G131" s="88"/>
      <c r="H131" s="88"/>
      <c r="I131" s="88"/>
      <c r="J131" s="88"/>
      <c r="K131" s="88"/>
      <c r="L131" s="88"/>
      <c r="M131" s="88"/>
      <c r="N131" s="88"/>
      <c r="O131" s="88"/>
      <c r="P131" s="88"/>
      <c r="Q131" s="88"/>
      <c r="R131" s="88"/>
      <c r="S131" s="88"/>
      <c r="T131" s="88"/>
    </row>
    <row r="132" spans="1:20" ht="409.5" x14ac:dyDescent="0.35">
      <c r="B132" s="101" t="s">
        <v>879</v>
      </c>
      <c r="C132" s="129" t="s">
        <v>549</v>
      </c>
      <c r="D132" s="102" t="s">
        <v>841</v>
      </c>
      <c r="E132" s="103" t="s">
        <v>880</v>
      </c>
      <c r="F132" s="104"/>
      <c r="G132" s="88"/>
      <c r="H132" s="88"/>
      <c r="I132" s="88"/>
      <c r="J132" s="88"/>
      <c r="K132" s="88"/>
      <c r="L132" s="88"/>
      <c r="M132" s="88"/>
      <c r="N132" s="88"/>
      <c r="O132" s="88"/>
      <c r="P132" s="88"/>
      <c r="Q132" s="88"/>
      <c r="R132" s="88"/>
      <c r="S132" s="88"/>
      <c r="T132" s="88"/>
    </row>
    <row r="133" spans="1:20" ht="174" x14ac:dyDescent="0.35">
      <c r="B133" s="101" t="s">
        <v>881</v>
      </c>
      <c r="C133" s="129" t="s">
        <v>549</v>
      </c>
      <c r="D133" s="102" t="s">
        <v>841</v>
      </c>
      <c r="E133" s="103" t="s">
        <v>882</v>
      </c>
      <c r="F133" s="104"/>
      <c r="G133" s="88"/>
      <c r="H133" s="88"/>
      <c r="I133" s="88"/>
      <c r="J133" s="88"/>
      <c r="K133" s="88"/>
      <c r="L133" s="88"/>
      <c r="M133" s="88"/>
      <c r="N133" s="88"/>
      <c r="O133" s="88"/>
      <c r="P133" s="88"/>
      <c r="Q133" s="88"/>
      <c r="R133" s="88"/>
      <c r="S133" s="88"/>
      <c r="T133" s="88"/>
    </row>
    <row r="134" spans="1:20" ht="43.5" x14ac:dyDescent="0.35">
      <c r="B134" s="101" t="s">
        <v>883</v>
      </c>
      <c r="C134" s="129" t="s">
        <v>549</v>
      </c>
      <c r="D134" s="102" t="s">
        <v>841</v>
      </c>
      <c r="E134" s="103" t="s">
        <v>884</v>
      </c>
      <c r="F134" s="104"/>
      <c r="G134" s="88"/>
      <c r="H134" s="88"/>
      <c r="I134" s="88"/>
      <c r="J134" s="88"/>
      <c r="K134" s="88"/>
      <c r="L134" s="88"/>
      <c r="M134" s="88"/>
      <c r="N134" s="88"/>
      <c r="O134" s="88"/>
      <c r="P134" s="88"/>
      <c r="Q134" s="88"/>
      <c r="R134" s="88"/>
      <c r="S134" s="88"/>
      <c r="T134" s="88"/>
    </row>
    <row r="135" spans="1:20" x14ac:dyDescent="0.35">
      <c r="B135" s="166" t="s">
        <v>624</v>
      </c>
      <c r="C135" s="97" t="s">
        <v>899</v>
      </c>
      <c r="D135" s="98"/>
      <c r="E135" s="99"/>
      <c r="F135" s="100"/>
      <c r="G135" s="88"/>
      <c r="H135" s="88"/>
      <c r="I135" s="88"/>
      <c r="J135" s="88"/>
      <c r="K135" s="88"/>
      <c r="L135" s="88"/>
      <c r="M135" s="88"/>
      <c r="N135" s="88"/>
      <c r="O135" s="88"/>
      <c r="P135" s="88"/>
      <c r="Q135" s="88"/>
      <c r="R135" s="88"/>
      <c r="S135" s="88"/>
      <c r="T135" s="88"/>
    </row>
    <row r="136" spans="1:20" ht="261" x14ac:dyDescent="0.35">
      <c r="B136" s="101" t="s">
        <v>116</v>
      </c>
      <c r="C136" s="129" t="s">
        <v>549</v>
      </c>
      <c r="D136" s="102" t="s">
        <v>841</v>
      </c>
      <c r="E136" s="103" t="s">
        <v>842</v>
      </c>
      <c r="F136" s="104"/>
      <c r="G136" s="88"/>
      <c r="H136" s="88"/>
      <c r="I136" s="88"/>
      <c r="J136" s="88"/>
      <c r="K136" s="88"/>
      <c r="L136" s="88"/>
      <c r="M136" s="88"/>
      <c r="N136" s="88"/>
      <c r="O136" s="88"/>
      <c r="P136" s="88"/>
      <c r="Q136" s="88"/>
      <c r="R136" s="88"/>
      <c r="S136" s="88"/>
      <c r="T136" s="88"/>
    </row>
    <row r="137" spans="1:20" ht="409.5" x14ac:dyDescent="0.35">
      <c r="A137" s="87"/>
      <c r="B137" s="101" t="s">
        <v>843</v>
      </c>
      <c r="C137" s="129" t="s">
        <v>549</v>
      </c>
      <c r="D137" s="102" t="s">
        <v>886</v>
      </c>
      <c r="E137" s="103" t="s">
        <v>845</v>
      </c>
      <c r="F137" s="104" t="s">
        <v>846</v>
      </c>
      <c r="G137" s="83"/>
      <c r="H137" s="88"/>
      <c r="I137" s="88"/>
      <c r="J137" s="88"/>
      <c r="K137" s="88"/>
      <c r="L137" s="88"/>
      <c r="M137" s="88"/>
      <c r="N137" s="88"/>
      <c r="O137" s="88"/>
      <c r="P137" s="88"/>
      <c r="Q137" s="88"/>
      <c r="R137" s="88"/>
      <c r="S137" s="88"/>
      <c r="T137" s="83"/>
    </row>
    <row r="138" spans="1:20" ht="348" x14ac:dyDescent="0.35">
      <c r="A138" s="87"/>
      <c r="B138" s="101" t="s">
        <v>887</v>
      </c>
      <c r="C138" s="129" t="s">
        <v>549</v>
      </c>
      <c r="D138" s="102" t="s">
        <v>852</v>
      </c>
      <c r="E138" s="103" t="s">
        <v>849</v>
      </c>
      <c r="F138" s="104" t="s">
        <v>888</v>
      </c>
      <c r="G138" s="83"/>
      <c r="H138" s="88"/>
      <c r="I138" s="88"/>
      <c r="J138" s="88"/>
      <c r="K138" s="88"/>
      <c r="L138" s="88"/>
      <c r="M138" s="88"/>
      <c r="N138" s="88"/>
      <c r="O138" s="88"/>
      <c r="P138" s="88"/>
      <c r="Q138" s="88"/>
      <c r="R138" s="88"/>
      <c r="S138" s="88"/>
      <c r="T138" s="83"/>
    </row>
    <row r="139" spans="1:20" ht="275.5" x14ac:dyDescent="0.35">
      <c r="A139" s="87"/>
      <c r="B139" s="101" t="s">
        <v>851</v>
      </c>
      <c r="C139" s="129" t="s">
        <v>549</v>
      </c>
      <c r="D139" s="102" t="s">
        <v>852</v>
      </c>
      <c r="E139" s="103" t="s">
        <v>853</v>
      </c>
      <c r="F139" s="104" t="s">
        <v>854</v>
      </c>
      <c r="G139" s="83"/>
      <c r="H139" s="88"/>
      <c r="I139" s="88"/>
      <c r="J139" s="88"/>
      <c r="K139" s="88"/>
      <c r="L139" s="88"/>
      <c r="M139" s="88"/>
      <c r="N139" s="88"/>
      <c r="O139" s="88"/>
      <c r="P139" s="88"/>
      <c r="Q139" s="88"/>
      <c r="R139" s="88"/>
      <c r="S139" s="88"/>
      <c r="T139" s="83"/>
    </row>
    <row r="140" spans="1:20" ht="159.5" x14ac:dyDescent="0.35">
      <c r="A140" s="87"/>
      <c r="B140" s="101" t="s">
        <v>378</v>
      </c>
      <c r="C140" s="129" t="s">
        <v>549</v>
      </c>
      <c r="D140" s="102" t="s">
        <v>852</v>
      </c>
      <c r="E140" s="103" t="s">
        <v>889</v>
      </c>
      <c r="F140" s="104"/>
      <c r="G140" s="83"/>
      <c r="H140" s="88"/>
      <c r="I140" s="88"/>
      <c r="J140" s="88"/>
      <c r="K140" s="88"/>
      <c r="L140" s="88"/>
      <c r="M140" s="88"/>
      <c r="N140" s="88"/>
      <c r="O140" s="88"/>
      <c r="P140" s="88"/>
      <c r="Q140" s="88"/>
      <c r="R140" s="88"/>
      <c r="S140" s="88"/>
      <c r="T140" s="83"/>
    </row>
    <row r="141" spans="1:20" ht="409.5" x14ac:dyDescent="0.35">
      <c r="B141" s="101" t="s">
        <v>843</v>
      </c>
      <c r="C141" s="129" t="s">
        <v>549</v>
      </c>
      <c r="D141" s="102" t="s">
        <v>841</v>
      </c>
      <c r="E141" s="103" t="s">
        <v>898</v>
      </c>
      <c r="F141" s="104"/>
      <c r="G141" s="88"/>
      <c r="H141" s="88"/>
      <c r="I141" s="88"/>
      <c r="J141" s="88"/>
      <c r="K141" s="88"/>
      <c r="L141" s="88"/>
      <c r="M141" s="88"/>
      <c r="N141" s="88"/>
      <c r="O141" s="88"/>
      <c r="P141" s="88"/>
      <c r="Q141" s="88"/>
      <c r="R141" s="88"/>
      <c r="S141" s="88"/>
      <c r="T141" s="88"/>
    </row>
    <row r="142" spans="1:20" ht="275.5" x14ac:dyDescent="0.35">
      <c r="A142" s="87"/>
      <c r="B142" s="159" t="s">
        <v>126</v>
      </c>
      <c r="C142" s="129" t="s">
        <v>549</v>
      </c>
      <c r="D142" s="102" t="s">
        <v>856</v>
      </c>
      <c r="E142" s="103" t="s">
        <v>857</v>
      </c>
      <c r="F142" s="104" t="s">
        <v>858</v>
      </c>
      <c r="G142" s="83"/>
      <c r="H142" s="88"/>
      <c r="I142" s="88"/>
      <c r="J142" s="88"/>
      <c r="K142" s="88"/>
      <c r="L142" s="88"/>
      <c r="M142" s="88"/>
      <c r="N142" s="88"/>
      <c r="O142" s="88"/>
      <c r="P142" s="88"/>
      <c r="Q142" s="88"/>
      <c r="R142" s="88"/>
      <c r="S142" s="88"/>
      <c r="T142" s="83"/>
    </row>
    <row r="143" spans="1:20" ht="58" x14ac:dyDescent="0.35">
      <c r="A143" s="87"/>
      <c r="B143" s="159" t="s">
        <v>383</v>
      </c>
      <c r="C143" s="129" t="s">
        <v>549</v>
      </c>
      <c r="D143" s="102" t="s">
        <v>856</v>
      </c>
      <c r="E143" s="103" t="s">
        <v>859</v>
      </c>
      <c r="F143" s="104" t="s">
        <v>860</v>
      </c>
      <c r="G143" s="83"/>
      <c r="H143" s="88"/>
      <c r="I143" s="88"/>
      <c r="J143" s="88"/>
      <c r="K143" s="88"/>
      <c r="L143" s="88"/>
      <c r="M143" s="88"/>
      <c r="N143" s="88"/>
      <c r="O143" s="88"/>
      <c r="P143" s="88"/>
      <c r="Q143" s="88"/>
      <c r="R143" s="88"/>
      <c r="S143" s="88"/>
      <c r="T143" s="83"/>
    </row>
    <row r="144" spans="1:20" ht="130.5" x14ac:dyDescent="0.35">
      <c r="B144" s="159" t="s">
        <v>861</v>
      </c>
      <c r="C144" s="129" t="s">
        <v>549</v>
      </c>
      <c r="D144" s="102" t="s">
        <v>841</v>
      </c>
      <c r="E144" s="103" t="s">
        <v>862</v>
      </c>
      <c r="F144" s="104" t="s">
        <v>863</v>
      </c>
      <c r="G144" s="88"/>
      <c r="H144" s="88"/>
      <c r="I144" s="88"/>
      <c r="J144" s="88"/>
      <c r="K144" s="88"/>
      <c r="L144" s="88"/>
      <c r="M144" s="88"/>
      <c r="N144" s="88"/>
      <c r="O144" s="88"/>
      <c r="P144" s="88"/>
      <c r="Q144" s="88"/>
      <c r="R144" s="88"/>
      <c r="S144" s="88"/>
      <c r="T144" s="88"/>
    </row>
    <row r="145" spans="1:20" ht="406" x14ac:dyDescent="0.35">
      <c r="A145" s="87"/>
      <c r="B145" s="159" t="s">
        <v>864</v>
      </c>
      <c r="C145" s="129" t="s">
        <v>549</v>
      </c>
      <c r="D145" s="102" t="s">
        <v>865</v>
      </c>
      <c r="E145" s="103" t="s">
        <v>866</v>
      </c>
      <c r="F145" s="104" t="s">
        <v>867</v>
      </c>
      <c r="G145" s="83"/>
      <c r="H145" s="88"/>
      <c r="I145" s="88"/>
      <c r="J145" s="88"/>
      <c r="K145" s="88"/>
      <c r="L145" s="88"/>
      <c r="M145" s="88"/>
      <c r="N145" s="88"/>
      <c r="O145" s="88"/>
      <c r="P145" s="88"/>
      <c r="Q145" s="88"/>
      <c r="R145" s="88"/>
      <c r="S145" s="88"/>
      <c r="T145" s="83"/>
    </row>
    <row r="146" spans="1:20" ht="159.5" x14ac:dyDescent="0.35">
      <c r="A146" s="87"/>
      <c r="B146" s="159" t="s">
        <v>381</v>
      </c>
      <c r="C146" s="129" t="s">
        <v>549</v>
      </c>
      <c r="D146" s="102" t="s">
        <v>865</v>
      </c>
      <c r="E146" s="103" t="s">
        <v>868</v>
      </c>
      <c r="F146" s="104" t="s">
        <v>860</v>
      </c>
      <c r="G146" s="83"/>
      <c r="H146" s="88"/>
      <c r="I146" s="88"/>
      <c r="J146" s="88"/>
      <c r="K146" s="88"/>
      <c r="L146" s="88"/>
      <c r="M146" s="88"/>
      <c r="N146" s="88"/>
      <c r="O146" s="88"/>
      <c r="P146" s="88"/>
      <c r="Q146" s="88"/>
      <c r="R146" s="88"/>
      <c r="S146" s="88"/>
      <c r="T146" s="83"/>
    </row>
    <row r="147" spans="1:20" ht="101.5" x14ac:dyDescent="0.35">
      <c r="B147" s="101" t="s">
        <v>869</v>
      </c>
      <c r="C147" s="129" t="s">
        <v>549</v>
      </c>
      <c r="D147" s="102" t="s">
        <v>870</v>
      </c>
      <c r="E147" s="103" t="s">
        <v>871</v>
      </c>
      <c r="F147" s="104" t="s">
        <v>872</v>
      </c>
      <c r="G147" s="88"/>
      <c r="H147" s="88"/>
      <c r="I147" s="88"/>
      <c r="J147" s="88"/>
      <c r="K147" s="88"/>
      <c r="L147" s="88"/>
      <c r="M147" s="88"/>
      <c r="N147" s="88"/>
      <c r="O147" s="88"/>
      <c r="P147" s="88"/>
      <c r="Q147" s="88"/>
      <c r="R147" s="88"/>
      <c r="S147" s="88"/>
      <c r="T147" s="88"/>
    </row>
    <row r="148" spans="1:20" ht="188.5" x14ac:dyDescent="0.35">
      <c r="B148" s="101" t="s">
        <v>873</v>
      </c>
      <c r="C148" s="129" t="s">
        <v>549</v>
      </c>
      <c r="D148" s="102" t="s">
        <v>870</v>
      </c>
      <c r="E148" s="103" t="s">
        <v>874</v>
      </c>
      <c r="F148" s="104" t="s">
        <v>872</v>
      </c>
      <c r="G148" s="88"/>
      <c r="H148" s="88"/>
      <c r="I148" s="88"/>
      <c r="J148" s="88"/>
      <c r="K148" s="88"/>
      <c r="L148" s="88"/>
      <c r="M148" s="88"/>
      <c r="N148" s="88"/>
      <c r="O148" s="88"/>
      <c r="P148" s="88"/>
      <c r="Q148" s="88"/>
      <c r="R148" s="88"/>
      <c r="S148" s="88"/>
      <c r="T148" s="88"/>
    </row>
    <row r="149" spans="1:20" ht="116" x14ac:dyDescent="0.35">
      <c r="B149" s="101" t="s">
        <v>875</v>
      </c>
      <c r="C149" s="129" t="s">
        <v>549</v>
      </c>
      <c r="D149" s="102" t="s">
        <v>870</v>
      </c>
      <c r="E149" s="103" t="s">
        <v>876</v>
      </c>
      <c r="F149" s="104" t="s">
        <v>872</v>
      </c>
      <c r="G149" s="88"/>
      <c r="H149" s="88"/>
      <c r="I149" s="88"/>
      <c r="J149" s="88"/>
      <c r="K149" s="88"/>
      <c r="L149" s="88"/>
      <c r="M149" s="88"/>
      <c r="N149" s="88"/>
      <c r="O149" s="88"/>
      <c r="P149" s="88"/>
      <c r="Q149" s="88"/>
      <c r="R149" s="88"/>
      <c r="S149" s="88"/>
      <c r="T149" s="88"/>
    </row>
    <row r="150" spans="1:20" ht="145" x14ac:dyDescent="0.35">
      <c r="B150" s="101" t="s">
        <v>877</v>
      </c>
      <c r="C150" s="129" t="s">
        <v>549</v>
      </c>
      <c r="D150" s="102" t="s">
        <v>870</v>
      </c>
      <c r="E150" s="103" t="s">
        <v>878</v>
      </c>
      <c r="F150" s="104" t="s">
        <v>872</v>
      </c>
      <c r="G150" s="88"/>
      <c r="H150" s="88"/>
      <c r="I150" s="88"/>
      <c r="J150" s="88"/>
      <c r="K150" s="88"/>
      <c r="L150" s="88"/>
      <c r="M150" s="88"/>
      <c r="N150" s="88"/>
      <c r="O150" s="88"/>
      <c r="P150" s="88"/>
      <c r="Q150" s="88"/>
      <c r="R150" s="88"/>
      <c r="S150" s="88"/>
      <c r="T150" s="88"/>
    </row>
    <row r="151" spans="1:20" ht="409.5" x14ac:dyDescent="0.35">
      <c r="B151" s="101" t="s">
        <v>879</v>
      </c>
      <c r="C151" s="129" t="s">
        <v>549</v>
      </c>
      <c r="D151" s="102" t="s">
        <v>841</v>
      </c>
      <c r="E151" s="103" t="s">
        <v>880</v>
      </c>
      <c r="F151" s="104"/>
      <c r="G151" s="88"/>
      <c r="H151" s="88"/>
      <c r="I151" s="88"/>
      <c r="J151" s="88"/>
      <c r="K151" s="88"/>
      <c r="L151" s="88"/>
      <c r="M151" s="88"/>
      <c r="N151" s="88"/>
      <c r="O151" s="88"/>
      <c r="P151" s="88"/>
      <c r="Q151" s="88"/>
      <c r="R151" s="88"/>
      <c r="S151" s="88"/>
      <c r="T151" s="88"/>
    </row>
    <row r="152" spans="1:20" ht="174" x14ac:dyDescent="0.35">
      <c r="B152" s="101" t="s">
        <v>881</v>
      </c>
      <c r="C152" s="129" t="s">
        <v>549</v>
      </c>
      <c r="D152" s="102" t="s">
        <v>841</v>
      </c>
      <c r="E152" s="103" t="s">
        <v>882</v>
      </c>
      <c r="F152" s="104"/>
      <c r="G152" s="88"/>
      <c r="H152" s="88"/>
      <c r="I152" s="88"/>
      <c r="J152" s="88"/>
      <c r="K152" s="88"/>
      <c r="L152" s="88"/>
      <c r="M152" s="88"/>
      <c r="N152" s="88"/>
      <c r="O152" s="88"/>
      <c r="P152" s="88"/>
      <c r="Q152" s="88"/>
      <c r="R152" s="88"/>
      <c r="S152" s="88"/>
      <c r="T152" s="88"/>
    </row>
    <row r="153" spans="1:20" ht="43.5" x14ac:dyDescent="0.35">
      <c r="B153" s="101" t="s">
        <v>883</v>
      </c>
      <c r="C153" s="129" t="s">
        <v>549</v>
      </c>
      <c r="D153" s="102" t="s">
        <v>841</v>
      </c>
      <c r="E153" s="103" t="s">
        <v>884</v>
      </c>
      <c r="F153" s="104"/>
      <c r="G153" s="88"/>
      <c r="H153" s="88"/>
      <c r="I153" s="88"/>
      <c r="J153" s="88"/>
      <c r="K153" s="88"/>
      <c r="L153" s="88"/>
      <c r="M153" s="88"/>
      <c r="N153" s="88"/>
      <c r="O153" s="88"/>
      <c r="P153" s="88"/>
      <c r="Q153" s="88"/>
      <c r="R153" s="88"/>
      <c r="S153" s="88"/>
      <c r="T153" s="88"/>
    </row>
    <row r="154" spans="1:20" ht="29" x14ac:dyDescent="0.35">
      <c r="B154" s="166" t="s">
        <v>626</v>
      </c>
      <c r="C154" s="97" t="s">
        <v>900</v>
      </c>
      <c r="D154" s="98"/>
      <c r="E154" s="99"/>
      <c r="F154" s="100"/>
      <c r="G154" s="88"/>
      <c r="H154" s="88"/>
      <c r="I154" s="88"/>
      <c r="J154" s="88"/>
      <c r="K154" s="88"/>
      <c r="L154" s="88"/>
      <c r="M154" s="88"/>
      <c r="N154" s="88"/>
      <c r="O154" s="88"/>
      <c r="P154" s="88"/>
      <c r="Q154" s="88"/>
      <c r="R154" s="88"/>
      <c r="S154" s="88"/>
      <c r="T154" s="88"/>
    </row>
    <row r="155" spans="1:20" ht="261" x14ac:dyDescent="0.35">
      <c r="B155" s="101" t="s">
        <v>116</v>
      </c>
      <c r="C155" s="129" t="s">
        <v>549</v>
      </c>
      <c r="D155" s="102" t="s">
        <v>841</v>
      </c>
      <c r="E155" s="103" t="s">
        <v>842</v>
      </c>
      <c r="F155" s="104"/>
      <c r="G155" s="88"/>
      <c r="H155" s="88"/>
      <c r="I155" s="88"/>
      <c r="J155" s="88"/>
      <c r="K155" s="88"/>
      <c r="L155" s="88"/>
      <c r="M155" s="88"/>
      <c r="N155" s="88"/>
      <c r="O155" s="88"/>
      <c r="P155" s="88"/>
      <c r="Q155" s="88"/>
      <c r="R155" s="88"/>
      <c r="S155" s="88"/>
      <c r="T155" s="88"/>
    </row>
    <row r="156" spans="1:20" ht="409.5" x14ac:dyDescent="0.35">
      <c r="A156" s="87"/>
      <c r="B156" s="101" t="s">
        <v>843</v>
      </c>
      <c r="C156" s="129" t="s">
        <v>549</v>
      </c>
      <c r="D156" s="102" t="s">
        <v>886</v>
      </c>
      <c r="E156" s="103" t="s">
        <v>845</v>
      </c>
      <c r="F156" s="104" t="s">
        <v>846</v>
      </c>
      <c r="G156" s="83"/>
      <c r="H156" s="88"/>
      <c r="I156" s="88"/>
      <c r="J156" s="88"/>
      <c r="K156" s="88"/>
      <c r="L156" s="88"/>
      <c r="M156" s="88"/>
      <c r="N156" s="88"/>
      <c r="O156" s="88"/>
      <c r="P156" s="88"/>
      <c r="Q156" s="88"/>
      <c r="R156" s="88"/>
      <c r="S156" s="88"/>
      <c r="T156" s="83"/>
    </row>
    <row r="157" spans="1:20" ht="348" x14ac:dyDescent="0.35">
      <c r="A157" s="87"/>
      <c r="B157" s="101" t="s">
        <v>887</v>
      </c>
      <c r="C157" s="129" t="s">
        <v>549</v>
      </c>
      <c r="D157" s="102" t="s">
        <v>852</v>
      </c>
      <c r="E157" s="103" t="s">
        <v>849</v>
      </c>
      <c r="F157" s="104" t="s">
        <v>888</v>
      </c>
      <c r="G157" s="83"/>
      <c r="H157" s="88"/>
      <c r="I157" s="88"/>
      <c r="J157" s="88"/>
      <c r="K157" s="88"/>
      <c r="L157" s="88"/>
      <c r="M157" s="88"/>
      <c r="N157" s="88"/>
      <c r="O157" s="88"/>
      <c r="P157" s="88"/>
      <c r="Q157" s="88"/>
      <c r="R157" s="88"/>
      <c r="S157" s="88"/>
      <c r="T157" s="83"/>
    </row>
    <row r="158" spans="1:20" ht="246.5" x14ac:dyDescent="0.35">
      <c r="A158" s="87"/>
      <c r="B158" s="101" t="s">
        <v>851</v>
      </c>
      <c r="C158" s="129" t="s">
        <v>549</v>
      </c>
      <c r="D158" s="102" t="s">
        <v>852</v>
      </c>
      <c r="E158" s="103" t="s">
        <v>896</v>
      </c>
      <c r="F158" s="104" t="s">
        <v>854</v>
      </c>
      <c r="G158" s="83"/>
      <c r="H158" s="88"/>
      <c r="I158" s="88"/>
      <c r="J158" s="88"/>
      <c r="K158" s="88"/>
      <c r="L158" s="88"/>
      <c r="M158" s="88"/>
      <c r="N158" s="88"/>
      <c r="O158" s="88"/>
      <c r="P158" s="88"/>
      <c r="Q158" s="88"/>
      <c r="R158" s="88"/>
      <c r="S158" s="88"/>
      <c r="T158" s="83"/>
    </row>
    <row r="159" spans="1:20" ht="159.5" x14ac:dyDescent="0.35">
      <c r="A159" s="87"/>
      <c r="B159" s="101" t="s">
        <v>378</v>
      </c>
      <c r="C159" s="129" t="s">
        <v>549</v>
      </c>
      <c r="D159" s="102" t="s">
        <v>852</v>
      </c>
      <c r="E159" s="103" t="s">
        <v>889</v>
      </c>
      <c r="F159" s="104"/>
      <c r="G159" s="83"/>
      <c r="H159" s="130"/>
      <c r="I159" s="130"/>
      <c r="J159" s="130"/>
      <c r="K159" s="130"/>
      <c r="L159" s="130"/>
      <c r="M159" s="130"/>
      <c r="N159" s="130"/>
      <c r="O159" s="130"/>
      <c r="P159" s="130"/>
      <c r="Q159" s="130"/>
      <c r="R159" s="130"/>
      <c r="S159" s="130"/>
      <c r="T159" s="83"/>
    </row>
    <row r="160" spans="1:20" ht="275.5" x14ac:dyDescent="0.35">
      <c r="A160" s="87"/>
      <c r="B160" s="159" t="s">
        <v>126</v>
      </c>
      <c r="C160" s="129" t="s">
        <v>549</v>
      </c>
      <c r="D160" s="102" t="s">
        <v>856</v>
      </c>
      <c r="E160" s="103" t="s">
        <v>857</v>
      </c>
      <c r="F160" s="104" t="s">
        <v>858</v>
      </c>
      <c r="G160" s="83"/>
      <c r="H160" s="88"/>
      <c r="I160" s="88"/>
      <c r="J160" s="88"/>
      <c r="K160" s="88"/>
      <c r="L160" s="88"/>
      <c r="M160" s="88"/>
      <c r="N160" s="88"/>
      <c r="O160" s="88"/>
      <c r="P160" s="88"/>
      <c r="Q160" s="88"/>
      <c r="R160" s="88"/>
      <c r="S160" s="88"/>
      <c r="T160" s="83"/>
    </row>
    <row r="161" spans="1:20" ht="58" x14ac:dyDescent="0.35">
      <c r="A161" s="87"/>
      <c r="B161" s="159" t="s">
        <v>383</v>
      </c>
      <c r="C161" s="129" t="s">
        <v>549</v>
      </c>
      <c r="D161" s="102" t="s">
        <v>856</v>
      </c>
      <c r="E161" s="103" t="s">
        <v>859</v>
      </c>
      <c r="F161" s="104" t="s">
        <v>860</v>
      </c>
      <c r="G161" s="83"/>
      <c r="H161" s="88"/>
      <c r="I161" s="88"/>
      <c r="J161" s="88"/>
      <c r="K161" s="88"/>
      <c r="L161" s="88"/>
      <c r="M161" s="88"/>
      <c r="N161" s="88"/>
      <c r="O161" s="88"/>
      <c r="P161" s="88"/>
      <c r="Q161" s="88"/>
      <c r="R161" s="88"/>
      <c r="S161" s="88"/>
      <c r="T161" s="83"/>
    </row>
    <row r="162" spans="1:20" ht="130.5" x14ac:dyDescent="0.35">
      <c r="B162" s="159" t="s">
        <v>861</v>
      </c>
      <c r="C162" s="129" t="s">
        <v>549</v>
      </c>
      <c r="D162" s="102" t="s">
        <v>841</v>
      </c>
      <c r="E162" s="103" t="s">
        <v>862</v>
      </c>
      <c r="F162" s="104" t="s">
        <v>863</v>
      </c>
      <c r="G162" s="88"/>
      <c r="H162" s="88"/>
      <c r="I162" s="88"/>
      <c r="J162" s="88"/>
      <c r="K162" s="88"/>
      <c r="L162" s="88"/>
      <c r="M162" s="88"/>
      <c r="N162" s="88"/>
      <c r="O162" s="88"/>
      <c r="P162" s="88"/>
      <c r="Q162" s="88"/>
      <c r="R162" s="88"/>
      <c r="S162" s="88"/>
      <c r="T162" s="88"/>
    </row>
    <row r="163" spans="1:20" ht="406" x14ac:dyDescent="0.35">
      <c r="A163" s="87"/>
      <c r="B163" s="159" t="s">
        <v>864</v>
      </c>
      <c r="C163" s="129" t="s">
        <v>549</v>
      </c>
      <c r="D163" s="102" t="s">
        <v>865</v>
      </c>
      <c r="E163" s="103" t="s">
        <v>866</v>
      </c>
      <c r="F163" s="104" t="s">
        <v>867</v>
      </c>
      <c r="G163" s="83"/>
      <c r="H163" s="88"/>
      <c r="I163" s="88"/>
      <c r="J163" s="88"/>
      <c r="K163" s="88"/>
      <c r="L163" s="88"/>
      <c r="M163" s="88"/>
      <c r="N163" s="88"/>
      <c r="O163" s="88"/>
      <c r="P163" s="88"/>
      <c r="Q163" s="88"/>
      <c r="R163" s="88"/>
      <c r="S163" s="88"/>
      <c r="T163" s="83"/>
    </row>
    <row r="164" spans="1:20" ht="159.5" x14ac:dyDescent="0.35">
      <c r="A164" s="87"/>
      <c r="B164" s="159" t="s">
        <v>381</v>
      </c>
      <c r="C164" s="129" t="s">
        <v>549</v>
      </c>
      <c r="D164" s="102" t="s">
        <v>865</v>
      </c>
      <c r="E164" s="103" t="s">
        <v>868</v>
      </c>
      <c r="F164" s="104" t="s">
        <v>860</v>
      </c>
      <c r="G164" s="83"/>
      <c r="H164" s="88"/>
      <c r="I164" s="88"/>
      <c r="J164" s="88"/>
      <c r="K164" s="88"/>
      <c r="L164" s="88"/>
      <c r="M164" s="88"/>
      <c r="N164" s="88"/>
      <c r="O164" s="88"/>
      <c r="P164" s="88"/>
      <c r="Q164" s="88"/>
      <c r="R164" s="88"/>
      <c r="S164" s="88"/>
      <c r="T164" s="83"/>
    </row>
    <row r="165" spans="1:20" ht="101.5" x14ac:dyDescent="0.35">
      <c r="B165" s="101" t="s">
        <v>869</v>
      </c>
      <c r="C165" s="129" t="s">
        <v>549</v>
      </c>
      <c r="D165" s="102" t="s">
        <v>870</v>
      </c>
      <c r="E165" s="103" t="s">
        <v>871</v>
      </c>
      <c r="F165" s="104" t="s">
        <v>872</v>
      </c>
      <c r="G165" s="88"/>
      <c r="H165" s="88"/>
      <c r="I165" s="88"/>
      <c r="J165" s="88"/>
      <c r="K165" s="88"/>
      <c r="L165" s="88"/>
      <c r="M165" s="88"/>
      <c r="N165" s="88"/>
      <c r="O165" s="88"/>
      <c r="P165" s="88"/>
      <c r="Q165" s="88"/>
      <c r="R165" s="88"/>
      <c r="S165" s="88"/>
      <c r="T165" s="88"/>
    </row>
    <row r="166" spans="1:20" ht="188.5" x14ac:dyDescent="0.35">
      <c r="B166" s="101" t="s">
        <v>873</v>
      </c>
      <c r="C166" s="129" t="s">
        <v>549</v>
      </c>
      <c r="D166" s="102" t="s">
        <v>870</v>
      </c>
      <c r="E166" s="103" t="s">
        <v>874</v>
      </c>
      <c r="F166" s="104" t="s">
        <v>872</v>
      </c>
      <c r="G166" s="88"/>
      <c r="H166" s="88"/>
      <c r="I166" s="88"/>
      <c r="J166" s="88"/>
      <c r="K166" s="88"/>
      <c r="L166" s="88"/>
      <c r="M166" s="88"/>
      <c r="N166" s="88"/>
      <c r="O166" s="88"/>
      <c r="P166" s="88"/>
      <c r="Q166" s="88"/>
      <c r="R166" s="88"/>
      <c r="S166" s="88"/>
      <c r="T166" s="88"/>
    </row>
    <row r="167" spans="1:20" ht="116" x14ac:dyDescent="0.35">
      <c r="B167" s="101" t="s">
        <v>875</v>
      </c>
      <c r="C167" s="129" t="s">
        <v>549</v>
      </c>
      <c r="D167" s="102" t="s">
        <v>870</v>
      </c>
      <c r="E167" s="103" t="s">
        <v>876</v>
      </c>
      <c r="F167" s="104" t="s">
        <v>872</v>
      </c>
      <c r="G167" s="88"/>
      <c r="H167" s="88"/>
      <c r="I167" s="88"/>
      <c r="J167" s="88"/>
      <c r="K167" s="88"/>
      <c r="L167" s="88"/>
      <c r="M167" s="88"/>
      <c r="N167" s="88"/>
      <c r="O167" s="88"/>
      <c r="P167" s="88"/>
      <c r="Q167" s="88"/>
      <c r="R167" s="88"/>
      <c r="S167" s="88"/>
      <c r="T167" s="88"/>
    </row>
    <row r="168" spans="1:20" ht="145" x14ac:dyDescent="0.35">
      <c r="B168" s="101" t="s">
        <v>877</v>
      </c>
      <c r="C168" s="129" t="s">
        <v>549</v>
      </c>
      <c r="D168" s="102" t="s">
        <v>870</v>
      </c>
      <c r="E168" s="103" t="s">
        <v>878</v>
      </c>
      <c r="F168" s="104" t="s">
        <v>872</v>
      </c>
      <c r="G168" s="88"/>
      <c r="H168" s="88"/>
      <c r="I168" s="88"/>
      <c r="J168" s="88"/>
      <c r="K168" s="88"/>
      <c r="L168" s="88"/>
      <c r="M168" s="88"/>
      <c r="N168" s="88"/>
      <c r="O168" s="88"/>
      <c r="P168" s="88"/>
      <c r="Q168" s="88"/>
      <c r="R168" s="88"/>
      <c r="S168" s="88"/>
      <c r="T168" s="88"/>
    </row>
    <row r="169" spans="1:20" ht="409.5" x14ac:dyDescent="0.35">
      <c r="B169" s="101" t="s">
        <v>879</v>
      </c>
      <c r="C169" s="129" t="s">
        <v>549</v>
      </c>
      <c r="D169" s="102" t="s">
        <v>841</v>
      </c>
      <c r="E169" s="103" t="s">
        <v>880</v>
      </c>
      <c r="F169" s="104"/>
      <c r="G169" s="88"/>
      <c r="H169" s="88"/>
      <c r="I169" s="88"/>
      <c r="J169" s="88"/>
      <c r="K169" s="88"/>
      <c r="L169" s="88"/>
      <c r="M169" s="88"/>
      <c r="N169" s="88"/>
      <c r="O169" s="88"/>
      <c r="P169" s="88"/>
      <c r="Q169" s="88"/>
      <c r="R169" s="88"/>
      <c r="S169" s="88"/>
      <c r="T169" s="88"/>
    </row>
    <row r="170" spans="1:20" ht="174" x14ac:dyDescent="0.35">
      <c r="B170" s="101" t="s">
        <v>881</v>
      </c>
      <c r="C170" s="129" t="s">
        <v>549</v>
      </c>
      <c r="D170" s="102" t="s">
        <v>841</v>
      </c>
      <c r="E170" s="103" t="s">
        <v>882</v>
      </c>
      <c r="F170" s="104"/>
      <c r="G170" s="88"/>
      <c r="H170" s="88"/>
      <c r="I170" s="88"/>
      <c r="J170" s="88"/>
      <c r="K170" s="88"/>
      <c r="L170" s="88"/>
      <c r="M170" s="88"/>
      <c r="N170" s="88"/>
      <c r="O170" s="88"/>
      <c r="P170" s="88"/>
      <c r="Q170" s="88"/>
      <c r="R170" s="88"/>
      <c r="S170" s="88"/>
      <c r="T170" s="88"/>
    </row>
    <row r="171" spans="1:20" ht="43.5" x14ac:dyDescent="0.35">
      <c r="B171" s="101" t="s">
        <v>883</v>
      </c>
      <c r="C171" s="129" t="s">
        <v>549</v>
      </c>
      <c r="D171" s="102" t="s">
        <v>841</v>
      </c>
      <c r="E171" s="103" t="s">
        <v>884</v>
      </c>
      <c r="F171" s="104"/>
      <c r="G171" s="88"/>
      <c r="H171" s="88"/>
      <c r="I171" s="88"/>
      <c r="J171" s="88"/>
      <c r="K171" s="88"/>
      <c r="L171" s="88"/>
      <c r="M171" s="88"/>
      <c r="N171" s="88"/>
      <c r="O171" s="88"/>
      <c r="P171" s="88"/>
      <c r="Q171" s="88"/>
      <c r="R171" s="88"/>
      <c r="S171" s="88"/>
      <c r="T171" s="88"/>
    </row>
    <row r="172" spans="1:20" ht="29" x14ac:dyDescent="0.35">
      <c r="B172" s="166" t="s">
        <v>627</v>
      </c>
      <c r="C172" s="97" t="s">
        <v>901</v>
      </c>
      <c r="D172" s="98"/>
      <c r="E172" s="99"/>
      <c r="F172" s="100"/>
      <c r="G172" s="88"/>
      <c r="H172" s="88"/>
      <c r="I172" s="88"/>
      <c r="J172" s="88"/>
      <c r="K172" s="88"/>
      <c r="L172" s="88"/>
      <c r="M172" s="88"/>
      <c r="N172" s="88"/>
      <c r="O172" s="88"/>
      <c r="P172" s="88"/>
      <c r="Q172" s="88"/>
      <c r="R172" s="88"/>
      <c r="S172" s="88"/>
      <c r="T172" s="88"/>
    </row>
    <row r="173" spans="1:20" ht="261" x14ac:dyDescent="0.35">
      <c r="B173" s="101" t="s">
        <v>116</v>
      </c>
      <c r="C173" s="129" t="s">
        <v>549</v>
      </c>
      <c r="D173" s="102" t="s">
        <v>841</v>
      </c>
      <c r="E173" s="103" t="s">
        <v>842</v>
      </c>
      <c r="F173" s="104"/>
      <c r="G173" s="88"/>
      <c r="H173" s="88"/>
      <c r="I173" s="88"/>
      <c r="J173" s="88"/>
      <c r="K173" s="88"/>
      <c r="L173" s="88"/>
      <c r="M173" s="88"/>
      <c r="N173" s="88"/>
      <c r="O173" s="88"/>
      <c r="P173" s="88"/>
      <c r="Q173" s="88"/>
      <c r="R173" s="88"/>
      <c r="S173" s="88"/>
      <c r="T173" s="88"/>
    </row>
    <row r="174" spans="1:20" ht="409.5" x14ac:dyDescent="0.35">
      <c r="A174" s="87"/>
      <c r="B174" s="101" t="s">
        <v>843</v>
      </c>
      <c r="C174" s="129" t="s">
        <v>549</v>
      </c>
      <c r="D174" s="102" t="s">
        <v>886</v>
      </c>
      <c r="E174" s="103" t="s">
        <v>845</v>
      </c>
      <c r="F174" s="104" t="s">
        <v>846</v>
      </c>
      <c r="G174" s="83"/>
      <c r="H174" s="88"/>
      <c r="I174" s="88"/>
      <c r="J174" s="88"/>
      <c r="K174" s="88"/>
      <c r="L174" s="88"/>
      <c r="M174" s="88"/>
      <c r="N174" s="88"/>
      <c r="O174" s="88"/>
      <c r="P174" s="88"/>
      <c r="Q174" s="88"/>
      <c r="R174" s="88"/>
      <c r="S174" s="88"/>
      <c r="T174" s="83"/>
    </row>
    <row r="175" spans="1:20" ht="348" x14ac:dyDescent="0.35">
      <c r="A175" s="87"/>
      <c r="B175" s="101" t="s">
        <v>887</v>
      </c>
      <c r="C175" s="129" t="s">
        <v>549</v>
      </c>
      <c r="D175" s="102" t="s">
        <v>852</v>
      </c>
      <c r="E175" s="103" t="s">
        <v>849</v>
      </c>
      <c r="F175" s="104" t="s">
        <v>888</v>
      </c>
      <c r="G175" s="83"/>
      <c r="H175" s="88"/>
      <c r="I175" s="88"/>
      <c r="J175" s="88"/>
      <c r="K175" s="88"/>
      <c r="L175" s="88"/>
      <c r="M175" s="88"/>
      <c r="N175" s="88"/>
      <c r="O175" s="88"/>
      <c r="P175" s="88"/>
      <c r="Q175" s="88"/>
      <c r="R175" s="88"/>
      <c r="S175" s="88"/>
      <c r="T175" s="83"/>
    </row>
    <row r="176" spans="1:20" ht="232" x14ac:dyDescent="0.35">
      <c r="A176" s="87"/>
      <c r="B176" s="101" t="s">
        <v>851</v>
      </c>
      <c r="C176" s="129" t="s">
        <v>549</v>
      </c>
      <c r="D176" s="102" t="s">
        <v>852</v>
      </c>
      <c r="E176" s="103" t="s">
        <v>902</v>
      </c>
      <c r="F176" s="104" t="s">
        <v>854</v>
      </c>
      <c r="G176" s="83"/>
      <c r="H176" s="88"/>
      <c r="I176" s="88"/>
      <c r="J176" s="88"/>
      <c r="K176" s="88"/>
      <c r="L176" s="88"/>
      <c r="M176" s="88"/>
      <c r="N176" s="88"/>
      <c r="O176" s="88"/>
      <c r="P176" s="88"/>
      <c r="Q176" s="88"/>
      <c r="R176" s="88"/>
      <c r="S176" s="88"/>
      <c r="T176" s="83"/>
    </row>
    <row r="177" spans="1:20" ht="159.5" x14ac:dyDescent="0.35">
      <c r="A177" s="87"/>
      <c r="B177" s="101" t="s">
        <v>378</v>
      </c>
      <c r="C177" s="129" t="s">
        <v>549</v>
      </c>
      <c r="D177" s="102" t="s">
        <v>852</v>
      </c>
      <c r="E177" s="103" t="s">
        <v>889</v>
      </c>
      <c r="F177" s="104"/>
      <c r="G177" s="83"/>
      <c r="H177" s="130"/>
      <c r="I177" s="130"/>
      <c r="J177" s="130"/>
      <c r="K177" s="130"/>
      <c r="L177" s="130"/>
      <c r="M177" s="130"/>
      <c r="N177" s="130"/>
      <c r="O177" s="130"/>
      <c r="P177" s="130"/>
      <c r="Q177" s="130"/>
      <c r="R177" s="130"/>
      <c r="S177" s="130"/>
      <c r="T177" s="83"/>
    </row>
    <row r="178" spans="1:20" ht="275.5" x14ac:dyDescent="0.35">
      <c r="A178" s="87"/>
      <c r="B178" s="159" t="s">
        <v>126</v>
      </c>
      <c r="C178" s="129" t="s">
        <v>549</v>
      </c>
      <c r="D178" s="102" t="s">
        <v>856</v>
      </c>
      <c r="E178" s="103" t="s">
        <v>857</v>
      </c>
      <c r="F178" s="104" t="s">
        <v>858</v>
      </c>
      <c r="G178" s="83"/>
      <c r="H178" s="88"/>
      <c r="I178" s="88"/>
      <c r="J178" s="88"/>
      <c r="K178" s="88"/>
      <c r="L178" s="88"/>
      <c r="M178" s="88"/>
      <c r="N178" s="88"/>
      <c r="O178" s="88"/>
      <c r="P178" s="88"/>
      <c r="Q178" s="88"/>
      <c r="R178" s="88"/>
      <c r="S178" s="88"/>
      <c r="T178" s="83"/>
    </row>
    <row r="179" spans="1:20" ht="58" x14ac:dyDescent="0.35">
      <c r="A179" s="87"/>
      <c r="B179" s="159" t="s">
        <v>383</v>
      </c>
      <c r="C179" s="129" t="s">
        <v>549</v>
      </c>
      <c r="D179" s="102" t="s">
        <v>856</v>
      </c>
      <c r="E179" s="103" t="s">
        <v>859</v>
      </c>
      <c r="F179" s="104" t="s">
        <v>860</v>
      </c>
      <c r="G179" s="83"/>
      <c r="H179" s="88"/>
      <c r="I179" s="88"/>
      <c r="J179" s="88"/>
      <c r="K179" s="88"/>
      <c r="L179" s="88"/>
      <c r="M179" s="88"/>
      <c r="N179" s="88"/>
      <c r="O179" s="88"/>
      <c r="P179" s="88"/>
      <c r="Q179" s="88"/>
      <c r="R179" s="88"/>
      <c r="S179" s="88"/>
      <c r="T179" s="83"/>
    </row>
    <row r="180" spans="1:20" ht="130.5" x14ac:dyDescent="0.35">
      <c r="B180" s="159" t="s">
        <v>861</v>
      </c>
      <c r="C180" s="129" t="s">
        <v>549</v>
      </c>
      <c r="D180" s="102" t="s">
        <v>841</v>
      </c>
      <c r="E180" s="103" t="s">
        <v>862</v>
      </c>
      <c r="F180" s="104" t="s">
        <v>863</v>
      </c>
      <c r="G180" s="88"/>
      <c r="H180" s="88"/>
      <c r="I180" s="88"/>
      <c r="J180" s="88"/>
      <c r="K180" s="88"/>
      <c r="L180" s="88"/>
      <c r="M180" s="88"/>
      <c r="N180" s="88"/>
      <c r="O180" s="88"/>
      <c r="P180" s="88"/>
      <c r="Q180" s="88"/>
      <c r="R180" s="88"/>
      <c r="S180" s="88"/>
      <c r="T180" s="88"/>
    </row>
    <row r="181" spans="1:20" ht="406" x14ac:dyDescent="0.35">
      <c r="A181" s="87"/>
      <c r="B181" s="159" t="s">
        <v>864</v>
      </c>
      <c r="C181" s="129" t="s">
        <v>549</v>
      </c>
      <c r="D181" s="102" t="s">
        <v>865</v>
      </c>
      <c r="E181" s="103" t="s">
        <v>866</v>
      </c>
      <c r="F181" s="104" t="s">
        <v>867</v>
      </c>
      <c r="G181" s="83"/>
      <c r="H181" s="88"/>
      <c r="I181" s="88"/>
      <c r="J181" s="88"/>
      <c r="K181" s="88"/>
      <c r="L181" s="88"/>
      <c r="M181" s="88"/>
      <c r="N181" s="88"/>
      <c r="O181" s="88"/>
      <c r="P181" s="88"/>
      <c r="Q181" s="88"/>
      <c r="R181" s="88"/>
      <c r="S181" s="88"/>
      <c r="T181" s="83"/>
    </row>
    <row r="182" spans="1:20" ht="159.5" x14ac:dyDescent="0.35">
      <c r="A182" s="87"/>
      <c r="B182" s="159" t="s">
        <v>381</v>
      </c>
      <c r="C182" s="129" t="s">
        <v>549</v>
      </c>
      <c r="D182" s="102" t="s">
        <v>865</v>
      </c>
      <c r="E182" s="103" t="s">
        <v>868</v>
      </c>
      <c r="F182" s="104" t="s">
        <v>860</v>
      </c>
      <c r="G182" s="83"/>
      <c r="H182" s="88"/>
      <c r="I182" s="88"/>
      <c r="J182" s="88"/>
      <c r="K182" s="88"/>
      <c r="L182" s="88"/>
      <c r="M182" s="88"/>
      <c r="N182" s="88"/>
      <c r="O182" s="88"/>
      <c r="P182" s="88"/>
      <c r="Q182" s="88"/>
      <c r="R182" s="88"/>
      <c r="S182" s="88"/>
      <c r="T182" s="83"/>
    </row>
    <row r="183" spans="1:20" ht="101.5" x14ac:dyDescent="0.35">
      <c r="B183" s="101" t="s">
        <v>869</v>
      </c>
      <c r="C183" s="129" t="s">
        <v>549</v>
      </c>
      <c r="D183" s="102" t="s">
        <v>870</v>
      </c>
      <c r="E183" s="103" t="s">
        <v>871</v>
      </c>
      <c r="F183" s="104" t="s">
        <v>872</v>
      </c>
      <c r="G183" s="88"/>
      <c r="H183" s="88"/>
      <c r="I183" s="88"/>
      <c r="J183" s="88"/>
      <c r="K183" s="88"/>
      <c r="L183" s="88"/>
      <c r="M183" s="88"/>
      <c r="N183" s="88"/>
      <c r="O183" s="88"/>
      <c r="P183" s="88"/>
      <c r="Q183" s="88"/>
      <c r="R183" s="88"/>
      <c r="S183" s="88"/>
      <c r="T183" s="88"/>
    </row>
    <row r="184" spans="1:20" ht="188.5" x14ac:dyDescent="0.35">
      <c r="B184" s="101" t="s">
        <v>873</v>
      </c>
      <c r="C184" s="129" t="s">
        <v>549</v>
      </c>
      <c r="D184" s="102" t="s">
        <v>870</v>
      </c>
      <c r="E184" s="103" t="s">
        <v>874</v>
      </c>
      <c r="F184" s="104" t="s">
        <v>872</v>
      </c>
      <c r="G184" s="88"/>
      <c r="H184" s="88"/>
      <c r="I184" s="88"/>
      <c r="J184" s="88"/>
      <c r="K184" s="88"/>
      <c r="L184" s="88"/>
      <c r="M184" s="88"/>
      <c r="N184" s="88"/>
      <c r="O184" s="88"/>
      <c r="P184" s="88"/>
      <c r="Q184" s="88"/>
      <c r="R184" s="88"/>
      <c r="S184" s="88"/>
      <c r="T184" s="88"/>
    </row>
    <row r="185" spans="1:20" ht="116" x14ac:dyDescent="0.35">
      <c r="B185" s="101" t="s">
        <v>875</v>
      </c>
      <c r="C185" s="129" t="s">
        <v>549</v>
      </c>
      <c r="D185" s="102" t="s">
        <v>870</v>
      </c>
      <c r="E185" s="103" t="s">
        <v>876</v>
      </c>
      <c r="F185" s="104" t="s">
        <v>872</v>
      </c>
      <c r="G185" s="88"/>
      <c r="H185" s="88"/>
      <c r="I185" s="88"/>
      <c r="J185" s="88"/>
      <c r="K185" s="88"/>
      <c r="L185" s="88"/>
      <c r="M185" s="88"/>
      <c r="N185" s="88"/>
      <c r="O185" s="88"/>
      <c r="P185" s="88"/>
      <c r="Q185" s="88"/>
      <c r="R185" s="88"/>
      <c r="S185" s="88"/>
      <c r="T185" s="88"/>
    </row>
    <row r="186" spans="1:20" ht="145" x14ac:dyDescent="0.35">
      <c r="B186" s="101" t="s">
        <v>877</v>
      </c>
      <c r="C186" s="129" t="s">
        <v>549</v>
      </c>
      <c r="D186" s="102" t="s">
        <v>870</v>
      </c>
      <c r="E186" s="103" t="s">
        <v>878</v>
      </c>
      <c r="F186" s="104" t="s">
        <v>872</v>
      </c>
      <c r="G186" s="88"/>
      <c r="H186" s="88"/>
      <c r="I186" s="88"/>
      <c r="J186" s="88"/>
      <c r="K186" s="88"/>
      <c r="L186" s="88"/>
      <c r="M186" s="88"/>
      <c r="N186" s="88"/>
      <c r="O186" s="88"/>
      <c r="P186" s="88"/>
      <c r="Q186" s="88"/>
      <c r="R186" s="88"/>
      <c r="S186" s="88"/>
      <c r="T186" s="88"/>
    </row>
    <row r="187" spans="1:20" ht="409.5" x14ac:dyDescent="0.35">
      <c r="B187" s="101" t="s">
        <v>879</v>
      </c>
      <c r="C187" s="129" t="s">
        <v>549</v>
      </c>
      <c r="D187" s="102" t="s">
        <v>841</v>
      </c>
      <c r="E187" s="103" t="s">
        <v>880</v>
      </c>
      <c r="F187" s="104"/>
      <c r="G187" s="88"/>
      <c r="H187" s="88"/>
      <c r="I187" s="88"/>
      <c r="J187" s="88"/>
      <c r="K187" s="88"/>
      <c r="L187" s="88"/>
      <c r="M187" s="88"/>
      <c r="N187" s="88"/>
      <c r="O187" s="88"/>
      <c r="P187" s="88"/>
      <c r="Q187" s="88"/>
      <c r="R187" s="88"/>
      <c r="S187" s="88"/>
      <c r="T187" s="88"/>
    </row>
    <row r="188" spans="1:20" ht="174" x14ac:dyDescent="0.35">
      <c r="B188" s="101" t="s">
        <v>881</v>
      </c>
      <c r="C188" s="129" t="s">
        <v>549</v>
      </c>
      <c r="D188" s="102" t="s">
        <v>841</v>
      </c>
      <c r="E188" s="103" t="s">
        <v>882</v>
      </c>
      <c r="F188" s="104"/>
      <c r="G188" s="88"/>
      <c r="H188" s="88"/>
      <c r="I188" s="88"/>
      <c r="J188" s="88"/>
      <c r="K188" s="88"/>
      <c r="L188" s="88"/>
      <c r="M188" s="88"/>
      <c r="N188" s="88"/>
      <c r="O188" s="88"/>
      <c r="P188" s="88"/>
      <c r="Q188" s="88"/>
      <c r="R188" s="88"/>
      <c r="S188" s="88"/>
      <c r="T188" s="88"/>
    </row>
    <row r="189" spans="1:20" ht="43.5" x14ac:dyDescent="0.35">
      <c r="B189" s="101" t="s">
        <v>883</v>
      </c>
      <c r="C189" s="129" t="s">
        <v>549</v>
      </c>
      <c r="D189" s="102" t="s">
        <v>841</v>
      </c>
      <c r="E189" s="103" t="s">
        <v>884</v>
      </c>
      <c r="F189" s="104"/>
      <c r="G189" s="88"/>
      <c r="H189" s="88"/>
      <c r="I189" s="88"/>
      <c r="J189" s="88"/>
      <c r="K189" s="88"/>
      <c r="L189" s="88"/>
      <c r="M189" s="88"/>
      <c r="N189" s="88"/>
      <c r="O189" s="88"/>
      <c r="P189" s="88"/>
      <c r="Q189" s="88"/>
      <c r="R189" s="88"/>
      <c r="S189" s="88"/>
      <c r="T189" s="88"/>
    </row>
    <row r="190" spans="1:20" x14ac:dyDescent="0.35">
      <c r="B190" s="166" t="s">
        <v>631</v>
      </c>
      <c r="C190" s="97" t="s">
        <v>903</v>
      </c>
      <c r="D190" s="98"/>
      <c r="E190" s="99"/>
      <c r="F190" s="100"/>
      <c r="G190" s="88"/>
      <c r="H190" s="88"/>
      <c r="I190" s="88"/>
      <c r="J190" s="88"/>
      <c r="K190" s="88"/>
      <c r="L190" s="88"/>
      <c r="M190" s="88"/>
      <c r="N190" s="88"/>
      <c r="O190" s="88"/>
      <c r="P190" s="88"/>
      <c r="Q190" s="88"/>
      <c r="R190" s="88"/>
      <c r="S190" s="88"/>
      <c r="T190" s="88"/>
    </row>
    <row r="191" spans="1:20" ht="261" x14ac:dyDescent="0.35">
      <c r="B191" s="101" t="s">
        <v>116</v>
      </c>
      <c r="C191" s="129" t="s">
        <v>549</v>
      </c>
      <c r="D191" s="102" t="s">
        <v>841</v>
      </c>
      <c r="E191" s="103" t="s">
        <v>842</v>
      </c>
      <c r="F191" s="104"/>
      <c r="G191" s="88"/>
      <c r="H191" s="88"/>
      <c r="I191" s="88"/>
      <c r="J191" s="88"/>
      <c r="K191" s="88"/>
      <c r="L191" s="88"/>
      <c r="M191" s="88"/>
      <c r="N191" s="88"/>
      <c r="O191" s="88"/>
      <c r="P191" s="88"/>
      <c r="Q191" s="88"/>
      <c r="R191" s="88"/>
      <c r="S191" s="88"/>
      <c r="T191" s="88"/>
    </row>
    <row r="192" spans="1:20" ht="409.5" x14ac:dyDescent="0.35">
      <c r="A192" s="87"/>
      <c r="B192" s="101" t="s">
        <v>843</v>
      </c>
      <c r="C192" s="129" t="s">
        <v>549</v>
      </c>
      <c r="D192" s="102" t="s">
        <v>886</v>
      </c>
      <c r="E192" s="103" t="s">
        <v>845</v>
      </c>
      <c r="F192" s="104" t="s">
        <v>846</v>
      </c>
      <c r="G192" s="83"/>
      <c r="H192" s="88"/>
      <c r="I192" s="88"/>
      <c r="J192" s="88"/>
      <c r="K192" s="88"/>
      <c r="L192" s="88"/>
      <c r="M192" s="88"/>
      <c r="N192" s="88"/>
      <c r="O192" s="88"/>
      <c r="P192" s="88"/>
      <c r="Q192" s="88"/>
      <c r="R192" s="88"/>
      <c r="S192" s="88"/>
      <c r="T192" s="83"/>
    </row>
    <row r="193" spans="1:20" ht="348" x14ac:dyDescent="0.35">
      <c r="A193" s="87"/>
      <c r="B193" s="101" t="s">
        <v>887</v>
      </c>
      <c r="C193" s="129" t="s">
        <v>549</v>
      </c>
      <c r="D193" s="102" t="s">
        <v>852</v>
      </c>
      <c r="E193" s="103" t="s">
        <v>849</v>
      </c>
      <c r="F193" s="104" t="s">
        <v>888</v>
      </c>
      <c r="G193" s="83"/>
      <c r="H193" s="88"/>
      <c r="I193" s="88"/>
      <c r="J193" s="88"/>
      <c r="K193" s="88"/>
      <c r="L193" s="88"/>
      <c r="M193" s="88"/>
      <c r="N193" s="88"/>
      <c r="O193" s="88"/>
      <c r="P193" s="88"/>
      <c r="Q193" s="88"/>
      <c r="R193" s="88"/>
      <c r="S193" s="88"/>
      <c r="T193" s="83"/>
    </row>
    <row r="194" spans="1:20" ht="275.5" x14ac:dyDescent="0.35">
      <c r="A194" s="87"/>
      <c r="B194" s="101" t="s">
        <v>851</v>
      </c>
      <c r="C194" s="129" t="s">
        <v>549</v>
      </c>
      <c r="D194" s="102" t="s">
        <v>852</v>
      </c>
      <c r="E194" s="103" t="s">
        <v>853</v>
      </c>
      <c r="F194" s="104" t="s">
        <v>854</v>
      </c>
      <c r="G194" s="83"/>
      <c r="H194" s="88"/>
      <c r="I194" s="88"/>
      <c r="J194" s="88"/>
      <c r="K194" s="88"/>
      <c r="L194" s="88"/>
      <c r="M194" s="88"/>
      <c r="N194" s="88"/>
      <c r="O194" s="88"/>
      <c r="P194" s="88"/>
      <c r="Q194" s="88"/>
      <c r="R194" s="88"/>
      <c r="S194" s="88"/>
      <c r="T194" s="83"/>
    </row>
    <row r="195" spans="1:20" ht="159.5" x14ac:dyDescent="0.35">
      <c r="A195" s="87"/>
      <c r="B195" s="101" t="s">
        <v>378</v>
      </c>
      <c r="C195" s="129" t="s">
        <v>549</v>
      </c>
      <c r="D195" s="102" t="s">
        <v>852</v>
      </c>
      <c r="E195" s="103" t="s">
        <v>889</v>
      </c>
      <c r="F195" s="104"/>
      <c r="G195" s="83"/>
      <c r="H195" s="130"/>
      <c r="I195" s="130"/>
      <c r="J195" s="130"/>
      <c r="K195" s="130"/>
      <c r="L195" s="130"/>
      <c r="M195" s="130"/>
      <c r="N195" s="130"/>
      <c r="O195" s="130"/>
      <c r="P195" s="130"/>
      <c r="Q195" s="130"/>
      <c r="R195" s="130"/>
      <c r="S195" s="130"/>
      <c r="T195" s="83"/>
    </row>
    <row r="196" spans="1:20" ht="275.5" x14ac:dyDescent="0.35">
      <c r="A196" s="87"/>
      <c r="B196" s="159" t="s">
        <v>126</v>
      </c>
      <c r="C196" s="129" t="s">
        <v>549</v>
      </c>
      <c r="D196" s="102" t="s">
        <v>856</v>
      </c>
      <c r="E196" s="103" t="s">
        <v>857</v>
      </c>
      <c r="F196" s="104" t="s">
        <v>858</v>
      </c>
      <c r="G196" s="83"/>
      <c r="H196" s="88"/>
      <c r="I196" s="88"/>
      <c r="J196" s="88"/>
      <c r="K196" s="88"/>
      <c r="L196" s="88"/>
      <c r="M196" s="88"/>
      <c r="N196" s="88"/>
      <c r="O196" s="88"/>
      <c r="P196" s="88"/>
      <c r="Q196" s="88"/>
      <c r="R196" s="88"/>
      <c r="S196" s="88"/>
      <c r="T196" s="83"/>
    </row>
    <row r="197" spans="1:20" ht="58" x14ac:dyDescent="0.35">
      <c r="A197" s="87"/>
      <c r="B197" s="159" t="s">
        <v>383</v>
      </c>
      <c r="C197" s="129" t="s">
        <v>549</v>
      </c>
      <c r="D197" s="102" t="s">
        <v>856</v>
      </c>
      <c r="E197" s="103" t="s">
        <v>859</v>
      </c>
      <c r="F197" s="104" t="s">
        <v>860</v>
      </c>
      <c r="G197" s="83"/>
      <c r="H197" s="88"/>
      <c r="I197" s="88"/>
      <c r="J197" s="88"/>
      <c r="K197" s="88"/>
      <c r="L197" s="88"/>
      <c r="M197" s="88"/>
      <c r="N197" s="88"/>
      <c r="O197" s="88"/>
      <c r="P197" s="88"/>
      <c r="Q197" s="88"/>
      <c r="R197" s="88"/>
      <c r="S197" s="88"/>
      <c r="T197" s="83"/>
    </row>
    <row r="198" spans="1:20" ht="130.5" x14ac:dyDescent="0.35">
      <c r="B198" s="159" t="s">
        <v>861</v>
      </c>
      <c r="C198" s="129" t="s">
        <v>549</v>
      </c>
      <c r="D198" s="102" t="s">
        <v>841</v>
      </c>
      <c r="E198" s="103" t="s">
        <v>862</v>
      </c>
      <c r="F198" s="104" t="s">
        <v>863</v>
      </c>
      <c r="G198" s="88"/>
      <c r="H198" s="88"/>
      <c r="I198" s="88"/>
      <c r="J198" s="88"/>
      <c r="K198" s="88"/>
      <c r="L198" s="88"/>
      <c r="M198" s="88"/>
      <c r="N198" s="88"/>
      <c r="O198" s="88"/>
      <c r="P198" s="88"/>
      <c r="Q198" s="88"/>
      <c r="R198" s="88"/>
      <c r="S198" s="88"/>
      <c r="T198" s="88"/>
    </row>
    <row r="199" spans="1:20" ht="406" x14ac:dyDescent="0.35">
      <c r="A199" s="87"/>
      <c r="B199" s="159" t="s">
        <v>864</v>
      </c>
      <c r="C199" s="129" t="s">
        <v>549</v>
      </c>
      <c r="D199" s="102" t="s">
        <v>865</v>
      </c>
      <c r="E199" s="103" t="s">
        <v>866</v>
      </c>
      <c r="F199" s="104" t="s">
        <v>867</v>
      </c>
      <c r="G199" s="83"/>
      <c r="H199" s="88"/>
      <c r="I199" s="88"/>
      <c r="J199" s="88"/>
      <c r="K199" s="88"/>
      <c r="L199" s="88"/>
      <c r="M199" s="88"/>
      <c r="N199" s="88"/>
      <c r="O199" s="88"/>
      <c r="P199" s="88"/>
      <c r="Q199" s="88"/>
      <c r="R199" s="88"/>
      <c r="S199" s="88"/>
      <c r="T199" s="83"/>
    </row>
    <row r="200" spans="1:20" ht="159.5" x14ac:dyDescent="0.35">
      <c r="A200" s="87"/>
      <c r="B200" s="159" t="s">
        <v>381</v>
      </c>
      <c r="C200" s="129" t="s">
        <v>549</v>
      </c>
      <c r="D200" s="102" t="s">
        <v>865</v>
      </c>
      <c r="E200" s="103" t="s">
        <v>868</v>
      </c>
      <c r="F200" s="104" t="s">
        <v>860</v>
      </c>
      <c r="G200" s="83"/>
      <c r="H200" s="88"/>
      <c r="I200" s="88"/>
      <c r="J200" s="88"/>
      <c r="K200" s="88"/>
      <c r="L200" s="88"/>
      <c r="M200" s="88"/>
      <c r="N200" s="88"/>
      <c r="O200" s="88"/>
      <c r="P200" s="88"/>
      <c r="Q200" s="88"/>
      <c r="R200" s="88"/>
      <c r="S200" s="88"/>
      <c r="T200" s="83"/>
    </row>
    <row r="201" spans="1:20" ht="101.5" x14ac:dyDescent="0.35">
      <c r="B201" s="101" t="s">
        <v>869</v>
      </c>
      <c r="C201" s="129" t="s">
        <v>549</v>
      </c>
      <c r="D201" s="102" t="s">
        <v>870</v>
      </c>
      <c r="E201" s="103" t="s">
        <v>871</v>
      </c>
      <c r="F201" s="104" t="s">
        <v>872</v>
      </c>
      <c r="G201" s="88"/>
      <c r="H201" s="88"/>
      <c r="I201" s="88"/>
      <c r="J201" s="88"/>
      <c r="K201" s="88"/>
      <c r="L201" s="88"/>
      <c r="M201" s="88"/>
      <c r="N201" s="88"/>
      <c r="O201" s="88"/>
      <c r="P201" s="88"/>
      <c r="Q201" s="88"/>
      <c r="R201" s="88"/>
      <c r="S201" s="88"/>
      <c r="T201" s="88"/>
    </row>
    <row r="202" spans="1:20" ht="188.5" x14ac:dyDescent="0.35">
      <c r="B202" s="101" t="s">
        <v>873</v>
      </c>
      <c r="C202" s="129" t="s">
        <v>549</v>
      </c>
      <c r="D202" s="102" t="s">
        <v>870</v>
      </c>
      <c r="E202" s="103" t="s">
        <v>874</v>
      </c>
      <c r="F202" s="104" t="s">
        <v>872</v>
      </c>
      <c r="G202" s="88"/>
      <c r="H202" s="88"/>
      <c r="I202" s="88"/>
      <c r="J202" s="88"/>
      <c r="K202" s="88"/>
      <c r="L202" s="88"/>
      <c r="M202" s="88"/>
      <c r="N202" s="88"/>
      <c r="O202" s="88"/>
      <c r="P202" s="88"/>
      <c r="Q202" s="88"/>
      <c r="R202" s="88"/>
      <c r="S202" s="88"/>
      <c r="T202" s="88"/>
    </row>
    <row r="203" spans="1:20" ht="116" x14ac:dyDescent="0.35">
      <c r="B203" s="101" t="s">
        <v>875</v>
      </c>
      <c r="C203" s="129" t="s">
        <v>549</v>
      </c>
      <c r="D203" s="102" t="s">
        <v>870</v>
      </c>
      <c r="E203" s="103" t="s">
        <v>876</v>
      </c>
      <c r="F203" s="104" t="s">
        <v>872</v>
      </c>
      <c r="G203" s="88"/>
      <c r="H203" s="88"/>
      <c r="I203" s="88"/>
      <c r="J203" s="88"/>
      <c r="K203" s="88"/>
      <c r="L203" s="88"/>
      <c r="M203" s="88"/>
      <c r="N203" s="88"/>
      <c r="O203" s="88"/>
      <c r="P203" s="88"/>
      <c r="Q203" s="88"/>
      <c r="R203" s="88"/>
      <c r="S203" s="88"/>
      <c r="T203" s="88"/>
    </row>
    <row r="204" spans="1:20" ht="145" x14ac:dyDescent="0.35">
      <c r="B204" s="101" t="s">
        <v>877</v>
      </c>
      <c r="C204" s="129" t="s">
        <v>549</v>
      </c>
      <c r="D204" s="102" t="s">
        <v>870</v>
      </c>
      <c r="E204" s="103" t="s">
        <v>878</v>
      </c>
      <c r="F204" s="104" t="s">
        <v>872</v>
      </c>
      <c r="G204" s="88"/>
      <c r="H204" s="88"/>
      <c r="I204" s="88"/>
      <c r="J204" s="88"/>
      <c r="K204" s="88"/>
      <c r="L204" s="88"/>
      <c r="M204" s="88"/>
      <c r="N204" s="88"/>
      <c r="O204" s="88"/>
      <c r="P204" s="88"/>
      <c r="Q204" s="88"/>
      <c r="R204" s="88"/>
      <c r="S204" s="88"/>
      <c r="T204" s="88"/>
    </row>
    <row r="205" spans="1:20" ht="409.5" x14ac:dyDescent="0.35">
      <c r="B205" s="101" t="s">
        <v>879</v>
      </c>
      <c r="C205" s="129" t="s">
        <v>549</v>
      </c>
      <c r="D205" s="102" t="s">
        <v>841</v>
      </c>
      <c r="E205" s="103" t="s">
        <v>880</v>
      </c>
      <c r="F205" s="104"/>
      <c r="G205" s="88"/>
      <c r="H205" s="88"/>
      <c r="I205" s="88"/>
      <c r="J205" s="88"/>
      <c r="K205" s="88"/>
      <c r="L205" s="88"/>
      <c r="M205" s="88"/>
      <c r="N205" s="88"/>
      <c r="O205" s="88"/>
      <c r="P205" s="88"/>
      <c r="Q205" s="88"/>
      <c r="R205" s="88"/>
      <c r="S205" s="88"/>
      <c r="T205" s="88"/>
    </row>
    <row r="206" spans="1:20" ht="174" x14ac:dyDescent="0.35">
      <c r="B206" s="101" t="s">
        <v>881</v>
      </c>
      <c r="C206" s="129" t="s">
        <v>549</v>
      </c>
      <c r="D206" s="102" t="s">
        <v>841</v>
      </c>
      <c r="E206" s="103" t="s">
        <v>882</v>
      </c>
      <c r="F206" s="104"/>
      <c r="G206" s="88"/>
      <c r="H206" s="88"/>
      <c r="I206" s="88"/>
      <c r="J206" s="88"/>
      <c r="K206" s="88"/>
      <c r="L206" s="88"/>
      <c r="M206" s="88"/>
      <c r="N206" s="88"/>
      <c r="O206" s="88"/>
      <c r="P206" s="88"/>
      <c r="Q206" s="88"/>
      <c r="R206" s="88"/>
      <c r="S206" s="88"/>
      <c r="T206" s="88"/>
    </row>
    <row r="207" spans="1:20" ht="43.5" x14ac:dyDescent="0.35">
      <c r="B207" s="101" t="s">
        <v>883</v>
      </c>
      <c r="C207" s="129" t="s">
        <v>549</v>
      </c>
      <c r="D207" s="102" t="s">
        <v>841</v>
      </c>
      <c r="E207" s="103" t="s">
        <v>884</v>
      </c>
      <c r="F207" s="104"/>
      <c r="G207" s="88"/>
      <c r="H207" s="88"/>
      <c r="I207" s="88"/>
      <c r="J207" s="88"/>
      <c r="K207" s="88"/>
      <c r="L207" s="88"/>
      <c r="M207" s="88"/>
      <c r="N207" s="88"/>
      <c r="O207" s="88"/>
      <c r="P207" s="88"/>
      <c r="Q207" s="88"/>
      <c r="R207" s="88"/>
      <c r="S207" s="88"/>
      <c r="T207" s="88"/>
    </row>
    <row r="208" spans="1:20" ht="29" x14ac:dyDescent="0.35">
      <c r="B208" s="166" t="s">
        <v>632</v>
      </c>
      <c r="C208" s="97" t="s">
        <v>904</v>
      </c>
      <c r="D208" s="98"/>
      <c r="E208" s="99"/>
      <c r="F208" s="100"/>
      <c r="G208" s="88"/>
      <c r="H208" s="88"/>
      <c r="I208" s="88"/>
      <c r="J208" s="88"/>
      <c r="K208" s="88"/>
      <c r="L208" s="88"/>
      <c r="M208" s="88"/>
      <c r="N208" s="88"/>
      <c r="O208" s="88"/>
      <c r="P208" s="88"/>
      <c r="Q208" s="88"/>
      <c r="R208" s="88"/>
      <c r="S208" s="88"/>
      <c r="T208" s="88"/>
    </row>
    <row r="209" spans="1:20" ht="261" x14ac:dyDescent="0.35">
      <c r="B209" s="101" t="s">
        <v>116</v>
      </c>
      <c r="C209" s="129" t="s">
        <v>549</v>
      </c>
      <c r="D209" s="102" t="s">
        <v>841</v>
      </c>
      <c r="E209" s="103" t="s">
        <v>842</v>
      </c>
      <c r="F209" s="104"/>
      <c r="G209" s="88"/>
      <c r="H209" s="88"/>
      <c r="I209" s="88"/>
      <c r="J209" s="88"/>
      <c r="K209" s="88"/>
      <c r="L209" s="88"/>
      <c r="M209" s="88"/>
      <c r="N209" s="88"/>
      <c r="O209" s="88"/>
      <c r="P209" s="88"/>
      <c r="Q209" s="88"/>
      <c r="R209" s="88"/>
      <c r="S209" s="88"/>
      <c r="T209" s="88"/>
    </row>
    <row r="210" spans="1:20" ht="409.5" x14ac:dyDescent="0.35">
      <c r="A210" s="87"/>
      <c r="B210" s="101" t="s">
        <v>843</v>
      </c>
      <c r="C210" s="129" t="s">
        <v>549</v>
      </c>
      <c r="D210" s="102" t="s">
        <v>886</v>
      </c>
      <c r="E210" s="103" t="s">
        <v>845</v>
      </c>
      <c r="F210" s="104" t="s">
        <v>846</v>
      </c>
      <c r="G210" s="83"/>
      <c r="H210" s="88"/>
      <c r="I210" s="88"/>
      <c r="J210" s="88"/>
      <c r="K210" s="88"/>
      <c r="L210" s="88"/>
      <c r="M210" s="88"/>
      <c r="N210" s="88"/>
      <c r="O210" s="88"/>
      <c r="P210" s="88"/>
      <c r="Q210" s="88"/>
      <c r="R210" s="88"/>
      <c r="S210" s="88"/>
      <c r="T210" s="83"/>
    </row>
    <row r="211" spans="1:20" ht="348" x14ac:dyDescent="0.35">
      <c r="A211" s="87"/>
      <c r="B211" s="101" t="s">
        <v>905</v>
      </c>
      <c r="C211" s="129" t="s">
        <v>549</v>
      </c>
      <c r="D211" s="102" t="s">
        <v>852</v>
      </c>
      <c r="E211" s="103" t="s">
        <v>849</v>
      </c>
      <c r="F211" s="104" t="s">
        <v>888</v>
      </c>
      <c r="G211" s="83"/>
      <c r="H211" s="88"/>
      <c r="I211" s="88"/>
      <c r="J211" s="88"/>
      <c r="K211" s="88"/>
      <c r="L211" s="88"/>
      <c r="M211" s="88"/>
      <c r="N211" s="88"/>
      <c r="O211" s="88"/>
      <c r="P211" s="88"/>
      <c r="Q211" s="88"/>
      <c r="R211" s="88"/>
      <c r="S211" s="88"/>
      <c r="T211" s="83"/>
    </row>
    <row r="212" spans="1:20" ht="275.5" x14ac:dyDescent="0.35">
      <c r="A212" s="87"/>
      <c r="B212" s="101" t="s">
        <v>851</v>
      </c>
      <c r="C212" s="129" t="s">
        <v>549</v>
      </c>
      <c r="D212" s="102" t="s">
        <v>852</v>
      </c>
      <c r="E212" s="103" t="s">
        <v>853</v>
      </c>
      <c r="F212" s="104" t="s">
        <v>854</v>
      </c>
      <c r="G212" s="83"/>
      <c r="H212" s="88"/>
      <c r="I212" s="88"/>
      <c r="J212" s="88"/>
      <c r="K212" s="88"/>
      <c r="L212" s="88"/>
      <c r="M212" s="88"/>
      <c r="N212" s="88"/>
      <c r="O212" s="88"/>
      <c r="P212" s="88"/>
      <c r="Q212" s="88"/>
      <c r="R212" s="88"/>
      <c r="S212" s="88"/>
      <c r="T212" s="83"/>
    </row>
    <row r="213" spans="1:20" ht="159.5" x14ac:dyDescent="0.35">
      <c r="A213" s="87"/>
      <c r="B213" s="101" t="s">
        <v>378</v>
      </c>
      <c r="C213" s="129" t="s">
        <v>549</v>
      </c>
      <c r="D213" s="102" t="s">
        <v>852</v>
      </c>
      <c r="E213" s="103" t="s">
        <v>889</v>
      </c>
      <c r="F213" s="104"/>
      <c r="G213" s="83"/>
      <c r="H213" s="130"/>
      <c r="I213" s="130"/>
      <c r="J213" s="130"/>
      <c r="K213" s="130"/>
      <c r="L213" s="130"/>
      <c r="M213" s="130"/>
      <c r="N213" s="130"/>
      <c r="O213" s="130"/>
      <c r="P213" s="130"/>
      <c r="Q213" s="130"/>
      <c r="R213" s="130"/>
      <c r="S213" s="130"/>
      <c r="T213" s="83"/>
    </row>
    <row r="214" spans="1:20" ht="275.5" x14ac:dyDescent="0.35">
      <c r="A214" s="87"/>
      <c r="B214" s="159" t="s">
        <v>126</v>
      </c>
      <c r="C214" s="129" t="s">
        <v>549</v>
      </c>
      <c r="D214" s="102" t="s">
        <v>856</v>
      </c>
      <c r="E214" s="103" t="s">
        <v>857</v>
      </c>
      <c r="F214" s="104" t="s">
        <v>858</v>
      </c>
      <c r="G214" s="83"/>
      <c r="H214" s="88"/>
      <c r="I214" s="88"/>
      <c r="J214" s="88"/>
      <c r="K214" s="88"/>
      <c r="L214" s="88"/>
      <c r="M214" s="88"/>
      <c r="N214" s="88"/>
      <c r="O214" s="88"/>
      <c r="P214" s="88"/>
      <c r="Q214" s="88"/>
      <c r="R214" s="88"/>
      <c r="S214" s="88"/>
      <c r="T214" s="83"/>
    </row>
    <row r="215" spans="1:20" ht="58" x14ac:dyDescent="0.35">
      <c r="A215" s="87"/>
      <c r="B215" s="159" t="s">
        <v>383</v>
      </c>
      <c r="C215" s="129" t="s">
        <v>549</v>
      </c>
      <c r="D215" s="102" t="s">
        <v>856</v>
      </c>
      <c r="E215" s="103" t="s">
        <v>859</v>
      </c>
      <c r="F215" s="104" t="s">
        <v>860</v>
      </c>
      <c r="G215" s="83"/>
      <c r="H215" s="88"/>
      <c r="I215" s="88"/>
      <c r="J215" s="88"/>
      <c r="K215" s="88"/>
      <c r="L215" s="88"/>
      <c r="M215" s="88"/>
      <c r="N215" s="88"/>
      <c r="O215" s="88"/>
      <c r="P215" s="88"/>
      <c r="Q215" s="88"/>
      <c r="R215" s="88"/>
      <c r="S215" s="88"/>
      <c r="T215" s="83"/>
    </row>
    <row r="216" spans="1:20" ht="130.5" x14ac:dyDescent="0.35">
      <c r="B216" s="159" t="s">
        <v>861</v>
      </c>
      <c r="C216" s="129" t="s">
        <v>549</v>
      </c>
      <c r="D216" s="102" t="s">
        <v>841</v>
      </c>
      <c r="E216" s="103" t="s">
        <v>862</v>
      </c>
      <c r="F216" s="104" t="s">
        <v>863</v>
      </c>
      <c r="G216" s="88"/>
      <c r="H216" s="88"/>
      <c r="I216" s="88"/>
      <c r="J216" s="88"/>
      <c r="K216" s="88"/>
      <c r="L216" s="88"/>
      <c r="M216" s="88"/>
      <c r="N216" s="88"/>
      <c r="O216" s="88"/>
      <c r="P216" s="88"/>
      <c r="Q216" s="88"/>
      <c r="R216" s="88"/>
      <c r="S216" s="88"/>
      <c r="T216" s="88"/>
    </row>
    <row r="217" spans="1:20" ht="406" x14ac:dyDescent="0.35">
      <c r="A217" s="87"/>
      <c r="B217" s="159" t="s">
        <v>864</v>
      </c>
      <c r="C217" s="129" t="s">
        <v>549</v>
      </c>
      <c r="D217" s="102" t="s">
        <v>865</v>
      </c>
      <c r="E217" s="103" t="s">
        <v>866</v>
      </c>
      <c r="F217" s="104" t="s">
        <v>867</v>
      </c>
      <c r="G217" s="83"/>
      <c r="H217" s="88"/>
      <c r="I217" s="88"/>
      <c r="J217" s="88"/>
      <c r="K217" s="88"/>
      <c r="L217" s="88"/>
      <c r="M217" s="88"/>
      <c r="N217" s="88"/>
      <c r="O217" s="88"/>
      <c r="P217" s="88"/>
      <c r="Q217" s="88"/>
      <c r="R217" s="88"/>
      <c r="S217" s="88"/>
      <c r="T217" s="83"/>
    </row>
    <row r="218" spans="1:20" ht="159.5" x14ac:dyDescent="0.35">
      <c r="A218" s="87"/>
      <c r="B218" s="159" t="s">
        <v>381</v>
      </c>
      <c r="C218" s="129" t="s">
        <v>549</v>
      </c>
      <c r="D218" s="102" t="s">
        <v>865</v>
      </c>
      <c r="E218" s="103" t="s">
        <v>868</v>
      </c>
      <c r="F218" s="104" t="s">
        <v>860</v>
      </c>
      <c r="G218" s="83"/>
      <c r="H218" s="88"/>
      <c r="I218" s="88"/>
      <c r="J218" s="88"/>
      <c r="K218" s="88"/>
      <c r="L218" s="88"/>
      <c r="M218" s="88"/>
      <c r="N218" s="88"/>
      <c r="O218" s="88"/>
      <c r="P218" s="88"/>
      <c r="Q218" s="88"/>
      <c r="R218" s="88"/>
      <c r="S218" s="88"/>
      <c r="T218" s="83"/>
    </row>
    <row r="219" spans="1:20" ht="101.5" x14ac:dyDescent="0.35">
      <c r="B219" s="101" t="s">
        <v>869</v>
      </c>
      <c r="C219" s="129" t="s">
        <v>549</v>
      </c>
      <c r="D219" s="102" t="s">
        <v>870</v>
      </c>
      <c r="E219" s="103" t="s">
        <v>871</v>
      </c>
      <c r="F219" s="104" t="s">
        <v>872</v>
      </c>
      <c r="G219" s="88"/>
      <c r="H219" s="88"/>
      <c r="I219" s="88"/>
      <c r="J219" s="88"/>
      <c r="K219" s="88"/>
      <c r="L219" s="88"/>
      <c r="M219" s="88"/>
      <c r="N219" s="88"/>
      <c r="O219" s="88"/>
      <c r="P219" s="88"/>
      <c r="Q219" s="88"/>
      <c r="R219" s="88"/>
      <c r="S219" s="88"/>
      <c r="T219" s="88"/>
    </row>
    <row r="220" spans="1:20" ht="188.5" x14ac:dyDescent="0.35">
      <c r="B220" s="101" t="s">
        <v>873</v>
      </c>
      <c r="C220" s="129" t="s">
        <v>549</v>
      </c>
      <c r="D220" s="102" t="s">
        <v>870</v>
      </c>
      <c r="E220" s="103" t="s">
        <v>874</v>
      </c>
      <c r="F220" s="104" t="s">
        <v>872</v>
      </c>
      <c r="G220" s="88"/>
      <c r="H220" s="88"/>
      <c r="I220" s="88"/>
      <c r="J220" s="88"/>
      <c r="K220" s="88"/>
      <c r="L220" s="88"/>
      <c r="M220" s="88"/>
      <c r="N220" s="88"/>
      <c r="O220" s="88"/>
      <c r="P220" s="88"/>
      <c r="Q220" s="88"/>
      <c r="R220" s="88"/>
      <c r="S220" s="88"/>
      <c r="T220" s="88"/>
    </row>
    <row r="221" spans="1:20" ht="116" x14ac:dyDescent="0.35">
      <c r="B221" s="101" t="s">
        <v>875</v>
      </c>
      <c r="C221" s="129" t="s">
        <v>549</v>
      </c>
      <c r="D221" s="102" t="s">
        <v>870</v>
      </c>
      <c r="E221" s="103" t="s">
        <v>876</v>
      </c>
      <c r="F221" s="104" t="s">
        <v>872</v>
      </c>
      <c r="G221" s="88"/>
      <c r="H221" s="88"/>
      <c r="I221" s="88"/>
      <c r="J221" s="88"/>
      <c r="K221" s="88"/>
      <c r="L221" s="88"/>
      <c r="M221" s="88"/>
      <c r="N221" s="88"/>
      <c r="O221" s="88"/>
      <c r="P221" s="88"/>
      <c r="Q221" s="88"/>
      <c r="R221" s="88"/>
      <c r="S221" s="88"/>
      <c r="T221" s="88"/>
    </row>
    <row r="222" spans="1:20" ht="145" x14ac:dyDescent="0.35">
      <c r="B222" s="101" t="s">
        <v>877</v>
      </c>
      <c r="C222" s="129" t="s">
        <v>549</v>
      </c>
      <c r="D222" s="102" t="s">
        <v>870</v>
      </c>
      <c r="E222" s="103" t="s">
        <v>878</v>
      </c>
      <c r="F222" s="104" t="s">
        <v>872</v>
      </c>
      <c r="G222" s="88"/>
      <c r="H222" s="88"/>
      <c r="I222" s="88"/>
      <c r="J222" s="88"/>
      <c r="K222" s="88"/>
      <c r="L222" s="88"/>
      <c r="M222" s="88"/>
      <c r="N222" s="88"/>
      <c r="O222" s="88"/>
      <c r="P222" s="88"/>
      <c r="Q222" s="88"/>
      <c r="R222" s="88"/>
      <c r="S222" s="88"/>
      <c r="T222" s="88"/>
    </row>
    <row r="223" spans="1:20" ht="409.5" x14ac:dyDescent="0.35">
      <c r="B223" s="101" t="s">
        <v>879</v>
      </c>
      <c r="C223" s="129" t="s">
        <v>549</v>
      </c>
      <c r="D223" s="102" t="s">
        <v>841</v>
      </c>
      <c r="E223" s="103" t="s">
        <v>880</v>
      </c>
      <c r="F223" s="104"/>
      <c r="G223" s="88"/>
      <c r="H223" s="88"/>
      <c r="I223" s="88"/>
      <c r="J223" s="88"/>
      <c r="K223" s="88"/>
      <c r="L223" s="88"/>
      <c r="M223" s="88"/>
      <c r="N223" s="88"/>
      <c r="O223" s="88"/>
      <c r="P223" s="88"/>
      <c r="Q223" s="88"/>
      <c r="R223" s="88"/>
      <c r="S223" s="88"/>
      <c r="T223" s="88"/>
    </row>
    <row r="224" spans="1:20" ht="174" x14ac:dyDescent="0.35">
      <c r="B224" s="101" t="s">
        <v>881</v>
      </c>
      <c r="C224" s="129" t="s">
        <v>549</v>
      </c>
      <c r="D224" s="102" t="s">
        <v>841</v>
      </c>
      <c r="E224" s="103" t="s">
        <v>882</v>
      </c>
      <c r="F224" s="104"/>
      <c r="G224" s="88"/>
      <c r="H224" s="88"/>
      <c r="I224" s="88"/>
      <c r="J224" s="88"/>
      <c r="K224" s="88"/>
      <c r="L224" s="88"/>
      <c r="M224" s="88"/>
      <c r="N224" s="88"/>
      <c r="O224" s="88"/>
      <c r="P224" s="88"/>
      <c r="Q224" s="88"/>
      <c r="R224" s="88"/>
      <c r="S224" s="88"/>
      <c r="T224" s="88"/>
    </row>
    <row r="225" spans="1:20" ht="43.5" x14ac:dyDescent="0.35">
      <c r="B225" s="101" t="s">
        <v>883</v>
      </c>
      <c r="C225" s="129" t="s">
        <v>549</v>
      </c>
      <c r="D225" s="102" t="s">
        <v>841</v>
      </c>
      <c r="E225" s="103" t="s">
        <v>884</v>
      </c>
      <c r="F225" s="104"/>
      <c r="G225" s="88"/>
      <c r="H225" s="88"/>
      <c r="I225" s="88"/>
      <c r="J225" s="88"/>
      <c r="K225" s="88"/>
      <c r="L225" s="88"/>
      <c r="M225" s="88"/>
      <c r="N225" s="88"/>
      <c r="O225" s="88"/>
      <c r="P225" s="88"/>
      <c r="Q225" s="88"/>
      <c r="R225" s="88"/>
      <c r="S225" s="88"/>
      <c r="T225" s="88"/>
    </row>
    <row r="226" spans="1:20" ht="29" x14ac:dyDescent="0.35">
      <c r="B226" s="166" t="s">
        <v>906</v>
      </c>
      <c r="C226" s="97" t="s">
        <v>907</v>
      </c>
      <c r="D226" s="98"/>
      <c r="E226" s="99"/>
      <c r="F226" s="100"/>
      <c r="G226" s="88"/>
      <c r="H226" s="88"/>
      <c r="I226" s="88"/>
      <c r="J226" s="88"/>
      <c r="K226" s="88"/>
      <c r="L226" s="88"/>
      <c r="M226" s="88"/>
      <c r="N226" s="88"/>
      <c r="O226" s="88"/>
      <c r="P226" s="88"/>
      <c r="Q226" s="88"/>
      <c r="R226" s="88"/>
      <c r="S226" s="88"/>
      <c r="T226" s="88"/>
    </row>
    <row r="227" spans="1:20" ht="261" x14ac:dyDescent="0.35">
      <c r="B227" s="101" t="s">
        <v>116</v>
      </c>
      <c r="C227" s="129" t="s">
        <v>549</v>
      </c>
      <c r="D227" s="102" t="s">
        <v>841</v>
      </c>
      <c r="E227" s="103" t="s">
        <v>842</v>
      </c>
      <c r="F227" s="104"/>
      <c r="G227" s="88"/>
      <c r="H227" s="88"/>
      <c r="I227" s="88"/>
      <c r="J227" s="88"/>
      <c r="K227" s="88"/>
      <c r="L227" s="88"/>
      <c r="M227" s="88"/>
      <c r="N227" s="88"/>
      <c r="O227" s="88"/>
      <c r="P227" s="88"/>
      <c r="Q227" s="88"/>
      <c r="R227" s="88"/>
      <c r="S227" s="88"/>
      <c r="T227" s="88"/>
    </row>
    <row r="228" spans="1:20" ht="409.5" x14ac:dyDescent="0.35">
      <c r="A228" s="87"/>
      <c r="B228" s="101" t="s">
        <v>843</v>
      </c>
      <c r="C228" s="129" t="s">
        <v>549</v>
      </c>
      <c r="D228" s="102" t="s">
        <v>886</v>
      </c>
      <c r="E228" s="103" t="s">
        <v>845</v>
      </c>
      <c r="F228" s="104" t="s">
        <v>846</v>
      </c>
      <c r="G228" s="83"/>
      <c r="H228" s="88"/>
      <c r="I228" s="88"/>
      <c r="J228" s="88"/>
      <c r="K228" s="88"/>
      <c r="L228" s="88"/>
      <c r="M228" s="88"/>
      <c r="N228" s="88"/>
      <c r="O228" s="88"/>
      <c r="P228" s="88"/>
      <c r="Q228" s="88"/>
      <c r="R228" s="88"/>
      <c r="S228" s="88"/>
      <c r="T228" s="83"/>
    </row>
    <row r="229" spans="1:20" ht="348" x14ac:dyDescent="0.35">
      <c r="A229" s="87"/>
      <c r="B229" s="101" t="s">
        <v>887</v>
      </c>
      <c r="C229" s="129" t="s">
        <v>549</v>
      </c>
      <c r="D229" s="102" t="s">
        <v>852</v>
      </c>
      <c r="E229" s="103" t="s">
        <v>849</v>
      </c>
      <c r="F229" s="104" t="s">
        <v>888</v>
      </c>
      <c r="G229" s="83"/>
      <c r="H229" s="88"/>
      <c r="I229" s="88"/>
      <c r="J229" s="88"/>
      <c r="K229" s="88"/>
      <c r="L229" s="88"/>
      <c r="M229" s="88"/>
      <c r="N229" s="88"/>
      <c r="O229" s="88"/>
      <c r="P229" s="88"/>
      <c r="Q229" s="88"/>
      <c r="R229" s="88"/>
      <c r="S229" s="88"/>
      <c r="T229" s="83"/>
    </row>
    <row r="230" spans="1:20" ht="246.5" x14ac:dyDescent="0.35">
      <c r="A230" s="87"/>
      <c r="B230" s="101" t="s">
        <v>851</v>
      </c>
      <c r="C230" s="129" t="s">
        <v>549</v>
      </c>
      <c r="D230" s="102" t="s">
        <v>852</v>
      </c>
      <c r="E230" s="103" t="s">
        <v>896</v>
      </c>
      <c r="F230" s="104" t="s">
        <v>854</v>
      </c>
      <c r="G230" s="83"/>
      <c r="H230" s="88"/>
      <c r="I230" s="88"/>
      <c r="J230" s="88"/>
      <c r="K230" s="88"/>
      <c r="L230" s="88"/>
      <c r="M230" s="88"/>
      <c r="N230" s="88"/>
      <c r="O230" s="88"/>
      <c r="P230" s="88"/>
      <c r="Q230" s="88"/>
      <c r="R230" s="88"/>
      <c r="S230" s="88"/>
      <c r="T230" s="83"/>
    </row>
    <row r="231" spans="1:20" ht="159.5" x14ac:dyDescent="0.35">
      <c r="A231" s="87"/>
      <c r="B231" s="101" t="s">
        <v>378</v>
      </c>
      <c r="C231" s="129" t="s">
        <v>549</v>
      </c>
      <c r="D231" s="102" t="s">
        <v>852</v>
      </c>
      <c r="E231" s="103" t="s">
        <v>889</v>
      </c>
      <c r="F231" s="104"/>
      <c r="G231" s="83"/>
      <c r="H231" s="130"/>
      <c r="I231" s="130"/>
      <c r="J231" s="130"/>
      <c r="K231" s="130"/>
      <c r="L231" s="130"/>
      <c r="M231" s="130"/>
      <c r="N231" s="130"/>
      <c r="O231" s="130"/>
      <c r="P231" s="130"/>
      <c r="Q231" s="130"/>
      <c r="R231" s="130"/>
      <c r="S231" s="130"/>
      <c r="T231" s="83"/>
    </row>
    <row r="232" spans="1:20" ht="275.5" x14ac:dyDescent="0.35">
      <c r="A232" s="87"/>
      <c r="B232" s="159" t="s">
        <v>126</v>
      </c>
      <c r="C232" s="129" t="s">
        <v>549</v>
      </c>
      <c r="D232" s="102" t="s">
        <v>856</v>
      </c>
      <c r="E232" s="103" t="s">
        <v>857</v>
      </c>
      <c r="F232" s="104" t="s">
        <v>858</v>
      </c>
      <c r="G232" s="83"/>
      <c r="H232" s="88"/>
      <c r="I232" s="88"/>
      <c r="J232" s="88"/>
      <c r="K232" s="88"/>
      <c r="L232" s="88"/>
      <c r="M232" s="88"/>
      <c r="N232" s="88"/>
      <c r="O232" s="88"/>
      <c r="P232" s="88"/>
      <c r="Q232" s="88"/>
      <c r="R232" s="88"/>
      <c r="S232" s="88"/>
      <c r="T232" s="83"/>
    </row>
    <row r="233" spans="1:20" ht="58" x14ac:dyDescent="0.35">
      <c r="A233" s="87"/>
      <c r="B233" s="159" t="s">
        <v>383</v>
      </c>
      <c r="C233" s="129" t="s">
        <v>549</v>
      </c>
      <c r="D233" s="102" t="s">
        <v>856</v>
      </c>
      <c r="E233" s="103" t="s">
        <v>859</v>
      </c>
      <c r="F233" s="104" t="s">
        <v>860</v>
      </c>
      <c r="G233" s="83"/>
      <c r="H233" s="88"/>
      <c r="I233" s="88"/>
      <c r="J233" s="88"/>
      <c r="K233" s="88"/>
      <c r="L233" s="88"/>
      <c r="M233" s="88"/>
      <c r="N233" s="88"/>
      <c r="O233" s="88"/>
      <c r="P233" s="88"/>
      <c r="Q233" s="88"/>
      <c r="R233" s="88"/>
      <c r="S233" s="88"/>
      <c r="T233" s="83"/>
    </row>
    <row r="234" spans="1:20" ht="130.5" x14ac:dyDescent="0.35">
      <c r="B234" s="159" t="s">
        <v>861</v>
      </c>
      <c r="C234" s="129" t="s">
        <v>549</v>
      </c>
      <c r="D234" s="102" t="s">
        <v>841</v>
      </c>
      <c r="E234" s="103" t="s">
        <v>862</v>
      </c>
      <c r="F234" s="104" t="s">
        <v>863</v>
      </c>
      <c r="G234" s="88"/>
      <c r="H234" s="88"/>
      <c r="I234" s="88"/>
      <c r="J234" s="88"/>
      <c r="K234" s="88"/>
      <c r="L234" s="88"/>
      <c r="M234" s="88"/>
      <c r="N234" s="88"/>
      <c r="O234" s="88"/>
      <c r="P234" s="88"/>
      <c r="Q234" s="88"/>
      <c r="R234" s="88"/>
      <c r="S234" s="88"/>
      <c r="T234" s="88"/>
    </row>
    <row r="235" spans="1:20" ht="406" x14ac:dyDescent="0.35">
      <c r="A235" s="87"/>
      <c r="B235" s="159" t="s">
        <v>864</v>
      </c>
      <c r="C235" s="129" t="s">
        <v>549</v>
      </c>
      <c r="D235" s="102" t="s">
        <v>865</v>
      </c>
      <c r="E235" s="103" t="s">
        <v>866</v>
      </c>
      <c r="F235" s="104" t="s">
        <v>867</v>
      </c>
      <c r="G235" s="83"/>
      <c r="H235" s="88"/>
      <c r="I235" s="88"/>
      <c r="J235" s="88"/>
      <c r="K235" s="88"/>
      <c r="L235" s="88"/>
      <c r="M235" s="88"/>
      <c r="N235" s="88"/>
      <c r="O235" s="88"/>
      <c r="P235" s="88"/>
      <c r="Q235" s="88"/>
      <c r="R235" s="88"/>
      <c r="S235" s="88"/>
      <c r="T235" s="83"/>
    </row>
    <row r="236" spans="1:20" ht="159.5" x14ac:dyDescent="0.35">
      <c r="A236" s="87"/>
      <c r="B236" s="159" t="s">
        <v>381</v>
      </c>
      <c r="C236" s="129" t="s">
        <v>549</v>
      </c>
      <c r="D236" s="102" t="s">
        <v>865</v>
      </c>
      <c r="E236" s="103" t="s">
        <v>868</v>
      </c>
      <c r="F236" s="104" t="s">
        <v>860</v>
      </c>
      <c r="G236" s="83"/>
      <c r="H236" s="88"/>
      <c r="I236" s="88"/>
      <c r="J236" s="88"/>
      <c r="K236" s="88"/>
      <c r="L236" s="88"/>
      <c r="M236" s="88"/>
      <c r="N236" s="88"/>
      <c r="O236" s="88"/>
      <c r="P236" s="88"/>
      <c r="Q236" s="88"/>
      <c r="R236" s="88"/>
      <c r="S236" s="88"/>
      <c r="T236" s="83"/>
    </row>
    <row r="237" spans="1:20" ht="101.5" x14ac:dyDescent="0.35">
      <c r="B237" s="101" t="s">
        <v>869</v>
      </c>
      <c r="C237" s="129" t="s">
        <v>549</v>
      </c>
      <c r="D237" s="102" t="s">
        <v>870</v>
      </c>
      <c r="E237" s="103" t="s">
        <v>871</v>
      </c>
      <c r="F237" s="104" t="s">
        <v>872</v>
      </c>
      <c r="G237" s="88"/>
      <c r="H237" s="88"/>
      <c r="I237" s="88"/>
      <c r="J237" s="88"/>
      <c r="K237" s="88"/>
      <c r="L237" s="88"/>
      <c r="M237" s="88"/>
      <c r="N237" s="88"/>
      <c r="O237" s="88"/>
      <c r="P237" s="88"/>
      <c r="Q237" s="88"/>
      <c r="R237" s="88"/>
      <c r="S237" s="88"/>
      <c r="T237" s="88"/>
    </row>
    <row r="238" spans="1:20" ht="188.5" x14ac:dyDescent="0.35">
      <c r="B238" s="101" t="s">
        <v>873</v>
      </c>
      <c r="C238" s="129" t="s">
        <v>549</v>
      </c>
      <c r="D238" s="102" t="s">
        <v>870</v>
      </c>
      <c r="E238" s="103" t="s">
        <v>874</v>
      </c>
      <c r="F238" s="104" t="s">
        <v>872</v>
      </c>
      <c r="G238" s="88"/>
      <c r="H238" s="88"/>
      <c r="I238" s="88"/>
      <c r="J238" s="88"/>
      <c r="K238" s="88"/>
      <c r="L238" s="88"/>
      <c r="M238" s="88"/>
      <c r="N238" s="88"/>
      <c r="O238" s="88"/>
      <c r="P238" s="88"/>
      <c r="Q238" s="88"/>
      <c r="R238" s="88"/>
      <c r="S238" s="88"/>
      <c r="T238" s="88"/>
    </row>
    <row r="239" spans="1:20" ht="116" x14ac:dyDescent="0.35">
      <c r="B239" s="101" t="s">
        <v>875</v>
      </c>
      <c r="C239" s="129" t="s">
        <v>549</v>
      </c>
      <c r="D239" s="102" t="s">
        <v>870</v>
      </c>
      <c r="E239" s="103" t="s">
        <v>876</v>
      </c>
      <c r="F239" s="104" t="s">
        <v>872</v>
      </c>
      <c r="G239" s="88"/>
      <c r="H239" s="88"/>
      <c r="I239" s="88"/>
      <c r="J239" s="88"/>
      <c r="K239" s="88"/>
      <c r="L239" s="88"/>
      <c r="M239" s="88"/>
      <c r="N239" s="88"/>
      <c r="O239" s="88"/>
      <c r="P239" s="88"/>
      <c r="Q239" s="88"/>
      <c r="R239" s="88"/>
      <c r="S239" s="88"/>
      <c r="T239" s="88"/>
    </row>
    <row r="240" spans="1:20" ht="145" x14ac:dyDescent="0.35">
      <c r="B240" s="101" t="s">
        <v>877</v>
      </c>
      <c r="C240" s="129" t="s">
        <v>549</v>
      </c>
      <c r="D240" s="102" t="s">
        <v>870</v>
      </c>
      <c r="E240" s="103" t="s">
        <v>878</v>
      </c>
      <c r="F240" s="104" t="s">
        <v>872</v>
      </c>
      <c r="G240" s="88"/>
      <c r="H240" s="88"/>
      <c r="I240" s="88"/>
      <c r="J240" s="88"/>
      <c r="K240" s="88"/>
      <c r="L240" s="88"/>
      <c r="M240" s="88"/>
      <c r="N240" s="88"/>
      <c r="O240" s="88"/>
      <c r="P240" s="88"/>
      <c r="Q240" s="88"/>
      <c r="R240" s="88"/>
      <c r="S240" s="88"/>
      <c r="T240" s="88"/>
    </row>
    <row r="241" spans="1:20" ht="409.5" x14ac:dyDescent="0.35">
      <c r="B241" s="101" t="s">
        <v>879</v>
      </c>
      <c r="C241" s="129" t="s">
        <v>549</v>
      </c>
      <c r="D241" s="102" t="s">
        <v>841</v>
      </c>
      <c r="E241" s="103" t="s">
        <v>880</v>
      </c>
      <c r="F241" s="104"/>
      <c r="G241" s="88"/>
      <c r="H241" s="88"/>
      <c r="I241" s="88"/>
      <c r="J241" s="88"/>
      <c r="K241" s="88"/>
      <c r="L241" s="88"/>
      <c r="M241" s="88"/>
      <c r="N241" s="88"/>
      <c r="O241" s="88"/>
      <c r="P241" s="88"/>
      <c r="Q241" s="88"/>
      <c r="R241" s="88"/>
      <c r="S241" s="88"/>
      <c r="T241" s="88"/>
    </row>
    <row r="242" spans="1:20" ht="174" x14ac:dyDescent="0.35">
      <c r="B242" s="101" t="s">
        <v>881</v>
      </c>
      <c r="C242" s="129" t="s">
        <v>549</v>
      </c>
      <c r="D242" s="102" t="s">
        <v>841</v>
      </c>
      <c r="E242" s="103" t="s">
        <v>882</v>
      </c>
      <c r="F242" s="104"/>
      <c r="G242" s="88"/>
      <c r="H242" s="88"/>
      <c r="I242" s="88"/>
      <c r="J242" s="88"/>
      <c r="K242" s="88"/>
      <c r="L242" s="88"/>
      <c r="M242" s="88"/>
      <c r="N242" s="88"/>
      <c r="O242" s="88"/>
      <c r="P242" s="88"/>
      <c r="Q242" s="88"/>
      <c r="R242" s="88"/>
      <c r="S242" s="88"/>
      <c r="T242" s="88"/>
    </row>
    <row r="243" spans="1:20" ht="43.5" x14ac:dyDescent="0.35">
      <c r="B243" s="101" t="s">
        <v>883</v>
      </c>
      <c r="C243" s="129" t="s">
        <v>549</v>
      </c>
      <c r="D243" s="102" t="s">
        <v>841</v>
      </c>
      <c r="E243" s="103" t="s">
        <v>884</v>
      </c>
      <c r="F243" s="104"/>
      <c r="G243" s="88"/>
      <c r="H243" s="88"/>
      <c r="I243" s="88"/>
      <c r="J243" s="88"/>
      <c r="K243" s="88"/>
      <c r="L243" s="88"/>
      <c r="M243" s="88"/>
      <c r="N243" s="88"/>
      <c r="O243" s="88"/>
      <c r="P243" s="88"/>
      <c r="Q243" s="88"/>
      <c r="R243" s="88"/>
      <c r="S243" s="88"/>
      <c r="T243" s="88"/>
    </row>
    <row r="244" spans="1:20" ht="43.5" x14ac:dyDescent="0.35">
      <c r="B244" s="166" t="s">
        <v>908</v>
      </c>
      <c r="C244" s="97" t="s">
        <v>909</v>
      </c>
      <c r="D244" s="98"/>
      <c r="E244" s="99"/>
      <c r="F244" s="100"/>
      <c r="G244" s="88"/>
      <c r="H244" s="88"/>
      <c r="I244" s="88"/>
      <c r="J244" s="88"/>
      <c r="K244" s="88"/>
      <c r="L244" s="88"/>
      <c r="M244" s="88"/>
      <c r="N244" s="88"/>
      <c r="O244" s="88"/>
      <c r="P244" s="88"/>
      <c r="Q244" s="88"/>
      <c r="R244" s="88"/>
      <c r="S244" s="88"/>
      <c r="T244" s="88"/>
    </row>
    <row r="245" spans="1:20" ht="261" x14ac:dyDescent="0.35">
      <c r="B245" s="101" t="s">
        <v>116</v>
      </c>
      <c r="C245" s="129" t="s">
        <v>549</v>
      </c>
      <c r="D245" s="102" t="s">
        <v>841</v>
      </c>
      <c r="E245" s="103" t="s">
        <v>842</v>
      </c>
      <c r="F245" s="104"/>
      <c r="G245" s="88"/>
      <c r="H245" s="88"/>
      <c r="I245" s="88"/>
      <c r="J245" s="88"/>
      <c r="K245" s="88"/>
      <c r="L245" s="88"/>
      <c r="M245" s="88"/>
      <c r="N245" s="88"/>
      <c r="O245" s="88"/>
      <c r="P245" s="88"/>
      <c r="Q245" s="88"/>
      <c r="R245" s="88"/>
      <c r="S245" s="88"/>
      <c r="T245" s="88"/>
    </row>
    <row r="246" spans="1:20" ht="409.5" x14ac:dyDescent="0.35">
      <c r="A246" s="87"/>
      <c r="B246" s="101" t="s">
        <v>843</v>
      </c>
      <c r="C246" s="129" t="s">
        <v>549</v>
      </c>
      <c r="D246" s="102" t="s">
        <v>886</v>
      </c>
      <c r="E246" s="103" t="s">
        <v>845</v>
      </c>
      <c r="F246" s="104" t="s">
        <v>846</v>
      </c>
      <c r="G246" s="83"/>
      <c r="H246" s="88"/>
      <c r="I246" s="88"/>
      <c r="J246" s="88"/>
      <c r="K246" s="88"/>
      <c r="L246" s="88"/>
      <c r="M246" s="88"/>
      <c r="N246" s="88"/>
      <c r="O246" s="88"/>
      <c r="P246" s="88"/>
      <c r="Q246" s="88"/>
      <c r="R246" s="88"/>
      <c r="S246" s="88"/>
      <c r="T246" s="83"/>
    </row>
    <row r="247" spans="1:20" ht="348" x14ac:dyDescent="0.35">
      <c r="A247" s="87"/>
      <c r="B247" s="101" t="s">
        <v>887</v>
      </c>
      <c r="C247" s="129" t="s">
        <v>549</v>
      </c>
      <c r="D247" s="102" t="s">
        <v>852</v>
      </c>
      <c r="E247" s="103" t="s">
        <v>849</v>
      </c>
      <c r="F247" s="104" t="s">
        <v>888</v>
      </c>
      <c r="G247" s="83"/>
      <c r="H247" s="88"/>
      <c r="I247" s="88"/>
      <c r="J247" s="88"/>
      <c r="K247" s="88"/>
      <c r="L247" s="88"/>
      <c r="M247" s="88"/>
      <c r="N247" s="88"/>
      <c r="O247" s="88"/>
      <c r="P247" s="88"/>
      <c r="Q247" s="88"/>
      <c r="R247" s="88"/>
      <c r="S247" s="88"/>
      <c r="T247" s="83"/>
    </row>
    <row r="248" spans="1:20" ht="275.5" x14ac:dyDescent="0.35">
      <c r="A248" s="87"/>
      <c r="B248" s="101" t="s">
        <v>851</v>
      </c>
      <c r="C248" s="129" t="s">
        <v>549</v>
      </c>
      <c r="D248" s="102" t="s">
        <v>852</v>
      </c>
      <c r="E248" s="103" t="s">
        <v>853</v>
      </c>
      <c r="F248" s="104" t="s">
        <v>854</v>
      </c>
      <c r="G248" s="83"/>
      <c r="H248" s="88"/>
      <c r="I248" s="88"/>
      <c r="J248" s="88"/>
      <c r="K248" s="88"/>
      <c r="L248" s="88"/>
      <c r="M248" s="88"/>
      <c r="N248" s="88"/>
      <c r="O248" s="88"/>
      <c r="P248" s="88"/>
      <c r="Q248" s="88"/>
      <c r="R248" s="88"/>
      <c r="S248" s="88"/>
      <c r="T248" s="83"/>
    </row>
    <row r="249" spans="1:20" ht="159.5" x14ac:dyDescent="0.35">
      <c r="A249" s="87"/>
      <c r="B249" s="101" t="s">
        <v>378</v>
      </c>
      <c r="C249" s="129" t="s">
        <v>549</v>
      </c>
      <c r="D249" s="102" t="s">
        <v>852</v>
      </c>
      <c r="E249" s="103" t="s">
        <v>889</v>
      </c>
      <c r="F249" s="104"/>
      <c r="G249" s="83"/>
      <c r="H249" s="130"/>
      <c r="I249" s="130"/>
      <c r="J249" s="130"/>
      <c r="K249" s="130"/>
      <c r="L249" s="130"/>
      <c r="M249" s="130"/>
      <c r="N249" s="130"/>
      <c r="O249" s="130"/>
      <c r="P249" s="130"/>
      <c r="Q249" s="130"/>
      <c r="R249" s="130"/>
      <c r="S249" s="130"/>
      <c r="T249" s="83"/>
    </row>
    <row r="250" spans="1:20" ht="275.5" x14ac:dyDescent="0.35">
      <c r="A250" s="87"/>
      <c r="B250" s="159" t="s">
        <v>126</v>
      </c>
      <c r="C250" s="129" t="s">
        <v>549</v>
      </c>
      <c r="D250" s="102" t="s">
        <v>856</v>
      </c>
      <c r="E250" s="103" t="s">
        <v>857</v>
      </c>
      <c r="F250" s="104" t="s">
        <v>858</v>
      </c>
      <c r="G250" s="83"/>
      <c r="H250" s="88"/>
      <c r="I250" s="88"/>
      <c r="J250" s="88"/>
      <c r="K250" s="88"/>
      <c r="L250" s="88"/>
      <c r="M250" s="88"/>
      <c r="N250" s="88"/>
      <c r="O250" s="88"/>
      <c r="P250" s="88"/>
      <c r="Q250" s="88"/>
      <c r="R250" s="88"/>
      <c r="S250" s="88"/>
      <c r="T250" s="83"/>
    </row>
    <row r="251" spans="1:20" ht="58" x14ac:dyDescent="0.35">
      <c r="A251" s="87"/>
      <c r="B251" s="159" t="s">
        <v>383</v>
      </c>
      <c r="C251" s="129" t="s">
        <v>549</v>
      </c>
      <c r="D251" s="102" t="s">
        <v>856</v>
      </c>
      <c r="E251" s="103" t="s">
        <v>859</v>
      </c>
      <c r="F251" s="104" t="s">
        <v>860</v>
      </c>
      <c r="G251" s="83"/>
      <c r="H251" s="88"/>
      <c r="I251" s="88"/>
      <c r="J251" s="88"/>
      <c r="K251" s="88"/>
      <c r="L251" s="88"/>
      <c r="M251" s="88"/>
      <c r="N251" s="88"/>
      <c r="O251" s="88"/>
      <c r="P251" s="88"/>
      <c r="Q251" s="88"/>
      <c r="R251" s="88"/>
      <c r="S251" s="88"/>
      <c r="T251" s="83"/>
    </row>
    <row r="252" spans="1:20" ht="130.5" x14ac:dyDescent="0.35">
      <c r="B252" s="159" t="s">
        <v>861</v>
      </c>
      <c r="C252" s="129" t="s">
        <v>549</v>
      </c>
      <c r="D252" s="102" t="s">
        <v>841</v>
      </c>
      <c r="E252" s="103" t="s">
        <v>862</v>
      </c>
      <c r="F252" s="104" t="s">
        <v>863</v>
      </c>
      <c r="G252" s="88"/>
      <c r="H252" s="88"/>
      <c r="I252" s="88"/>
      <c r="J252" s="88"/>
      <c r="K252" s="88"/>
      <c r="L252" s="88"/>
      <c r="M252" s="88"/>
      <c r="N252" s="88"/>
      <c r="O252" s="88"/>
      <c r="P252" s="88"/>
      <c r="Q252" s="88"/>
      <c r="R252" s="88"/>
      <c r="S252" s="88"/>
      <c r="T252" s="88"/>
    </row>
    <row r="253" spans="1:20" ht="406" x14ac:dyDescent="0.35">
      <c r="A253" s="87"/>
      <c r="B253" s="159" t="s">
        <v>864</v>
      </c>
      <c r="C253" s="129" t="s">
        <v>549</v>
      </c>
      <c r="D253" s="102" t="s">
        <v>865</v>
      </c>
      <c r="E253" s="103" t="s">
        <v>866</v>
      </c>
      <c r="F253" s="104" t="s">
        <v>867</v>
      </c>
      <c r="G253" s="83"/>
      <c r="H253" s="88"/>
      <c r="I253" s="88"/>
      <c r="J253" s="88"/>
      <c r="K253" s="88"/>
      <c r="L253" s="88"/>
      <c r="M253" s="88"/>
      <c r="N253" s="88"/>
      <c r="O253" s="88"/>
      <c r="P253" s="88"/>
      <c r="Q253" s="88"/>
      <c r="R253" s="88"/>
      <c r="S253" s="88"/>
      <c r="T253" s="83"/>
    </row>
    <row r="254" spans="1:20" ht="159.5" x14ac:dyDescent="0.35">
      <c r="A254" s="87"/>
      <c r="B254" s="159" t="s">
        <v>381</v>
      </c>
      <c r="C254" s="129" t="s">
        <v>549</v>
      </c>
      <c r="D254" s="102" t="s">
        <v>865</v>
      </c>
      <c r="E254" s="103" t="s">
        <v>868</v>
      </c>
      <c r="F254" s="104" t="s">
        <v>860</v>
      </c>
      <c r="G254" s="83"/>
      <c r="H254" s="88"/>
      <c r="I254" s="88"/>
      <c r="J254" s="88"/>
      <c r="K254" s="88"/>
      <c r="L254" s="88"/>
      <c r="M254" s="88"/>
      <c r="N254" s="88"/>
      <c r="O254" s="88"/>
      <c r="P254" s="88"/>
      <c r="Q254" s="88"/>
      <c r="R254" s="88"/>
      <c r="S254" s="88"/>
      <c r="T254" s="83"/>
    </row>
    <row r="255" spans="1:20" ht="101.5" x14ac:dyDescent="0.35">
      <c r="B255" s="101" t="s">
        <v>869</v>
      </c>
      <c r="C255" s="129" t="s">
        <v>549</v>
      </c>
      <c r="D255" s="102" t="s">
        <v>870</v>
      </c>
      <c r="E255" s="103" t="s">
        <v>871</v>
      </c>
      <c r="F255" s="104" t="s">
        <v>872</v>
      </c>
      <c r="G255" s="88"/>
      <c r="H255" s="88"/>
      <c r="I255" s="88"/>
      <c r="J255" s="88"/>
      <c r="K255" s="88"/>
      <c r="L255" s="88"/>
      <c r="M255" s="88"/>
      <c r="N255" s="88"/>
      <c r="O255" s="88"/>
      <c r="P255" s="88"/>
      <c r="Q255" s="88"/>
      <c r="R255" s="88"/>
      <c r="S255" s="88"/>
      <c r="T255" s="88"/>
    </row>
    <row r="256" spans="1:20" ht="188.5" x14ac:dyDescent="0.35">
      <c r="B256" s="101" t="s">
        <v>873</v>
      </c>
      <c r="C256" s="129" t="s">
        <v>549</v>
      </c>
      <c r="D256" s="102" t="s">
        <v>870</v>
      </c>
      <c r="E256" s="103" t="s">
        <v>874</v>
      </c>
      <c r="F256" s="104" t="s">
        <v>872</v>
      </c>
      <c r="G256" s="88"/>
      <c r="H256" s="88"/>
      <c r="I256" s="88"/>
      <c r="J256" s="88"/>
      <c r="K256" s="88"/>
      <c r="L256" s="88"/>
      <c r="M256" s="88"/>
      <c r="N256" s="88"/>
      <c r="O256" s="88"/>
      <c r="P256" s="88"/>
      <c r="Q256" s="88"/>
      <c r="R256" s="88"/>
      <c r="S256" s="88"/>
      <c r="T256" s="88"/>
    </row>
    <row r="257" spans="1:20" ht="116" x14ac:dyDescent="0.35">
      <c r="B257" s="101" t="s">
        <v>875</v>
      </c>
      <c r="C257" s="129" t="s">
        <v>549</v>
      </c>
      <c r="D257" s="102" t="s">
        <v>870</v>
      </c>
      <c r="E257" s="103" t="s">
        <v>876</v>
      </c>
      <c r="F257" s="104" t="s">
        <v>872</v>
      </c>
      <c r="G257" s="88"/>
      <c r="H257" s="88"/>
      <c r="I257" s="88"/>
      <c r="J257" s="88"/>
      <c r="K257" s="88"/>
      <c r="L257" s="88"/>
      <c r="M257" s="88"/>
      <c r="N257" s="88"/>
      <c r="O257" s="88"/>
      <c r="P257" s="88"/>
      <c r="Q257" s="88"/>
      <c r="R257" s="88"/>
      <c r="S257" s="88"/>
      <c r="T257" s="88"/>
    </row>
    <row r="258" spans="1:20" ht="145" x14ac:dyDescent="0.35">
      <c r="B258" s="101" t="s">
        <v>877</v>
      </c>
      <c r="C258" s="129" t="s">
        <v>549</v>
      </c>
      <c r="D258" s="102" t="s">
        <v>870</v>
      </c>
      <c r="E258" s="103" t="s">
        <v>878</v>
      </c>
      <c r="F258" s="104" t="s">
        <v>872</v>
      </c>
      <c r="G258" s="88"/>
      <c r="H258" s="88"/>
      <c r="I258" s="88"/>
      <c r="J258" s="88"/>
      <c r="K258" s="88"/>
      <c r="L258" s="88"/>
      <c r="M258" s="88"/>
      <c r="N258" s="88"/>
      <c r="O258" s="88"/>
      <c r="P258" s="88"/>
      <c r="Q258" s="88"/>
      <c r="R258" s="88"/>
      <c r="S258" s="88"/>
      <c r="T258" s="88"/>
    </row>
    <row r="259" spans="1:20" ht="409.5" x14ac:dyDescent="0.35">
      <c r="B259" s="101" t="s">
        <v>879</v>
      </c>
      <c r="C259" s="129" t="s">
        <v>549</v>
      </c>
      <c r="D259" s="102" t="s">
        <v>841</v>
      </c>
      <c r="E259" s="103" t="s">
        <v>880</v>
      </c>
      <c r="F259" s="104"/>
      <c r="G259" s="88"/>
      <c r="H259" s="88"/>
      <c r="I259" s="88"/>
      <c r="J259" s="88"/>
      <c r="K259" s="88"/>
      <c r="L259" s="88"/>
      <c r="M259" s="88"/>
      <c r="N259" s="88"/>
      <c r="O259" s="88"/>
      <c r="P259" s="88"/>
      <c r="Q259" s="88"/>
      <c r="R259" s="88"/>
      <c r="S259" s="88"/>
      <c r="T259" s="88"/>
    </row>
    <row r="260" spans="1:20" ht="174" x14ac:dyDescent="0.35">
      <c r="B260" s="101" t="s">
        <v>881</v>
      </c>
      <c r="C260" s="129" t="s">
        <v>549</v>
      </c>
      <c r="D260" s="102" t="s">
        <v>841</v>
      </c>
      <c r="E260" s="103" t="s">
        <v>882</v>
      </c>
      <c r="F260" s="104"/>
      <c r="G260" s="88"/>
      <c r="H260" s="88"/>
      <c r="I260" s="88"/>
      <c r="J260" s="88"/>
      <c r="K260" s="88"/>
      <c r="L260" s="88"/>
      <c r="M260" s="88"/>
      <c r="N260" s="88"/>
      <c r="O260" s="88"/>
      <c r="P260" s="88"/>
      <c r="Q260" s="88"/>
      <c r="R260" s="88"/>
      <c r="S260" s="88"/>
      <c r="T260" s="88"/>
    </row>
    <row r="261" spans="1:20" ht="43.5" x14ac:dyDescent="0.35">
      <c r="B261" s="101" t="s">
        <v>883</v>
      </c>
      <c r="C261" s="129" t="s">
        <v>549</v>
      </c>
      <c r="D261" s="102" t="s">
        <v>841</v>
      </c>
      <c r="E261" s="103" t="s">
        <v>884</v>
      </c>
      <c r="F261" s="104"/>
      <c r="G261" s="88"/>
      <c r="H261" s="88"/>
      <c r="I261" s="88"/>
      <c r="J261" s="88"/>
      <c r="K261" s="88"/>
      <c r="L261" s="88"/>
      <c r="M261" s="88"/>
      <c r="N261" s="88"/>
      <c r="O261" s="88"/>
      <c r="P261" s="88"/>
      <c r="Q261" s="88"/>
      <c r="R261" s="88"/>
      <c r="S261" s="88"/>
      <c r="T261" s="88"/>
    </row>
    <row r="262" spans="1:20" ht="43.5" x14ac:dyDescent="0.35">
      <c r="B262" s="166" t="s">
        <v>910</v>
      </c>
      <c r="C262" s="97" t="s">
        <v>909</v>
      </c>
      <c r="D262" s="98"/>
      <c r="E262" s="99"/>
      <c r="F262" s="100"/>
      <c r="G262" s="88"/>
      <c r="H262" s="88"/>
      <c r="I262" s="88"/>
      <c r="J262" s="88"/>
      <c r="K262" s="88"/>
      <c r="L262" s="88"/>
      <c r="M262" s="88"/>
      <c r="N262" s="88"/>
      <c r="O262" s="88"/>
      <c r="P262" s="88"/>
      <c r="Q262" s="88"/>
      <c r="R262" s="88"/>
      <c r="S262" s="88"/>
      <c r="T262" s="88"/>
    </row>
    <row r="263" spans="1:20" ht="261" x14ac:dyDescent="0.35">
      <c r="B263" s="101" t="s">
        <v>116</v>
      </c>
      <c r="C263" s="129" t="s">
        <v>549</v>
      </c>
      <c r="D263" s="102" t="s">
        <v>841</v>
      </c>
      <c r="E263" s="103" t="s">
        <v>842</v>
      </c>
      <c r="F263" s="104"/>
      <c r="G263" s="88"/>
      <c r="H263" s="88"/>
      <c r="I263" s="88"/>
      <c r="J263" s="88"/>
      <c r="K263" s="88"/>
      <c r="L263" s="88"/>
      <c r="M263" s="88"/>
      <c r="N263" s="88"/>
      <c r="O263" s="88"/>
      <c r="P263" s="88"/>
      <c r="Q263" s="88"/>
      <c r="R263" s="88"/>
      <c r="S263" s="88"/>
      <c r="T263" s="88"/>
    </row>
    <row r="264" spans="1:20" ht="409.5" x14ac:dyDescent="0.35">
      <c r="A264" s="87"/>
      <c r="B264" s="101" t="s">
        <v>843</v>
      </c>
      <c r="C264" s="129" t="s">
        <v>549</v>
      </c>
      <c r="D264" s="102" t="s">
        <v>886</v>
      </c>
      <c r="E264" s="103" t="s">
        <v>845</v>
      </c>
      <c r="F264" s="104" t="s">
        <v>846</v>
      </c>
      <c r="G264" s="83"/>
      <c r="H264" s="88"/>
      <c r="I264" s="88"/>
      <c r="J264" s="88"/>
      <c r="K264" s="88"/>
      <c r="L264" s="88"/>
      <c r="M264" s="88"/>
      <c r="N264" s="88"/>
      <c r="O264" s="88"/>
      <c r="P264" s="88"/>
      <c r="Q264" s="88"/>
      <c r="R264" s="88"/>
      <c r="S264" s="88"/>
      <c r="T264" s="83"/>
    </row>
    <row r="265" spans="1:20" ht="348" x14ac:dyDescent="0.35">
      <c r="A265" s="87"/>
      <c r="B265" s="101" t="s">
        <v>887</v>
      </c>
      <c r="C265" s="129" t="s">
        <v>549</v>
      </c>
      <c r="D265" s="102" t="s">
        <v>852</v>
      </c>
      <c r="E265" s="103" t="s">
        <v>849</v>
      </c>
      <c r="F265" s="104" t="s">
        <v>888</v>
      </c>
      <c r="G265" s="83"/>
      <c r="H265" s="88"/>
      <c r="I265" s="88"/>
      <c r="J265" s="88"/>
      <c r="K265" s="88"/>
      <c r="L265" s="88"/>
      <c r="M265" s="88"/>
      <c r="N265" s="88"/>
      <c r="O265" s="88"/>
      <c r="P265" s="88"/>
      <c r="Q265" s="88"/>
      <c r="R265" s="88"/>
      <c r="S265" s="88"/>
      <c r="T265" s="83"/>
    </row>
    <row r="266" spans="1:20" ht="246.5" x14ac:dyDescent="0.35">
      <c r="A266" s="87"/>
      <c r="B266" s="101" t="s">
        <v>851</v>
      </c>
      <c r="C266" s="129" t="s">
        <v>549</v>
      </c>
      <c r="D266" s="102" t="s">
        <v>852</v>
      </c>
      <c r="E266" s="103" t="s">
        <v>896</v>
      </c>
      <c r="F266" s="104" t="s">
        <v>854</v>
      </c>
      <c r="G266" s="83"/>
      <c r="H266" s="88"/>
      <c r="I266" s="88"/>
      <c r="J266" s="88"/>
      <c r="K266" s="88"/>
      <c r="L266" s="88"/>
      <c r="M266" s="88"/>
      <c r="N266" s="88"/>
      <c r="O266" s="88"/>
      <c r="P266" s="88"/>
      <c r="Q266" s="88"/>
      <c r="R266" s="88"/>
      <c r="S266" s="88"/>
      <c r="T266" s="83"/>
    </row>
    <row r="267" spans="1:20" ht="159.5" x14ac:dyDescent="0.35">
      <c r="A267" s="87"/>
      <c r="B267" s="101" t="s">
        <v>378</v>
      </c>
      <c r="C267" s="129" t="s">
        <v>549</v>
      </c>
      <c r="D267" s="102" t="s">
        <v>852</v>
      </c>
      <c r="E267" s="103" t="s">
        <v>889</v>
      </c>
      <c r="F267" s="104"/>
      <c r="G267" s="83"/>
      <c r="H267" s="130"/>
      <c r="I267" s="130"/>
      <c r="J267" s="130"/>
      <c r="K267" s="130"/>
      <c r="L267" s="130"/>
      <c r="M267" s="130"/>
      <c r="N267" s="130"/>
      <c r="O267" s="130"/>
      <c r="P267" s="130"/>
      <c r="Q267" s="130"/>
      <c r="R267" s="130"/>
      <c r="S267" s="130"/>
      <c r="T267" s="83"/>
    </row>
    <row r="268" spans="1:20" ht="275.5" x14ac:dyDescent="0.35">
      <c r="A268" s="87"/>
      <c r="B268" s="159" t="s">
        <v>126</v>
      </c>
      <c r="C268" s="129" t="s">
        <v>549</v>
      </c>
      <c r="D268" s="102" t="s">
        <v>856</v>
      </c>
      <c r="E268" s="103" t="s">
        <v>857</v>
      </c>
      <c r="F268" s="104" t="s">
        <v>858</v>
      </c>
      <c r="G268" s="83"/>
      <c r="H268" s="88"/>
      <c r="I268" s="88"/>
      <c r="J268" s="88"/>
      <c r="K268" s="88"/>
      <c r="L268" s="88"/>
      <c r="M268" s="88"/>
      <c r="N268" s="88"/>
      <c r="O268" s="88"/>
      <c r="P268" s="88"/>
      <c r="Q268" s="88"/>
      <c r="R268" s="88"/>
      <c r="S268" s="88"/>
      <c r="T268" s="83"/>
    </row>
    <row r="269" spans="1:20" ht="58" x14ac:dyDescent="0.35">
      <c r="A269" s="87"/>
      <c r="B269" s="159" t="s">
        <v>383</v>
      </c>
      <c r="C269" s="129" t="s">
        <v>549</v>
      </c>
      <c r="D269" s="102" t="s">
        <v>856</v>
      </c>
      <c r="E269" s="103" t="s">
        <v>859</v>
      </c>
      <c r="F269" s="104" t="s">
        <v>860</v>
      </c>
      <c r="G269" s="83"/>
      <c r="H269" s="88"/>
      <c r="I269" s="88"/>
      <c r="J269" s="88"/>
      <c r="K269" s="88"/>
      <c r="L269" s="88"/>
      <c r="M269" s="88"/>
      <c r="N269" s="88"/>
      <c r="O269" s="88"/>
      <c r="P269" s="88"/>
      <c r="Q269" s="88"/>
      <c r="R269" s="88"/>
      <c r="S269" s="88"/>
      <c r="T269" s="83"/>
    </row>
    <row r="270" spans="1:20" ht="130.5" x14ac:dyDescent="0.35">
      <c r="B270" s="159" t="s">
        <v>861</v>
      </c>
      <c r="C270" s="129" t="s">
        <v>549</v>
      </c>
      <c r="D270" s="102" t="s">
        <v>841</v>
      </c>
      <c r="E270" s="103" t="s">
        <v>862</v>
      </c>
      <c r="F270" s="104" t="s">
        <v>863</v>
      </c>
      <c r="G270" s="88"/>
      <c r="H270" s="88"/>
      <c r="I270" s="88"/>
      <c r="J270" s="88"/>
      <c r="K270" s="88"/>
      <c r="L270" s="88"/>
      <c r="M270" s="88"/>
      <c r="N270" s="88"/>
      <c r="O270" s="88"/>
      <c r="P270" s="88"/>
      <c r="Q270" s="88"/>
      <c r="R270" s="88"/>
      <c r="S270" s="88"/>
      <c r="T270" s="88"/>
    </row>
    <row r="271" spans="1:20" ht="406" x14ac:dyDescent="0.35">
      <c r="A271" s="87"/>
      <c r="B271" s="159" t="s">
        <v>864</v>
      </c>
      <c r="C271" s="129" t="s">
        <v>549</v>
      </c>
      <c r="D271" s="102" t="s">
        <v>865</v>
      </c>
      <c r="E271" s="103" t="s">
        <v>866</v>
      </c>
      <c r="F271" s="104" t="s">
        <v>867</v>
      </c>
      <c r="G271" s="83"/>
      <c r="H271" s="88"/>
      <c r="I271" s="88"/>
      <c r="J271" s="88"/>
      <c r="K271" s="88"/>
      <c r="L271" s="88"/>
      <c r="M271" s="88"/>
      <c r="N271" s="88"/>
      <c r="O271" s="88"/>
      <c r="P271" s="88"/>
      <c r="Q271" s="88"/>
      <c r="R271" s="88"/>
      <c r="S271" s="88"/>
      <c r="T271" s="83"/>
    </row>
    <row r="272" spans="1:20" ht="159.5" x14ac:dyDescent="0.35">
      <c r="A272" s="87"/>
      <c r="B272" s="159" t="s">
        <v>381</v>
      </c>
      <c r="C272" s="129" t="s">
        <v>549</v>
      </c>
      <c r="D272" s="102" t="s">
        <v>865</v>
      </c>
      <c r="E272" s="103" t="s">
        <v>868</v>
      </c>
      <c r="F272" s="104" t="s">
        <v>860</v>
      </c>
      <c r="G272" s="83"/>
      <c r="H272" s="88"/>
      <c r="I272" s="88"/>
      <c r="J272" s="88"/>
      <c r="K272" s="88"/>
      <c r="L272" s="88"/>
      <c r="M272" s="88"/>
      <c r="N272" s="88"/>
      <c r="O272" s="88"/>
      <c r="P272" s="88"/>
      <c r="Q272" s="88"/>
      <c r="R272" s="88"/>
      <c r="S272" s="88"/>
      <c r="T272" s="83"/>
    </row>
    <row r="273" spans="1:20" ht="101.5" x14ac:dyDescent="0.35">
      <c r="B273" s="101" t="s">
        <v>869</v>
      </c>
      <c r="C273" s="129" t="s">
        <v>549</v>
      </c>
      <c r="D273" s="102" t="s">
        <v>870</v>
      </c>
      <c r="E273" s="103" t="s">
        <v>871</v>
      </c>
      <c r="F273" s="104" t="s">
        <v>872</v>
      </c>
      <c r="G273" s="88"/>
      <c r="H273" s="88"/>
      <c r="I273" s="88"/>
      <c r="J273" s="88"/>
      <c r="K273" s="88"/>
      <c r="L273" s="88"/>
      <c r="M273" s="88"/>
      <c r="N273" s="88"/>
      <c r="O273" s="88"/>
      <c r="P273" s="88"/>
      <c r="Q273" s="88"/>
      <c r="R273" s="88"/>
      <c r="S273" s="88"/>
      <c r="T273" s="88"/>
    </row>
    <row r="274" spans="1:20" ht="188.5" x14ac:dyDescent="0.35">
      <c r="B274" s="101" t="s">
        <v>873</v>
      </c>
      <c r="C274" s="129" t="s">
        <v>549</v>
      </c>
      <c r="D274" s="102" t="s">
        <v>870</v>
      </c>
      <c r="E274" s="103" t="s">
        <v>874</v>
      </c>
      <c r="F274" s="104" t="s">
        <v>872</v>
      </c>
      <c r="G274" s="88"/>
      <c r="H274" s="88"/>
      <c r="I274" s="88"/>
      <c r="J274" s="88"/>
      <c r="K274" s="88"/>
      <c r="L274" s="88"/>
      <c r="M274" s="88"/>
      <c r="N274" s="88"/>
      <c r="O274" s="88"/>
      <c r="P274" s="88"/>
      <c r="Q274" s="88"/>
      <c r="R274" s="88"/>
      <c r="S274" s="88"/>
      <c r="T274" s="88"/>
    </row>
    <row r="275" spans="1:20" ht="116" x14ac:dyDescent="0.35">
      <c r="B275" s="101" t="s">
        <v>875</v>
      </c>
      <c r="C275" s="129" t="s">
        <v>549</v>
      </c>
      <c r="D275" s="102" t="s">
        <v>870</v>
      </c>
      <c r="E275" s="103" t="s">
        <v>876</v>
      </c>
      <c r="F275" s="104" t="s">
        <v>872</v>
      </c>
      <c r="G275" s="88"/>
      <c r="H275" s="88"/>
      <c r="I275" s="88"/>
      <c r="J275" s="88"/>
      <c r="K275" s="88"/>
      <c r="L275" s="88"/>
      <c r="M275" s="88"/>
      <c r="N275" s="88"/>
      <c r="O275" s="88"/>
      <c r="P275" s="88"/>
      <c r="Q275" s="88"/>
      <c r="R275" s="88"/>
      <c r="S275" s="88"/>
      <c r="T275" s="88"/>
    </row>
    <row r="276" spans="1:20" ht="145" x14ac:dyDescent="0.35">
      <c r="B276" s="101" t="s">
        <v>877</v>
      </c>
      <c r="C276" s="129" t="s">
        <v>549</v>
      </c>
      <c r="D276" s="102" t="s">
        <v>870</v>
      </c>
      <c r="E276" s="103" t="s">
        <v>878</v>
      </c>
      <c r="F276" s="104" t="s">
        <v>872</v>
      </c>
      <c r="G276" s="88"/>
      <c r="H276" s="88"/>
      <c r="I276" s="88"/>
      <c r="J276" s="88"/>
      <c r="K276" s="88"/>
      <c r="L276" s="88"/>
      <c r="M276" s="88"/>
      <c r="N276" s="88"/>
      <c r="O276" s="88"/>
      <c r="P276" s="88"/>
      <c r="Q276" s="88"/>
      <c r="R276" s="88"/>
      <c r="S276" s="88"/>
      <c r="T276" s="88"/>
    </row>
    <row r="277" spans="1:20" ht="409.5" x14ac:dyDescent="0.35">
      <c r="B277" s="101" t="s">
        <v>879</v>
      </c>
      <c r="C277" s="129" t="s">
        <v>549</v>
      </c>
      <c r="D277" s="102" t="s">
        <v>841</v>
      </c>
      <c r="E277" s="103" t="s">
        <v>880</v>
      </c>
      <c r="F277" s="104"/>
      <c r="G277" s="88"/>
      <c r="H277" s="88"/>
      <c r="I277" s="88"/>
      <c r="J277" s="88"/>
      <c r="K277" s="88"/>
      <c r="L277" s="88"/>
      <c r="M277" s="88"/>
      <c r="N277" s="88"/>
      <c r="O277" s="88"/>
      <c r="P277" s="88"/>
      <c r="Q277" s="88"/>
      <c r="R277" s="88"/>
      <c r="S277" s="88"/>
      <c r="T277" s="88"/>
    </row>
    <row r="278" spans="1:20" ht="174" x14ac:dyDescent="0.35">
      <c r="B278" s="101" t="s">
        <v>881</v>
      </c>
      <c r="C278" s="129" t="s">
        <v>549</v>
      </c>
      <c r="D278" s="102" t="s">
        <v>841</v>
      </c>
      <c r="E278" s="103" t="s">
        <v>882</v>
      </c>
      <c r="F278" s="104"/>
      <c r="G278" s="88"/>
      <c r="H278" s="88"/>
      <c r="I278" s="88"/>
      <c r="J278" s="88"/>
      <c r="K278" s="88"/>
      <c r="L278" s="88"/>
      <c r="M278" s="88"/>
      <c r="N278" s="88"/>
      <c r="O278" s="88"/>
      <c r="P278" s="88"/>
      <c r="Q278" s="88"/>
      <c r="R278" s="88"/>
      <c r="S278" s="88"/>
      <c r="T278" s="88"/>
    </row>
    <row r="279" spans="1:20" ht="43.5" x14ac:dyDescent="0.35">
      <c r="B279" s="101" t="s">
        <v>883</v>
      </c>
      <c r="C279" s="129" t="s">
        <v>549</v>
      </c>
      <c r="D279" s="102" t="s">
        <v>841</v>
      </c>
      <c r="E279" s="103" t="s">
        <v>884</v>
      </c>
      <c r="F279" s="104"/>
      <c r="G279" s="88"/>
      <c r="H279" s="88"/>
      <c r="I279" s="88"/>
      <c r="J279" s="88"/>
      <c r="K279" s="88"/>
      <c r="L279" s="88"/>
      <c r="M279" s="88"/>
      <c r="N279" s="88"/>
      <c r="O279" s="88"/>
      <c r="P279" s="88"/>
      <c r="Q279" s="88"/>
      <c r="R279" s="88"/>
      <c r="S279" s="88"/>
      <c r="T279" s="88"/>
    </row>
    <row r="280" spans="1:20" ht="29" x14ac:dyDescent="0.35">
      <c r="B280" s="166" t="s">
        <v>911</v>
      </c>
      <c r="C280" s="97" t="s">
        <v>912</v>
      </c>
      <c r="D280" s="98"/>
      <c r="E280" s="99"/>
      <c r="F280" s="160" t="s">
        <v>913</v>
      </c>
      <c r="G280" s="88"/>
      <c r="H280" s="88"/>
      <c r="I280" s="88"/>
      <c r="J280" s="88"/>
      <c r="K280" s="88"/>
      <c r="L280" s="88"/>
      <c r="M280" s="88"/>
      <c r="N280" s="88"/>
      <c r="O280" s="88"/>
      <c r="P280" s="88"/>
      <c r="Q280" s="88"/>
      <c r="R280" s="88"/>
      <c r="S280" s="88"/>
      <c r="T280" s="88"/>
    </row>
    <row r="281" spans="1:20" ht="261" x14ac:dyDescent="0.35">
      <c r="B281" s="101" t="s">
        <v>116</v>
      </c>
      <c r="C281" s="129" t="s">
        <v>549</v>
      </c>
      <c r="D281" s="102" t="s">
        <v>841</v>
      </c>
      <c r="E281" s="103" t="s">
        <v>842</v>
      </c>
      <c r="F281" s="104"/>
      <c r="G281" s="88"/>
      <c r="H281" s="88"/>
      <c r="I281" s="88"/>
      <c r="J281" s="88"/>
      <c r="K281" s="88"/>
      <c r="L281" s="88"/>
      <c r="M281" s="88"/>
      <c r="N281" s="88"/>
      <c r="O281" s="88"/>
      <c r="P281" s="88"/>
      <c r="Q281" s="88"/>
      <c r="R281" s="88"/>
      <c r="S281" s="88"/>
      <c r="T281" s="88"/>
    </row>
    <row r="282" spans="1:20" ht="409.5" x14ac:dyDescent="0.35">
      <c r="A282" s="87"/>
      <c r="B282" s="101" t="s">
        <v>843</v>
      </c>
      <c r="C282" s="129" t="s">
        <v>549</v>
      </c>
      <c r="D282" s="102" t="s">
        <v>886</v>
      </c>
      <c r="E282" s="103" t="s">
        <v>845</v>
      </c>
      <c r="F282" s="104" t="s">
        <v>846</v>
      </c>
      <c r="G282" s="83"/>
      <c r="H282" s="88"/>
      <c r="I282" s="88"/>
      <c r="J282" s="88"/>
      <c r="K282" s="88"/>
      <c r="L282" s="88"/>
      <c r="M282" s="88"/>
      <c r="N282" s="88"/>
      <c r="O282" s="88"/>
      <c r="P282" s="88"/>
      <c r="Q282" s="88"/>
      <c r="R282" s="88"/>
      <c r="S282" s="88"/>
      <c r="T282" s="83"/>
    </row>
    <row r="283" spans="1:20" ht="348" x14ac:dyDescent="0.35">
      <c r="A283" s="87"/>
      <c r="B283" s="101" t="s">
        <v>887</v>
      </c>
      <c r="C283" s="129" t="s">
        <v>549</v>
      </c>
      <c r="D283" s="102" t="s">
        <v>852</v>
      </c>
      <c r="E283" s="103" t="s">
        <v>849</v>
      </c>
      <c r="F283" s="104" t="s">
        <v>888</v>
      </c>
      <c r="G283" s="83"/>
      <c r="H283" s="88"/>
      <c r="I283" s="88"/>
      <c r="J283" s="88"/>
      <c r="K283" s="88"/>
      <c r="L283" s="88"/>
      <c r="M283" s="88"/>
      <c r="N283" s="88"/>
      <c r="O283" s="88"/>
      <c r="P283" s="88"/>
      <c r="Q283" s="88"/>
      <c r="R283" s="88"/>
      <c r="S283" s="88"/>
      <c r="T283" s="83"/>
    </row>
    <row r="284" spans="1:20" ht="246.5" x14ac:dyDescent="0.35">
      <c r="A284" s="87"/>
      <c r="B284" s="101" t="s">
        <v>851</v>
      </c>
      <c r="C284" s="129" t="s">
        <v>549</v>
      </c>
      <c r="D284" s="102" t="s">
        <v>852</v>
      </c>
      <c r="E284" s="103" t="s">
        <v>896</v>
      </c>
      <c r="F284" s="104" t="s">
        <v>854</v>
      </c>
      <c r="G284" s="83"/>
      <c r="H284" s="88"/>
      <c r="I284" s="88"/>
      <c r="J284" s="88"/>
      <c r="K284" s="88"/>
      <c r="L284" s="88"/>
      <c r="M284" s="88"/>
      <c r="N284" s="88"/>
      <c r="O284" s="88"/>
      <c r="P284" s="88"/>
      <c r="Q284" s="88"/>
      <c r="R284" s="88"/>
      <c r="S284" s="88"/>
      <c r="T284" s="83"/>
    </row>
    <row r="285" spans="1:20" ht="159.5" x14ac:dyDescent="0.35">
      <c r="A285" s="87"/>
      <c r="B285" s="101" t="s">
        <v>378</v>
      </c>
      <c r="C285" s="129" t="s">
        <v>549</v>
      </c>
      <c r="D285" s="102" t="s">
        <v>852</v>
      </c>
      <c r="E285" s="103" t="s">
        <v>889</v>
      </c>
      <c r="F285" s="104"/>
      <c r="G285" s="83"/>
      <c r="H285" s="130"/>
      <c r="I285" s="130"/>
      <c r="J285" s="130"/>
      <c r="K285" s="130"/>
      <c r="L285" s="130"/>
      <c r="M285" s="130"/>
      <c r="N285" s="130"/>
      <c r="O285" s="130"/>
      <c r="P285" s="130"/>
      <c r="Q285" s="130"/>
      <c r="R285" s="130"/>
      <c r="S285" s="130"/>
      <c r="T285" s="83"/>
    </row>
    <row r="286" spans="1:20" ht="275.5" x14ac:dyDescent="0.35">
      <c r="A286" s="87"/>
      <c r="B286" s="159" t="s">
        <v>126</v>
      </c>
      <c r="C286" s="129" t="s">
        <v>549</v>
      </c>
      <c r="D286" s="102" t="s">
        <v>856</v>
      </c>
      <c r="E286" s="103" t="s">
        <v>857</v>
      </c>
      <c r="F286" s="104" t="s">
        <v>858</v>
      </c>
      <c r="G286" s="83"/>
      <c r="H286" s="88"/>
      <c r="I286" s="88"/>
      <c r="J286" s="88"/>
      <c r="K286" s="88"/>
      <c r="L286" s="88"/>
      <c r="M286" s="88"/>
      <c r="N286" s="88"/>
      <c r="O286" s="88"/>
      <c r="P286" s="88"/>
      <c r="Q286" s="88"/>
      <c r="R286" s="88"/>
      <c r="S286" s="88"/>
      <c r="T286" s="83"/>
    </row>
    <row r="287" spans="1:20" ht="58" x14ac:dyDescent="0.35">
      <c r="A287" s="87"/>
      <c r="B287" s="159" t="s">
        <v>383</v>
      </c>
      <c r="C287" s="129" t="s">
        <v>549</v>
      </c>
      <c r="D287" s="102" t="s">
        <v>856</v>
      </c>
      <c r="E287" s="103" t="s">
        <v>859</v>
      </c>
      <c r="F287" s="104" t="s">
        <v>860</v>
      </c>
      <c r="G287" s="83"/>
      <c r="H287" s="88"/>
      <c r="I287" s="88"/>
      <c r="J287" s="88"/>
      <c r="K287" s="88"/>
      <c r="L287" s="88"/>
      <c r="M287" s="88"/>
      <c r="N287" s="88"/>
      <c r="O287" s="88"/>
      <c r="P287" s="88"/>
      <c r="Q287" s="88"/>
      <c r="R287" s="88"/>
      <c r="S287" s="88"/>
      <c r="T287" s="83"/>
    </row>
    <row r="288" spans="1:20" ht="130.5" x14ac:dyDescent="0.35">
      <c r="B288" s="159" t="s">
        <v>861</v>
      </c>
      <c r="C288" s="129" t="s">
        <v>549</v>
      </c>
      <c r="D288" s="102" t="s">
        <v>841</v>
      </c>
      <c r="E288" s="103" t="s">
        <v>862</v>
      </c>
      <c r="F288" s="104" t="s">
        <v>863</v>
      </c>
      <c r="G288" s="88"/>
      <c r="H288" s="88"/>
      <c r="I288" s="88"/>
      <c r="J288" s="88"/>
      <c r="K288" s="88"/>
      <c r="L288" s="88"/>
      <c r="M288" s="88"/>
      <c r="N288" s="88"/>
      <c r="O288" s="88"/>
      <c r="P288" s="88"/>
      <c r="Q288" s="88"/>
      <c r="R288" s="88"/>
      <c r="S288" s="88"/>
      <c r="T288" s="88"/>
    </row>
    <row r="289" spans="1:20" ht="406" x14ac:dyDescent="0.35">
      <c r="A289" s="87"/>
      <c r="B289" s="159" t="s">
        <v>864</v>
      </c>
      <c r="C289" s="129" t="s">
        <v>549</v>
      </c>
      <c r="D289" s="102" t="s">
        <v>865</v>
      </c>
      <c r="E289" s="103" t="s">
        <v>866</v>
      </c>
      <c r="F289" s="104" t="s">
        <v>867</v>
      </c>
      <c r="G289" s="83"/>
      <c r="H289" s="88"/>
      <c r="I289" s="88"/>
      <c r="J289" s="88"/>
      <c r="K289" s="88"/>
      <c r="L289" s="88"/>
      <c r="M289" s="88"/>
      <c r="N289" s="88"/>
      <c r="O289" s="88"/>
      <c r="P289" s="88"/>
      <c r="Q289" s="88"/>
      <c r="R289" s="88"/>
      <c r="S289" s="88"/>
      <c r="T289" s="83"/>
    </row>
    <row r="290" spans="1:20" ht="159.5" x14ac:dyDescent="0.35">
      <c r="A290" s="87"/>
      <c r="B290" s="159" t="s">
        <v>381</v>
      </c>
      <c r="C290" s="129" t="s">
        <v>549</v>
      </c>
      <c r="D290" s="102" t="s">
        <v>865</v>
      </c>
      <c r="E290" s="103" t="s">
        <v>868</v>
      </c>
      <c r="F290" s="104" t="s">
        <v>860</v>
      </c>
      <c r="G290" s="83"/>
      <c r="H290" s="88"/>
      <c r="I290" s="88"/>
      <c r="J290" s="88"/>
      <c r="K290" s="88"/>
      <c r="L290" s="88"/>
      <c r="M290" s="88"/>
      <c r="N290" s="88"/>
      <c r="O290" s="88"/>
      <c r="P290" s="88"/>
      <c r="Q290" s="88"/>
      <c r="R290" s="88"/>
      <c r="S290" s="88"/>
      <c r="T290" s="83"/>
    </row>
    <row r="291" spans="1:20" ht="101.5" x14ac:dyDescent="0.35">
      <c r="B291" s="101" t="s">
        <v>869</v>
      </c>
      <c r="C291" s="129" t="s">
        <v>549</v>
      </c>
      <c r="D291" s="102" t="s">
        <v>870</v>
      </c>
      <c r="E291" s="103" t="s">
        <v>871</v>
      </c>
      <c r="F291" s="104" t="s">
        <v>872</v>
      </c>
      <c r="G291" s="88"/>
      <c r="H291" s="88"/>
      <c r="I291" s="88"/>
      <c r="J291" s="88"/>
      <c r="K291" s="88"/>
      <c r="L291" s="88"/>
      <c r="M291" s="88"/>
      <c r="N291" s="88"/>
      <c r="O291" s="88"/>
      <c r="P291" s="88"/>
      <c r="Q291" s="88"/>
      <c r="R291" s="88"/>
      <c r="S291" s="88"/>
      <c r="T291" s="88"/>
    </row>
    <row r="292" spans="1:20" ht="188.5" x14ac:dyDescent="0.35">
      <c r="B292" s="101" t="s">
        <v>873</v>
      </c>
      <c r="C292" s="129" t="s">
        <v>549</v>
      </c>
      <c r="D292" s="102" t="s">
        <v>870</v>
      </c>
      <c r="E292" s="103" t="s">
        <v>874</v>
      </c>
      <c r="F292" s="104" t="s">
        <v>872</v>
      </c>
      <c r="G292" s="88"/>
      <c r="H292" s="88"/>
      <c r="I292" s="88"/>
      <c r="J292" s="88"/>
      <c r="K292" s="88"/>
      <c r="L292" s="88"/>
      <c r="M292" s="88"/>
      <c r="N292" s="88"/>
      <c r="O292" s="88"/>
      <c r="P292" s="88"/>
      <c r="Q292" s="88"/>
      <c r="R292" s="88"/>
      <c r="S292" s="88"/>
      <c r="T292" s="88"/>
    </row>
    <row r="293" spans="1:20" ht="116" x14ac:dyDescent="0.35">
      <c r="B293" s="101" t="s">
        <v>875</v>
      </c>
      <c r="C293" s="129" t="s">
        <v>549</v>
      </c>
      <c r="D293" s="102" t="s">
        <v>870</v>
      </c>
      <c r="E293" s="103" t="s">
        <v>876</v>
      </c>
      <c r="F293" s="104" t="s">
        <v>872</v>
      </c>
      <c r="G293" s="88"/>
      <c r="H293" s="88"/>
      <c r="I293" s="88"/>
      <c r="J293" s="88"/>
      <c r="K293" s="88"/>
      <c r="L293" s="88"/>
      <c r="M293" s="88"/>
      <c r="N293" s="88"/>
      <c r="O293" s="88"/>
      <c r="P293" s="88"/>
      <c r="Q293" s="88"/>
      <c r="R293" s="88"/>
      <c r="S293" s="88"/>
      <c r="T293" s="88"/>
    </row>
    <row r="294" spans="1:20" ht="145" x14ac:dyDescent="0.35">
      <c r="B294" s="101" t="s">
        <v>877</v>
      </c>
      <c r="C294" s="129" t="s">
        <v>549</v>
      </c>
      <c r="D294" s="102" t="s">
        <v>870</v>
      </c>
      <c r="E294" s="103" t="s">
        <v>878</v>
      </c>
      <c r="F294" s="104" t="s">
        <v>872</v>
      </c>
      <c r="G294" s="88"/>
      <c r="H294" s="88"/>
      <c r="I294" s="88"/>
      <c r="J294" s="88"/>
      <c r="K294" s="88"/>
      <c r="L294" s="88"/>
      <c r="M294" s="88"/>
      <c r="N294" s="88"/>
      <c r="O294" s="88"/>
      <c r="P294" s="88"/>
      <c r="Q294" s="88"/>
      <c r="R294" s="88"/>
      <c r="S294" s="88"/>
      <c r="T294" s="88"/>
    </row>
    <row r="295" spans="1:20" ht="409.5" x14ac:dyDescent="0.35">
      <c r="B295" s="101" t="s">
        <v>879</v>
      </c>
      <c r="C295" s="129" t="s">
        <v>549</v>
      </c>
      <c r="D295" s="102" t="s">
        <v>841</v>
      </c>
      <c r="E295" s="103" t="s">
        <v>880</v>
      </c>
      <c r="F295" s="104"/>
      <c r="G295" s="88"/>
      <c r="H295" s="88"/>
      <c r="I295" s="88"/>
      <c r="J295" s="88"/>
      <c r="K295" s="88"/>
      <c r="L295" s="88"/>
      <c r="M295" s="88"/>
      <c r="N295" s="88"/>
      <c r="O295" s="88"/>
      <c r="P295" s="88"/>
      <c r="Q295" s="88"/>
      <c r="R295" s="88"/>
      <c r="S295" s="88"/>
      <c r="T295" s="88"/>
    </row>
    <row r="296" spans="1:20" ht="174" x14ac:dyDescent="0.35">
      <c r="B296" s="101" t="s">
        <v>881</v>
      </c>
      <c r="C296" s="129" t="s">
        <v>549</v>
      </c>
      <c r="D296" s="102" t="s">
        <v>841</v>
      </c>
      <c r="E296" s="103" t="s">
        <v>882</v>
      </c>
      <c r="F296" s="104"/>
      <c r="G296" s="88"/>
      <c r="H296" s="88"/>
      <c r="I296" s="88"/>
      <c r="J296" s="88"/>
      <c r="K296" s="88"/>
      <c r="L296" s="88"/>
      <c r="M296" s="88"/>
      <c r="N296" s="88"/>
      <c r="O296" s="88"/>
      <c r="P296" s="88"/>
      <c r="Q296" s="88"/>
      <c r="R296" s="88"/>
      <c r="S296" s="88"/>
      <c r="T296" s="88"/>
    </row>
    <row r="297" spans="1:20" ht="43.5" x14ac:dyDescent="0.35">
      <c r="B297" s="101" t="s">
        <v>883</v>
      </c>
      <c r="C297" s="129" t="s">
        <v>549</v>
      </c>
      <c r="D297" s="102" t="s">
        <v>841</v>
      </c>
      <c r="E297" s="103" t="s">
        <v>884</v>
      </c>
      <c r="F297" s="104"/>
      <c r="G297" s="88"/>
      <c r="H297" s="88"/>
      <c r="I297" s="88"/>
      <c r="J297" s="88"/>
      <c r="K297" s="88"/>
      <c r="L297" s="88"/>
      <c r="M297" s="88"/>
      <c r="N297" s="88"/>
      <c r="O297" s="88"/>
      <c r="P297" s="88"/>
      <c r="Q297" s="88"/>
      <c r="R297" s="88"/>
      <c r="S297" s="88"/>
      <c r="T297" s="88"/>
    </row>
    <row r="298" spans="1:20" x14ac:dyDescent="0.35">
      <c r="B298" s="166" t="s">
        <v>914</v>
      </c>
      <c r="C298" s="97" t="s">
        <v>915</v>
      </c>
      <c r="D298" s="98"/>
      <c r="E298" s="99"/>
      <c r="F298" s="160" t="s">
        <v>916</v>
      </c>
      <c r="G298" s="88"/>
      <c r="H298" s="88"/>
      <c r="I298" s="88"/>
      <c r="J298" s="88"/>
      <c r="K298" s="88"/>
      <c r="L298" s="88"/>
      <c r="M298" s="88"/>
      <c r="N298" s="88"/>
      <c r="O298" s="88"/>
      <c r="P298" s="88"/>
      <c r="Q298" s="88"/>
      <c r="R298" s="88"/>
      <c r="S298" s="88"/>
      <c r="T298" s="88"/>
    </row>
    <row r="299" spans="1:20" ht="261" x14ac:dyDescent="0.35">
      <c r="B299" s="101" t="s">
        <v>116</v>
      </c>
      <c r="C299" s="129" t="s">
        <v>549</v>
      </c>
      <c r="D299" s="102" t="s">
        <v>841</v>
      </c>
      <c r="E299" s="103" t="s">
        <v>842</v>
      </c>
      <c r="F299" s="104"/>
      <c r="G299" s="88"/>
      <c r="H299" s="88"/>
      <c r="I299" s="88"/>
      <c r="J299" s="88"/>
      <c r="K299" s="88"/>
      <c r="L299" s="88"/>
      <c r="M299" s="88"/>
      <c r="N299" s="88"/>
      <c r="O299" s="88"/>
      <c r="P299" s="88"/>
      <c r="Q299" s="88"/>
      <c r="R299" s="88"/>
      <c r="S299" s="88"/>
      <c r="T299" s="88"/>
    </row>
    <row r="300" spans="1:20" ht="409.5" x14ac:dyDescent="0.35">
      <c r="A300" s="87"/>
      <c r="B300" s="101" t="s">
        <v>843</v>
      </c>
      <c r="C300" s="129" t="s">
        <v>549</v>
      </c>
      <c r="D300" s="102" t="s">
        <v>886</v>
      </c>
      <c r="E300" s="103" t="s">
        <v>845</v>
      </c>
      <c r="F300" s="104" t="s">
        <v>846</v>
      </c>
      <c r="G300" s="83"/>
      <c r="H300" s="88"/>
      <c r="I300" s="88"/>
      <c r="J300" s="88"/>
      <c r="K300" s="88"/>
      <c r="L300" s="88"/>
      <c r="M300" s="88"/>
      <c r="N300" s="88"/>
      <c r="O300" s="88"/>
      <c r="P300" s="88"/>
      <c r="Q300" s="88"/>
      <c r="R300" s="88"/>
      <c r="S300" s="88"/>
      <c r="T300" s="83"/>
    </row>
    <row r="301" spans="1:20" ht="348" x14ac:dyDescent="0.35">
      <c r="A301" s="87"/>
      <c r="B301" s="101" t="s">
        <v>887</v>
      </c>
      <c r="C301" s="129" t="s">
        <v>549</v>
      </c>
      <c r="D301" s="102" t="s">
        <v>852</v>
      </c>
      <c r="E301" s="103" t="s">
        <v>849</v>
      </c>
      <c r="F301" s="104" t="s">
        <v>888</v>
      </c>
      <c r="G301" s="83"/>
      <c r="H301" s="88"/>
      <c r="I301" s="88"/>
      <c r="J301" s="88"/>
      <c r="K301" s="88"/>
      <c r="L301" s="88"/>
      <c r="M301" s="88"/>
      <c r="N301" s="88"/>
      <c r="O301" s="88"/>
      <c r="P301" s="88"/>
      <c r="Q301" s="88"/>
      <c r="R301" s="88"/>
      <c r="S301" s="88"/>
      <c r="T301" s="83"/>
    </row>
    <row r="302" spans="1:20" ht="232" x14ac:dyDescent="0.35">
      <c r="A302" s="87"/>
      <c r="B302" s="101" t="s">
        <v>851</v>
      </c>
      <c r="C302" s="129" t="s">
        <v>549</v>
      </c>
      <c r="D302" s="102" t="s">
        <v>852</v>
      </c>
      <c r="E302" s="103" t="s">
        <v>902</v>
      </c>
      <c r="F302" s="104" t="s">
        <v>854</v>
      </c>
      <c r="G302" s="83"/>
      <c r="H302" s="88"/>
      <c r="I302" s="88"/>
      <c r="J302" s="88"/>
      <c r="K302" s="88"/>
      <c r="L302" s="88"/>
      <c r="M302" s="88"/>
      <c r="N302" s="88"/>
      <c r="O302" s="88"/>
      <c r="P302" s="88"/>
      <c r="Q302" s="88"/>
      <c r="R302" s="88"/>
      <c r="S302" s="88"/>
      <c r="T302" s="83"/>
    </row>
    <row r="303" spans="1:20" ht="159.5" x14ac:dyDescent="0.35">
      <c r="A303" s="87"/>
      <c r="B303" s="101" t="s">
        <v>378</v>
      </c>
      <c r="C303" s="129" t="s">
        <v>549</v>
      </c>
      <c r="D303" s="102" t="s">
        <v>852</v>
      </c>
      <c r="E303" s="103" t="s">
        <v>889</v>
      </c>
      <c r="F303" s="104"/>
      <c r="G303" s="83"/>
      <c r="H303" s="130"/>
      <c r="I303" s="130"/>
      <c r="J303" s="130"/>
      <c r="K303" s="130"/>
      <c r="L303" s="130"/>
      <c r="M303" s="130"/>
      <c r="N303" s="130"/>
      <c r="O303" s="130"/>
      <c r="P303" s="130"/>
      <c r="Q303" s="130"/>
      <c r="R303" s="130"/>
      <c r="S303" s="130"/>
      <c r="T303" s="83"/>
    </row>
    <row r="304" spans="1:20" ht="275.5" x14ac:dyDescent="0.35">
      <c r="A304" s="87"/>
      <c r="B304" s="159" t="s">
        <v>126</v>
      </c>
      <c r="C304" s="129" t="s">
        <v>549</v>
      </c>
      <c r="D304" s="102" t="s">
        <v>856</v>
      </c>
      <c r="E304" s="103" t="s">
        <v>857</v>
      </c>
      <c r="F304" s="104" t="s">
        <v>858</v>
      </c>
      <c r="G304" s="83"/>
      <c r="H304" s="88"/>
      <c r="I304" s="88"/>
      <c r="J304" s="88"/>
      <c r="K304" s="88"/>
      <c r="L304" s="88"/>
      <c r="M304" s="88"/>
      <c r="N304" s="88"/>
      <c r="O304" s="88"/>
      <c r="P304" s="88"/>
      <c r="Q304" s="88"/>
      <c r="R304" s="88"/>
      <c r="S304" s="88"/>
      <c r="T304" s="83"/>
    </row>
    <row r="305" spans="1:20" ht="58" x14ac:dyDescent="0.35">
      <c r="A305" s="87"/>
      <c r="B305" s="159" t="s">
        <v>383</v>
      </c>
      <c r="C305" s="129" t="s">
        <v>549</v>
      </c>
      <c r="D305" s="102" t="s">
        <v>856</v>
      </c>
      <c r="E305" s="103" t="s">
        <v>859</v>
      </c>
      <c r="F305" s="104" t="s">
        <v>860</v>
      </c>
      <c r="G305" s="83"/>
      <c r="H305" s="88"/>
      <c r="I305" s="88"/>
      <c r="J305" s="88"/>
      <c r="K305" s="88"/>
      <c r="L305" s="88"/>
      <c r="M305" s="88"/>
      <c r="N305" s="88"/>
      <c r="O305" s="88"/>
      <c r="P305" s="88"/>
      <c r="Q305" s="88"/>
      <c r="R305" s="88"/>
      <c r="S305" s="88"/>
      <c r="T305" s="83"/>
    </row>
    <row r="306" spans="1:20" ht="130.5" x14ac:dyDescent="0.35">
      <c r="B306" s="159" t="s">
        <v>861</v>
      </c>
      <c r="C306" s="129" t="s">
        <v>549</v>
      </c>
      <c r="D306" s="102" t="s">
        <v>841</v>
      </c>
      <c r="E306" s="103" t="s">
        <v>862</v>
      </c>
      <c r="F306" s="104" t="s">
        <v>863</v>
      </c>
      <c r="G306" s="88"/>
      <c r="H306" s="88"/>
      <c r="I306" s="88"/>
      <c r="J306" s="88"/>
      <c r="K306" s="88"/>
      <c r="L306" s="88"/>
      <c r="M306" s="88"/>
      <c r="N306" s="88"/>
      <c r="O306" s="88"/>
      <c r="P306" s="88"/>
      <c r="Q306" s="88"/>
      <c r="R306" s="88"/>
      <c r="S306" s="88"/>
      <c r="T306" s="88"/>
    </row>
    <row r="307" spans="1:20" ht="406" x14ac:dyDescent="0.35">
      <c r="A307" s="87"/>
      <c r="B307" s="159" t="s">
        <v>864</v>
      </c>
      <c r="C307" s="129" t="s">
        <v>549</v>
      </c>
      <c r="D307" s="102" t="s">
        <v>865</v>
      </c>
      <c r="E307" s="103" t="s">
        <v>866</v>
      </c>
      <c r="F307" s="104" t="s">
        <v>867</v>
      </c>
      <c r="G307" s="83"/>
      <c r="H307" s="88"/>
      <c r="I307" s="88"/>
      <c r="J307" s="88"/>
      <c r="K307" s="88"/>
      <c r="L307" s="88"/>
      <c r="M307" s="88"/>
      <c r="N307" s="88"/>
      <c r="O307" s="88"/>
      <c r="P307" s="88"/>
      <c r="Q307" s="88"/>
      <c r="R307" s="88"/>
      <c r="S307" s="88"/>
      <c r="T307" s="83"/>
    </row>
    <row r="308" spans="1:20" ht="159.5" x14ac:dyDescent="0.35">
      <c r="A308" s="87"/>
      <c r="B308" s="159" t="s">
        <v>381</v>
      </c>
      <c r="C308" s="129" t="s">
        <v>549</v>
      </c>
      <c r="D308" s="102" t="s">
        <v>865</v>
      </c>
      <c r="E308" s="103" t="s">
        <v>868</v>
      </c>
      <c r="F308" s="104" t="s">
        <v>860</v>
      </c>
      <c r="G308" s="83"/>
      <c r="H308" s="88"/>
      <c r="I308" s="88"/>
      <c r="J308" s="88"/>
      <c r="K308" s="88"/>
      <c r="L308" s="88"/>
      <c r="M308" s="88"/>
      <c r="N308" s="88"/>
      <c r="O308" s="88"/>
      <c r="P308" s="88"/>
      <c r="Q308" s="88"/>
      <c r="R308" s="88"/>
      <c r="S308" s="88"/>
      <c r="T308" s="83"/>
    </row>
    <row r="309" spans="1:20" ht="101.5" x14ac:dyDescent="0.35">
      <c r="B309" s="101" t="s">
        <v>869</v>
      </c>
      <c r="C309" s="129" t="s">
        <v>549</v>
      </c>
      <c r="D309" s="102" t="s">
        <v>870</v>
      </c>
      <c r="E309" s="103" t="s">
        <v>871</v>
      </c>
      <c r="F309" s="104" t="s">
        <v>872</v>
      </c>
      <c r="G309" s="88"/>
      <c r="H309" s="88"/>
      <c r="I309" s="88"/>
      <c r="J309" s="88"/>
      <c r="K309" s="88"/>
      <c r="L309" s="88"/>
      <c r="M309" s="88"/>
      <c r="N309" s="88"/>
      <c r="O309" s="88"/>
      <c r="P309" s="88"/>
      <c r="Q309" s="88"/>
      <c r="R309" s="88"/>
      <c r="S309" s="88"/>
      <c r="T309" s="88"/>
    </row>
    <row r="310" spans="1:20" ht="188.5" x14ac:dyDescent="0.35">
      <c r="B310" s="101" t="s">
        <v>873</v>
      </c>
      <c r="C310" s="129" t="s">
        <v>549</v>
      </c>
      <c r="D310" s="102" t="s">
        <v>870</v>
      </c>
      <c r="E310" s="103" t="s">
        <v>874</v>
      </c>
      <c r="F310" s="104" t="s">
        <v>872</v>
      </c>
      <c r="G310" s="88"/>
      <c r="H310" s="88"/>
      <c r="I310" s="88"/>
      <c r="J310" s="88"/>
      <c r="K310" s="88"/>
      <c r="L310" s="88"/>
      <c r="M310" s="88"/>
      <c r="N310" s="88"/>
      <c r="O310" s="88"/>
      <c r="P310" s="88"/>
      <c r="Q310" s="88"/>
      <c r="R310" s="88"/>
      <c r="S310" s="88"/>
      <c r="T310" s="88"/>
    </row>
    <row r="311" spans="1:20" ht="116" x14ac:dyDescent="0.35">
      <c r="B311" s="101" t="s">
        <v>875</v>
      </c>
      <c r="C311" s="129" t="s">
        <v>549</v>
      </c>
      <c r="D311" s="102" t="s">
        <v>870</v>
      </c>
      <c r="E311" s="103" t="s">
        <v>876</v>
      </c>
      <c r="F311" s="104" t="s">
        <v>872</v>
      </c>
      <c r="G311" s="88"/>
      <c r="H311" s="88"/>
      <c r="I311" s="88"/>
      <c r="J311" s="88"/>
      <c r="K311" s="88"/>
      <c r="L311" s="88"/>
      <c r="M311" s="88"/>
      <c r="N311" s="88"/>
      <c r="O311" s="88"/>
      <c r="P311" s="88"/>
      <c r="Q311" s="88"/>
      <c r="R311" s="88"/>
      <c r="S311" s="88"/>
      <c r="T311" s="88"/>
    </row>
    <row r="312" spans="1:20" ht="145" x14ac:dyDescent="0.35">
      <c r="B312" s="101" t="s">
        <v>877</v>
      </c>
      <c r="C312" s="129" t="s">
        <v>549</v>
      </c>
      <c r="D312" s="102" t="s">
        <v>870</v>
      </c>
      <c r="E312" s="103" t="s">
        <v>878</v>
      </c>
      <c r="F312" s="104" t="s">
        <v>872</v>
      </c>
      <c r="G312" s="88"/>
      <c r="H312" s="88"/>
      <c r="I312" s="88"/>
      <c r="J312" s="88"/>
      <c r="K312" s="88"/>
      <c r="L312" s="88"/>
      <c r="M312" s="88"/>
      <c r="N312" s="88"/>
      <c r="O312" s="88"/>
      <c r="P312" s="88"/>
      <c r="Q312" s="88"/>
      <c r="R312" s="88"/>
      <c r="S312" s="88"/>
      <c r="T312" s="88"/>
    </row>
    <row r="313" spans="1:20" ht="409.5" x14ac:dyDescent="0.35">
      <c r="B313" s="101" t="s">
        <v>879</v>
      </c>
      <c r="C313" s="129" t="s">
        <v>549</v>
      </c>
      <c r="D313" s="102" t="s">
        <v>841</v>
      </c>
      <c r="E313" s="103" t="s">
        <v>880</v>
      </c>
      <c r="F313" s="104"/>
      <c r="G313" s="88"/>
      <c r="H313" s="88"/>
      <c r="I313" s="88"/>
      <c r="J313" s="88"/>
      <c r="K313" s="88"/>
      <c r="L313" s="88"/>
      <c r="M313" s="88"/>
      <c r="N313" s="88"/>
      <c r="O313" s="88"/>
      <c r="P313" s="88"/>
      <c r="Q313" s="88"/>
      <c r="R313" s="88"/>
      <c r="S313" s="88"/>
      <c r="T313" s="88"/>
    </row>
    <row r="314" spans="1:20" ht="174" x14ac:dyDescent="0.35">
      <c r="B314" s="101" t="s">
        <v>881</v>
      </c>
      <c r="C314" s="129" t="s">
        <v>549</v>
      </c>
      <c r="D314" s="102" t="s">
        <v>841</v>
      </c>
      <c r="E314" s="103" t="s">
        <v>882</v>
      </c>
      <c r="F314" s="104"/>
      <c r="G314" s="88"/>
      <c r="H314" s="88"/>
      <c r="I314" s="88"/>
      <c r="J314" s="88"/>
      <c r="K314" s="88"/>
      <c r="L314" s="88"/>
      <c r="M314" s="88"/>
      <c r="N314" s="88"/>
      <c r="O314" s="88"/>
      <c r="P314" s="88"/>
      <c r="Q314" s="88"/>
      <c r="R314" s="88"/>
      <c r="S314" s="88"/>
      <c r="T314" s="88"/>
    </row>
    <row r="315" spans="1:20" ht="43.5" x14ac:dyDescent="0.35">
      <c r="B315" s="101" t="s">
        <v>883</v>
      </c>
      <c r="C315" s="129" t="s">
        <v>549</v>
      </c>
      <c r="D315" s="102" t="s">
        <v>841</v>
      </c>
      <c r="E315" s="103" t="s">
        <v>884</v>
      </c>
      <c r="F315" s="104"/>
      <c r="G315" s="88"/>
      <c r="H315" s="88"/>
      <c r="I315" s="88"/>
      <c r="J315" s="88"/>
      <c r="K315" s="88"/>
      <c r="L315" s="88"/>
      <c r="M315" s="88"/>
      <c r="N315" s="88"/>
      <c r="O315" s="88"/>
      <c r="P315" s="88"/>
      <c r="Q315" s="88"/>
      <c r="R315" s="88"/>
      <c r="S315" s="88"/>
      <c r="T315" s="88"/>
    </row>
    <row r="316" spans="1:20" x14ac:dyDescent="0.35">
      <c r="B316" s="166" t="s">
        <v>917</v>
      </c>
      <c r="C316" s="97" t="s">
        <v>918</v>
      </c>
      <c r="D316" s="98"/>
      <c r="E316" s="99"/>
      <c r="F316" s="160" t="s">
        <v>919</v>
      </c>
      <c r="G316" s="88"/>
      <c r="H316" s="88"/>
      <c r="I316" s="88"/>
      <c r="J316" s="88"/>
      <c r="K316" s="88"/>
      <c r="L316" s="88"/>
      <c r="M316" s="88"/>
      <c r="N316" s="88"/>
      <c r="O316" s="88"/>
      <c r="P316" s="88"/>
      <c r="Q316" s="88"/>
      <c r="R316" s="88"/>
      <c r="S316" s="88"/>
      <c r="T316" s="88"/>
    </row>
    <row r="317" spans="1:20" ht="261" x14ac:dyDescent="0.35">
      <c r="B317" s="101" t="s">
        <v>116</v>
      </c>
      <c r="C317" s="129" t="s">
        <v>549</v>
      </c>
      <c r="D317" s="102" t="s">
        <v>841</v>
      </c>
      <c r="E317" s="103" t="s">
        <v>842</v>
      </c>
      <c r="F317" s="104"/>
      <c r="G317" s="88"/>
      <c r="H317" s="88"/>
      <c r="I317" s="88"/>
      <c r="J317" s="88"/>
      <c r="K317" s="88"/>
      <c r="L317" s="88"/>
      <c r="M317" s="88"/>
      <c r="N317" s="88"/>
      <c r="O317" s="88"/>
      <c r="P317" s="88"/>
      <c r="Q317" s="88"/>
      <c r="R317" s="88"/>
      <c r="S317" s="88"/>
      <c r="T317" s="88"/>
    </row>
    <row r="318" spans="1:20" ht="409.5" x14ac:dyDescent="0.35">
      <c r="A318" s="87"/>
      <c r="B318" s="101" t="s">
        <v>843</v>
      </c>
      <c r="C318" s="129" t="s">
        <v>549</v>
      </c>
      <c r="D318" s="102" t="s">
        <v>886</v>
      </c>
      <c r="E318" s="103" t="s">
        <v>845</v>
      </c>
      <c r="F318" s="104" t="s">
        <v>846</v>
      </c>
      <c r="G318" s="83"/>
      <c r="H318" s="88"/>
      <c r="I318" s="88"/>
      <c r="J318" s="88"/>
      <c r="K318" s="88"/>
      <c r="L318" s="88"/>
      <c r="M318" s="88"/>
      <c r="N318" s="88"/>
      <c r="O318" s="88"/>
      <c r="P318" s="88"/>
      <c r="Q318" s="88"/>
      <c r="R318" s="88"/>
      <c r="S318" s="88"/>
      <c r="T318" s="83"/>
    </row>
    <row r="319" spans="1:20" ht="348" x14ac:dyDescent="0.35">
      <c r="A319" s="87"/>
      <c r="B319" s="101" t="s">
        <v>887</v>
      </c>
      <c r="C319" s="129" t="s">
        <v>549</v>
      </c>
      <c r="D319" s="102" t="s">
        <v>852</v>
      </c>
      <c r="E319" s="103" t="s">
        <v>849</v>
      </c>
      <c r="F319" s="104" t="s">
        <v>888</v>
      </c>
      <c r="G319" s="83"/>
      <c r="H319" s="88"/>
      <c r="I319" s="88"/>
      <c r="J319" s="88"/>
      <c r="K319" s="88"/>
      <c r="L319" s="88"/>
      <c r="M319" s="88"/>
      <c r="N319" s="88"/>
      <c r="O319" s="88"/>
      <c r="P319" s="88"/>
      <c r="Q319" s="88"/>
      <c r="R319" s="88"/>
      <c r="S319" s="88"/>
      <c r="T319" s="83"/>
    </row>
    <row r="320" spans="1:20" ht="246.5" x14ac:dyDescent="0.35">
      <c r="A320" s="87"/>
      <c r="B320" s="101" t="s">
        <v>851</v>
      </c>
      <c r="C320" s="129" t="s">
        <v>549</v>
      </c>
      <c r="D320" s="102" t="s">
        <v>852</v>
      </c>
      <c r="E320" s="103" t="s">
        <v>896</v>
      </c>
      <c r="F320" s="104" t="s">
        <v>854</v>
      </c>
      <c r="G320" s="83"/>
      <c r="H320" s="88"/>
      <c r="I320" s="88"/>
      <c r="J320" s="88"/>
      <c r="K320" s="88"/>
      <c r="L320" s="88"/>
      <c r="M320" s="88"/>
      <c r="N320" s="88"/>
      <c r="O320" s="88"/>
      <c r="P320" s="88"/>
      <c r="Q320" s="88"/>
      <c r="R320" s="88"/>
      <c r="S320" s="88"/>
      <c r="T320" s="83"/>
    </row>
    <row r="321" spans="1:20" ht="159.5" x14ac:dyDescent="0.35">
      <c r="A321" s="87"/>
      <c r="B321" s="101" t="s">
        <v>378</v>
      </c>
      <c r="C321" s="129" t="s">
        <v>549</v>
      </c>
      <c r="D321" s="102" t="s">
        <v>852</v>
      </c>
      <c r="E321" s="103" t="s">
        <v>889</v>
      </c>
      <c r="F321" s="104"/>
      <c r="G321" s="83"/>
      <c r="H321" s="130"/>
      <c r="I321" s="130"/>
      <c r="J321" s="130"/>
      <c r="K321" s="130"/>
      <c r="L321" s="130"/>
      <c r="M321" s="130"/>
      <c r="N321" s="130"/>
      <c r="O321" s="130"/>
      <c r="P321" s="130"/>
      <c r="Q321" s="130"/>
      <c r="R321" s="130"/>
      <c r="S321" s="130"/>
      <c r="T321" s="83"/>
    </row>
    <row r="322" spans="1:20" ht="275.5" x14ac:dyDescent="0.35">
      <c r="A322" s="87"/>
      <c r="B322" s="159" t="s">
        <v>126</v>
      </c>
      <c r="C322" s="129" t="s">
        <v>549</v>
      </c>
      <c r="D322" s="102" t="s">
        <v>856</v>
      </c>
      <c r="E322" s="103" t="s">
        <v>857</v>
      </c>
      <c r="F322" s="104" t="s">
        <v>858</v>
      </c>
      <c r="G322" s="83"/>
      <c r="H322" s="88"/>
      <c r="I322" s="88"/>
      <c r="J322" s="88"/>
      <c r="K322" s="88"/>
      <c r="L322" s="88"/>
      <c r="M322" s="88"/>
      <c r="N322" s="88"/>
      <c r="O322" s="88"/>
      <c r="P322" s="88"/>
      <c r="Q322" s="88"/>
      <c r="R322" s="88"/>
      <c r="S322" s="88"/>
      <c r="T322" s="83"/>
    </row>
    <row r="323" spans="1:20" ht="58" x14ac:dyDescent="0.35">
      <c r="A323" s="87"/>
      <c r="B323" s="159" t="s">
        <v>383</v>
      </c>
      <c r="C323" s="129" t="s">
        <v>549</v>
      </c>
      <c r="D323" s="102" t="s">
        <v>856</v>
      </c>
      <c r="E323" s="103" t="s">
        <v>859</v>
      </c>
      <c r="F323" s="104" t="s">
        <v>860</v>
      </c>
      <c r="G323" s="83"/>
      <c r="H323" s="88"/>
      <c r="I323" s="88"/>
      <c r="J323" s="88"/>
      <c r="K323" s="88"/>
      <c r="L323" s="88"/>
      <c r="M323" s="88"/>
      <c r="N323" s="88"/>
      <c r="O323" s="88"/>
      <c r="P323" s="88"/>
      <c r="Q323" s="88"/>
      <c r="R323" s="88"/>
      <c r="S323" s="88"/>
      <c r="T323" s="83"/>
    </row>
    <row r="324" spans="1:20" ht="130.5" x14ac:dyDescent="0.35">
      <c r="B324" s="159" t="s">
        <v>861</v>
      </c>
      <c r="C324" s="129" t="s">
        <v>549</v>
      </c>
      <c r="D324" s="102" t="s">
        <v>841</v>
      </c>
      <c r="E324" s="103" t="s">
        <v>862</v>
      </c>
      <c r="F324" s="104" t="s">
        <v>863</v>
      </c>
      <c r="G324" s="88"/>
      <c r="H324" s="88"/>
      <c r="I324" s="88"/>
      <c r="J324" s="88"/>
      <c r="K324" s="88"/>
      <c r="L324" s="88"/>
      <c r="M324" s="88"/>
      <c r="N324" s="88"/>
      <c r="O324" s="88"/>
      <c r="P324" s="88"/>
      <c r="Q324" s="88"/>
      <c r="R324" s="88"/>
      <c r="S324" s="88"/>
      <c r="T324" s="88"/>
    </row>
    <row r="325" spans="1:20" ht="406" x14ac:dyDescent="0.35">
      <c r="A325" s="87"/>
      <c r="B325" s="159" t="s">
        <v>864</v>
      </c>
      <c r="C325" s="129" t="s">
        <v>549</v>
      </c>
      <c r="D325" s="102" t="s">
        <v>865</v>
      </c>
      <c r="E325" s="103" t="s">
        <v>866</v>
      </c>
      <c r="F325" s="104" t="s">
        <v>867</v>
      </c>
      <c r="G325" s="83"/>
      <c r="H325" s="88"/>
      <c r="I325" s="88"/>
      <c r="J325" s="88"/>
      <c r="K325" s="88"/>
      <c r="L325" s="88"/>
      <c r="M325" s="88"/>
      <c r="N325" s="88"/>
      <c r="O325" s="88"/>
      <c r="P325" s="88"/>
      <c r="Q325" s="88"/>
      <c r="R325" s="88"/>
      <c r="S325" s="88"/>
      <c r="T325" s="83"/>
    </row>
    <row r="326" spans="1:20" ht="159.5" x14ac:dyDescent="0.35">
      <c r="A326" s="87"/>
      <c r="B326" s="159" t="s">
        <v>381</v>
      </c>
      <c r="C326" s="129" t="s">
        <v>549</v>
      </c>
      <c r="D326" s="102" t="s">
        <v>865</v>
      </c>
      <c r="E326" s="103" t="s">
        <v>868</v>
      </c>
      <c r="F326" s="104" t="s">
        <v>860</v>
      </c>
      <c r="G326" s="83"/>
      <c r="H326" s="88"/>
      <c r="I326" s="88"/>
      <c r="J326" s="88"/>
      <c r="K326" s="88"/>
      <c r="L326" s="88"/>
      <c r="M326" s="88"/>
      <c r="N326" s="88"/>
      <c r="O326" s="88"/>
      <c r="P326" s="88"/>
      <c r="Q326" s="88"/>
      <c r="R326" s="88"/>
      <c r="S326" s="88"/>
      <c r="T326" s="83"/>
    </row>
    <row r="327" spans="1:20" ht="101.5" x14ac:dyDescent="0.35">
      <c r="B327" s="101" t="s">
        <v>869</v>
      </c>
      <c r="C327" s="129" t="s">
        <v>549</v>
      </c>
      <c r="D327" s="102" t="s">
        <v>870</v>
      </c>
      <c r="E327" s="103" t="s">
        <v>871</v>
      </c>
      <c r="F327" s="104" t="s">
        <v>872</v>
      </c>
      <c r="G327" s="88"/>
      <c r="H327" s="88"/>
      <c r="I327" s="88"/>
      <c r="J327" s="88"/>
      <c r="K327" s="88"/>
      <c r="L327" s="88"/>
      <c r="M327" s="88"/>
      <c r="N327" s="88"/>
      <c r="O327" s="88"/>
      <c r="P327" s="88"/>
      <c r="Q327" s="88"/>
      <c r="R327" s="88"/>
      <c r="S327" s="88"/>
      <c r="T327" s="88"/>
    </row>
    <row r="328" spans="1:20" ht="188.5" x14ac:dyDescent="0.35">
      <c r="B328" s="101" t="s">
        <v>873</v>
      </c>
      <c r="C328" s="129" t="s">
        <v>549</v>
      </c>
      <c r="D328" s="102" t="s">
        <v>870</v>
      </c>
      <c r="E328" s="103" t="s">
        <v>874</v>
      </c>
      <c r="F328" s="104" t="s">
        <v>872</v>
      </c>
      <c r="G328" s="88"/>
      <c r="H328" s="88"/>
      <c r="I328" s="88"/>
      <c r="J328" s="88"/>
      <c r="K328" s="88"/>
      <c r="L328" s="88"/>
      <c r="M328" s="88"/>
      <c r="N328" s="88"/>
      <c r="O328" s="88"/>
      <c r="P328" s="88"/>
      <c r="Q328" s="88"/>
      <c r="R328" s="88"/>
      <c r="S328" s="88"/>
      <c r="T328" s="88"/>
    </row>
    <row r="329" spans="1:20" ht="116" x14ac:dyDescent="0.35">
      <c r="B329" s="101" t="s">
        <v>875</v>
      </c>
      <c r="C329" s="129" t="s">
        <v>549</v>
      </c>
      <c r="D329" s="102" t="s">
        <v>870</v>
      </c>
      <c r="E329" s="103" t="s">
        <v>876</v>
      </c>
      <c r="F329" s="104" t="s">
        <v>872</v>
      </c>
      <c r="G329" s="88"/>
      <c r="H329" s="88"/>
      <c r="I329" s="88"/>
      <c r="J329" s="88"/>
      <c r="K329" s="88"/>
      <c r="L329" s="88"/>
      <c r="M329" s="88"/>
      <c r="N329" s="88"/>
      <c r="O329" s="88"/>
      <c r="P329" s="88"/>
      <c r="Q329" s="88"/>
      <c r="R329" s="88"/>
      <c r="S329" s="88"/>
      <c r="T329" s="88"/>
    </row>
    <row r="330" spans="1:20" ht="145" x14ac:dyDescent="0.35">
      <c r="B330" s="101" t="s">
        <v>877</v>
      </c>
      <c r="C330" s="129" t="s">
        <v>549</v>
      </c>
      <c r="D330" s="102" t="s">
        <v>870</v>
      </c>
      <c r="E330" s="103" t="s">
        <v>878</v>
      </c>
      <c r="F330" s="104" t="s">
        <v>872</v>
      </c>
      <c r="G330" s="88"/>
      <c r="H330" s="88"/>
      <c r="I330" s="88"/>
      <c r="J330" s="88"/>
      <c r="K330" s="88"/>
      <c r="L330" s="88"/>
      <c r="M330" s="88"/>
      <c r="N330" s="88"/>
      <c r="O330" s="88"/>
      <c r="P330" s="88"/>
      <c r="Q330" s="88"/>
      <c r="R330" s="88"/>
      <c r="S330" s="88"/>
      <c r="T330" s="88"/>
    </row>
    <row r="331" spans="1:20" ht="409.5" x14ac:dyDescent="0.35">
      <c r="B331" s="101" t="s">
        <v>879</v>
      </c>
      <c r="C331" s="129" t="s">
        <v>549</v>
      </c>
      <c r="D331" s="102" t="s">
        <v>841</v>
      </c>
      <c r="E331" s="103" t="s">
        <v>880</v>
      </c>
      <c r="F331" s="104"/>
      <c r="G331" s="88"/>
      <c r="H331" s="88"/>
      <c r="I331" s="88"/>
      <c r="J331" s="88"/>
      <c r="K331" s="88"/>
      <c r="L331" s="88"/>
      <c r="M331" s="88"/>
      <c r="N331" s="88"/>
      <c r="O331" s="88"/>
      <c r="P331" s="88"/>
      <c r="Q331" s="88"/>
      <c r="R331" s="88"/>
      <c r="S331" s="88"/>
      <c r="T331" s="88"/>
    </row>
    <row r="332" spans="1:20" ht="174" x14ac:dyDescent="0.35">
      <c r="B332" s="101" t="s">
        <v>881</v>
      </c>
      <c r="C332" s="129" t="s">
        <v>549</v>
      </c>
      <c r="D332" s="102" t="s">
        <v>841</v>
      </c>
      <c r="E332" s="103" t="s">
        <v>882</v>
      </c>
      <c r="F332" s="104"/>
      <c r="G332" s="88"/>
      <c r="H332" s="88"/>
      <c r="I332" s="88"/>
      <c r="J332" s="88"/>
      <c r="K332" s="88"/>
      <c r="L332" s="88"/>
      <c r="M332" s="88"/>
      <c r="N332" s="88"/>
      <c r="O332" s="88"/>
      <c r="P332" s="88"/>
      <c r="Q332" s="88"/>
      <c r="R332" s="88"/>
      <c r="S332" s="88"/>
      <c r="T332" s="88"/>
    </row>
    <row r="333" spans="1:20" ht="43.5" x14ac:dyDescent="0.35">
      <c r="B333" s="101" t="s">
        <v>883</v>
      </c>
      <c r="C333" s="129" t="s">
        <v>549</v>
      </c>
      <c r="D333" s="102" t="s">
        <v>841</v>
      </c>
      <c r="E333" s="103" t="s">
        <v>884</v>
      </c>
      <c r="F333" s="104"/>
      <c r="G333" s="88"/>
      <c r="H333" s="88"/>
      <c r="I333" s="88"/>
      <c r="J333" s="88"/>
      <c r="K333" s="88"/>
      <c r="L333" s="88"/>
      <c r="M333" s="88"/>
      <c r="N333" s="88"/>
      <c r="O333" s="88"/>
      <c r="P333" s="88"/>
      <c r="Q333" s="88"/>
      <c r="R333" s="88"/>
      <c r="S333" s="88"/>
      <c r="T333" s="88"/>
    </row>
    <row r="334" spans="1:20" ht="15.5" x14ac:dyDescent="0.35">
      <c r="A334" s="87"/>
      <c r="B334" s="92" t="s">
        <v>565</v>
      </c>
      <c r="C334" s="413" t="s">
        <v>920</v>
      </c>
      <c r="D334" s="414"/>
      <c r="E334" s="414"/>
      <c r="F334" s="415"/>
      <c r="G334" s="83"/>
      <c r="H334" s="88"/>
      <c r="I334" s="88"/>
      <c r="J334" s="88"/>
      <c r="K334" s="88"/>
      <c r="L334" s="88"/>
      <c r="M334" s="88"/>
      <c r="N334" s="88"/>
      <c r="O334" s="88"/>
      <c r="P334" s="88"/>
      <c r="Q334" s="88"/>
      <c r="R334" s="88"/>
      <c r="S334" s="88"/>
      <c r="T334" s="83"/>
    </row>
    <row r="335" spans="1:20" x14ac:dyDescent="0.35">
      <c r="A335" s="87"/>
      <c r="B335" s="95" t="s">
        <v>545</v>
      </c>
      <c r="C335" s="416"/>
      <c r="D335" s="417"/>
      <c r="E335" s="417"/>
      <c r="F335" s="418"/>
      <c r="G335" s="83"/>
      <c r="H335" s="88"/>
      <c r="I335" s="88"/>
      <c r="J335" s="88"/>
      <c r="K335" s="88"/>
      <c r="L335" s="88"/>
      <c r="M335" s="88"/>
      <c r="N335" s="88"/>
      <c r="O335" s="88"/>
      <c r="P335" s="88"/>
      <c r="Q335" s="88"/>
      <c r="R335" s="88"/>
      <c r="S335" s="88"/>
      <c r="T335" s="83"/>
    </row>
    <row r="336" spans="1:20" x14ac:dyDescent="0.35">
      <c r="A336" s="87"/>
      <c r="B336" s="96" t="s">
        <v>568</v>
      </c>
      <c r="C336" s="97"/>
      <c r="D336" s="98"/>
      <c r="E336" s="99"/>
      <c r="F336" s="100"/>
      <c r="G336" s="83"/>
      <c r="H336" s="88"/>
      <c r="I336" s="88"/>
      <c r="J336" s="88"/>
      <c r="K336" s="88"/>
      <c r="L336" s="88"/>
      <c r="M336" s="88"/>
      <c r="N336" s="88"/>
      <c r="O336" s="88"/>
      <c r="P336" s="88"/>
      <c r="Q336" s="88"/>
      <c r="R336" s="88"/>
      <c r="S336" s="88"/>
      <c r="T336" s="83"/>
    </row>
    <row r="337" spans="2:20" ht="29" x14ac:dyDescent="0.35">
      <c r="B337" s="101"/>
      <c r="C337" s="129" t="s">
        <v>549</v>
      </c>
      <c r="D337" s="102"/>
      <c r="E337" s="103"/>
      <c r="F337" s="104" t="s">
        <v>921</v>
      </c>
      <c r="G337" s="88"/>
      <c r="H337" s="88"/>
      <c r="I337" s="88"/>
      <c r="J337" s="88"/>
      <c r="K337" s="88"/>
      <c r="L337" s="88"/>
      <c r="M337" s="88"/>
      <c r="N337" s="88"/>
      <c r="O337" s="88"/>
      <c r="P337" s="88"/>
      <c r="Q337" s="88"/>
      <c r="R337" s="88"/>
      <c r="S337" s="88"/>
      <c r="T337" s="83"/>
    </row>
    <row r="338" spans="2:20" ht="15" thickBot="1" x14ac:dyDescent="0.4">
      <c r="B338" s="83"/>
      <c r="C338" s="88"/>
      <c r="D338" s="88"/>
      <c r="E338" s="111"/>
      <c r="F338" s="88"/>
      <c r="G338" s="88"/>
      <c r="H338" s="88"/>
      <c r="I338" s="88"/>
      <c r="J338" s="88"/>
      <c r="K338" s="88"/>
      <c r="L338" s="88"/>
      <c r="M338" s="88"/>
      <c r="N338" s="88"/>
      <c r="O338" s="88"/>
      <c r="P338" s="88"/>
      <c r="Q338" s="88"/>
      <c r="R338" s="88"/>
      <c r="S338" s="88"/>
      <c r="T338" s="88"/>
    </row>
    <row r="339" spans="2:20" ht="15" thickBot="1" x14ac:dyDescent="0.4">
      <c r="B339" s="404" t="s">
        <v>579</v>
      </c>
      <c r="C339" s="405"/>
      <c r="D339" s="405"/>
      <c r="E339" s="405"/>
      <c r="F339" s="406"/>
      <c r="G339" s="88"/>
      <c r="H339" s="88"/>
      <c r="I339" s="88"/>
      <c r="J339" s="88"/>
      <c r="K339" s="88"/>
      <c r="L339" s="88"/>
      <c r="M339" s="88"/>
      <c r="N339" s="88"/>
      <c r="O339" s="88"/>
      <c r="P339" s="88"/>
      <c r="Q339" s="88"/>
      <c r="R339" s="88"/>
      <c r="S339" s="88"/>
      <c r="T339" s="88"/>
    </row>
    <row r="340" spans="2:20" x14ac:dyDescent="0.35">
      <c r="B340" s="239" t="s">
        <v>116</v>
      </c>
      <c r="C340" s="419" t="str">
        <f>IF(AND(D450=0,D451=0,D452=0),"NA",IF(AND(D450&gt;0,D451=0),"NR",IF(D451&gt;0,"NOK","OK")))</f>
        <v>NR</v>
      </c>
      <c r="D340" s="419"/>
      <c r="E340" s="419"/>
      <c r="F340" s="420"/>
      <c r="G340" s="88"/>
      <c r="H340" s="88"/>
      <c r="I340" s="168"/>
      <c r="J340" s="88"/>
      <c r="K340" s="88"/>
      <c r="L340" s="88"/>
      <c r="M340" s="88"/>
      <c r="N340" s="88"/>
      <c r="O340" s="88"/>
      <c r="P340" s="88"/>
      <c r="Q340" s="88"/>
      <c r="R340" s="88"/>
      <c r="S340" s="88"/>
      <c r="T340" s="88"/>
    </row>
    <row r="341" spans="2:20" x14ac:dyDescent="0.35">
      <c r="B341" s="240"/>
      <c r="C341" s="392" t="str">
        <f>IF(AND(D453=0,D454=0,D455=0),"NA",IF(AND(D453&gt;0,D454=0),"NR",IF(D454&gt;0,"NOK","OK")))</f>
        <v>NA</v>
      </c>
      <c r="D341" s="392"/>
      <c r="E341" s="392"/>
      <c r="F341" s="393"/>
      <c r="G341" s="88"/>
      <c r="H341" s="88"/>
      <c r="I341" s="168"/>
      <c r="J341" s="88"/>
      <c r="K341" s="88"/>
      <c r="L341" s="88"/>
      <c r="M341" s="88"/>
      <c r="N341" s="88"/>
      <c r="O341" s="88"/>
      <c r="P341" s="88"/>
      <c r="Q341" s="88"/>
      <c r="R341" s="88"/>
      <c r="S341" s="88"/>
      <c r="T341" s="88"/>
    </row>
    <row r="342" spans="2:20" x14ac:dyDescent="0.35">
      <c r="B342" s="291" t="s">
        <v>861</v>
      </c>
      <c r="C342" s="392" t="str">
        <f>IF(AND(D456=0,D457=0,D458=0),"NA",IF(AND(D456&gt;0,D457=0),"NR",IF(D457&gt;0,"NOK","OK")))</f>
        <v>NR</v>
      </c>
      <c r="D342" s="392"/>
      <c r="E342" s="392"/>
      <c r="F342" s="393"/>
      <c r="G342" s="88"/>
      <c r="H342" s="88"/>
      <c r="I342" s="168"/>
      <c r="J342" s="88"/>
      <c r="K342" s="88"/>
      <c r="L342" s="88"/>
      <c r="M342" s="88"/>
      <c r="N342" s="88"/>
      <c r="O342" s="88"/>
      <c r="P342" s="88"/>
      <c r="Q342" s="88"/>
      <c r="R342" s="88"/>
      <c r="S342" s="88"/>
      <c r="T342" s="88"/>
    </row>
    <row r="343" spans="2:20" x14ac:dyDescent="0.35">
      <c r="B343" s="291" t="s">
        <v>126</v>
      </c>
      <c r="C343" s="392" t="str">
        <f>IF(AND(D459=0,D460=0,D461=0),"NA",IF(AND(D459&gt;0,D460=0),"NR",IF(D460&gt;0,"NOK","OK")))</f>
        <v>NR</v>
      </c>
      <c r="D343" s="392"/>
      <c r="E343" s="392"/>
      <c r="F343" s="393"/>
      <c r="G343" s="88"/>
      <c r="H343" s="88"/>
      <c r="I343" s="168"/>
      <c r="J343" s="88"/>
      <c r="K343" s="88"/>
      <c r="L343" s="88"/>
      <c r="M343" s="88"/>
      <c r="N343" s="88"/>
      <c r="O343" s="88"/>
      <c r="P343" s="88"/>
      <c r="Q343" s="88"/>
      <c r="R343" s="88"/>
      <c r="S343" s="88"/>
      <c r="T343" s="88"/>
    </row>
    <row r="344" spans="2:20" x14ac:dyDescent="0.35">
      <c r="B344" s="291" t="s">
        <v>130</v>
      </c>
      <c r="C344" s="392" t="str">
        <f>IF(AND(D462=0,D463=0,D464=0),"NA",IF(AND(D462&gt;0,D463=0),"NR",IF(D463&gt;0,"NOK","OK")))</f>
        <v>NR</v>
      </c>
      <c r="D344" s="392"/>
      <c r="E344" s="392"/>
      <c r="F344" s="393"/>
      <c r="G344" s="88"/>
      <c r="H344" s="88"/>
      <c r="I344" s="168"/>
      <c r="J344" s="88"/>
      <c r="K344" s="88"/>
      <c r="L344" s="88"/>
      <c r="M344" s="88"/>
      <c r="N344" s="88"/>
      <c r="O344" s="88"/>
      <c r="P344" s="88"/>
      <c r="Q344" s="88"/>
      <c r="R344" s="88"/>
      <c r="S344" s="88"/>
      <c r="T344" s="88"/>
    </row>
    <row r="345" spans="2:20" x14ac:dyDescent="0.35">
      <c r="B345" s="240" t="s">
        <v>135</v>
      </c>
      <c r="C345" s="392" t="str">
        <f>IF(AND(D465=0,D466=0,D467=0),"NA",IF(AND(D465&gt;0,D466=0),"NR",IF(D466&gt;0,"NOK","OK")))</f>
        <v>NR</v>
      </c>
      <c r="D345" s="392"/>
      <c r="E345" s="392"/>
      <c r="F345" s="393"/>
      <c r="G345" s="88"/>
      <c r="H345" s="88"/>
      <c r="I345" s="168"/>
      <c r="J345" s="88"/>
      <c r="K345" s="88"/>
      <c r="L345" s="88"/>
      <c r="M345" s="88"/>
      <c r="N345" s="88"/>
      <c r="O345" s="88"/>
      <c r="P345" s="88"/>
      <c r="Q345" s="88"/>
      <c r="R345" s="88"/>
      <c r="S345" s="88"/>
      <c r="T345" s="88"/>
    </row>
    <row r="346" spans="2:20" x14ac:dyDescent="0.35">
      <c r="B346" s="240" t="s">
        <v>139</v>
      </c>
      <c r="C346" s="392" t="str">
        <f>IF(AND(D468=0,D469=0,D470=0),"NA",IF(AND(D468&gt;0,D469=0),"NR",IF(D469&gt;0,"NOK","OK")))</f>
        <v>NR</v>
      </c>
      <c r="D346" s="392"/>
      <c r="E346" s="392"/>
      <c r="F346" s="393"/>
      <c r="G346" s="88"/>
      <c r="H346" s="88"/>
      <c r="I346" s="168"/>
      <c r="J346" s="88"/>
      <c r="K346" s="88"/>
      <c r="L346" s="88"/>
      <c r="M346" s="88"/>
      <c r="N346" s="88"/>
      <c r="O346" s="88"/>
      <c r="P346" s="88"/>
      <c r="Q346" s="88"/>
      <c r="R346" s="88"/>
      <c r="S346" s="88"/>
      <c r="T346" s="88"/>
    </row>
    <row r="347" spans="2:20" x14ac:dyDescent="0.35">
      <c r="B347" s="240" t="s">
        <v>142</v>
      </c>
      <c r="C347" s="392" t="str">
        <f>IF(AND(D471=0,D472=0,D473=0),"NA",IF(AND(D471&gt;0,D472=0),"NR",IF(D472&gt;0,"NOK","OK")))</f>
        <v>NR</v>
      </c>
      <c r="D347" s="392"/>
      <c r="E347" s="392"/>
      <c r="F347" s="393"/>
      <c r="G347" s="88"/>
      <c r="H347" s="88"/>
      <c r="I347" s="168"/>
      <c r="J347" s="88"/>
      <c r="K347" s="88"/>
      <c r="L347" s="88"/>
      <c r="M347" s="88"/>
      <c r="N347" s="88"/>
      <c r="O347" s="88"/>
      <c r="P347" s="88"/>
      <c r="Q347" s="88"/>
      <c r="R347" s="88"/>
      <c r="S347" s="88"/>
      <c r="T347" s="88"/>
    </row>
    <row r="348" spans="2:20" x14ac:dyDescent="0.35">
      <c r="B348" s="240" t="s">
        <v>145</v>
      </c>
      <c r="C348" s="392" t="str">
        <f>IF(AND(D474=0,D475=0,D476=0),"NA",IF(AND(D474&gt;0,D475=0),"NR",IF(D475&gt;0,"NOK","OK")))</f>
        <v>NR</v>
      </c>
      <c r="D348" s="392"/>
      <c r="E348" s="392"/>
      <c r="F348" s="393"/>
      <c r="G348" s="88"/>
      <c r="H348" s="88"/>
      <c r="I348" s="169"/>
      <c r="J348" s="88"/>
      <c r="K348" s="88"/>
      <c r="L348" s="88"/>
      <c r="M348" s="88"/>
      <c r="N348" s="88"/>
      <c r="O348" s="88"/>
      <c r="P348" s="88"/>
      <c r="Q348" s="88"/>
      <c r="R348" s="88"/>
      <c r="S348" s="88"/>
      <c r="T348" s="88"/>
    </row>
    <row r="349" spans="2:20" x14ac:dyDescent="0.35">
      <c r="B349" s="240" t="s">
        <v>147</v>
      </c>
      <c r="C349" s="392" t="str">
        <f>IF(AND(D477=0,D478=0,D479=0),"NA",IF(AND(D477&gt;0,D478=0),"NR",IF(D478&gt;0,"NOK","OK")))</f>
        <v>NR</v>
      </c>
      <c r="D349" s="392"/>
      <c r="E349" s="392"/>
      <c r="F349" s="393"/>
      <c r="G349" s="88"/>
      <c r="H349" s="88"/>
      <c r="I349" s="168"/>
      <c r="J349" s="88"/>
      <c r="K349" s="88"/>
      <c r="L349" s="88"/>
      <c r="M349" s="88"/>
      <c r="N349" s="88"/>
      <c r="O349" s="88"/>
      <c r="P349" s="88"/>
      <c r="Q349" s="88"/>
      <c r="R349" s="88"/>
      <c r="S349" s="88"/>
      <c r="T349" s="88"/>
    </row>
    <row r="350" spans="2:20" x14ac:dyDescent="0.35">
      <c r="B350" s="240" t="s">
        <v>149</v>
      </c>
      <c r="C350" s="392" t="str">
        <f>IF(AND(D480=0,D481=0,D482=0),"NA",IF(AND(D480&gt;0,D481=0),"NR",IF(D481&gt;0,"NOK","OK")))</f>
        <v>NR</v>
      </c>
      <c r="D350" s="392"/>
      <c r="E350" s="392"/>
      <c r="F350" s="393"/>
      <c r="G350" s="88"/>
      <c r="H350" s="88"/>
      <c r="I350" s="168"/>
      <c r="J350" s="88"/>
      <c r="K350" s="88"/>
      <c r="L350" s="88"/>
      <c r="M350" s="88"/>
      <c r="N350" s="88"/>
      <c r="O350" s="88"/>
      <c r="P350" s="88"/>
      <c r="Q350" s="88"/>
      <c r="R350" s="88"/>
      <c r="S350" s="88"/>
      <c r="T350" s="88"/>
    </row>
    <row r="351" spans="2:20" x14ac:dyDescent="0.35">
      <c r="B351" s="292" t="s">
        <v>151</v>
      </c>
      <c r="C351" s="392" t="str">
        <f>IF(AND(D483=0,D484=0,D485=0),"NA",IF(AND(D483&gt;0,D484=0),"NR",IF(D484&gt;0,"NOK","OK")))</f>
        <v>NR</v>
      </c>
      <c r="D351" s="392"/>
      <c r="E351" s="392"/>
      <c r="F351" s="393"/>
      <c r="G351" s="88"/>
      <c r="H351" s="88"/>
      <c r="I351" s="168"/>
      <c r="J351" s="88"/>
      <c r="K351" s="88"/>
      <c r="L351" s="88"/>
      <c r="M351" s="88"/>
      <c r="N351" s="88"/>
      <c r="O351" s="88"/>
      <c r="P351" s="88"/>
      <c r="Q351" s="88"/>
      <c r="R351" s="88"/>
      <c r="S351" s="88"/>
      <c r="T351" s="88"/>
    </row>
    <row r="352" spans="2:20" x14ac:dyDescent="0.35">
      <c r="B352" s="292" t="s">
        <v>153</v>
      </c>
      <c r="C352" s="392" t="str">
        <f>IF(AND(D486=0,D487=0,D488=0),"NA",IF(AND(D486&gt;0,D487=0),"NR",IF(D487&gt;0,"NOK","OK")))</f>
        <v>NR</v>
      </c>
      <c r="D352" s="392"/>
      <c r="E352" s="392"/>
      <c r="F352" s="393"/>
      <c r="G352" s="88"/>
      <c r="H352" s="88"/>
      <c r="I352" s="169"/>
      <c r="J352" s="88"/>
      <c r="K352" s="88"/>
      <c r="L352" s="88"/>
      <c r="M352" s="88"/>
      <c r="N352" s="88"/>
      <c r="O352" s="88"/>
      <c r="P352" s="88"/>
      <c r="Q352" s="88"/>
      <c r="R352" s="88"/>
      <c r="S352" s="88"/>
      <c r="T352" s="88"/>
    </row>
    <row r="353" spans="2:20" x14ac:dyDescent="0.35">
      <c r="B353" s="292" t="s">
        <v>155</v>
      </c>
      <c r="C353" s="392" t="str">
        <f>IF(AND(D489=0,D490=0,D491=0),"NA",IF(AND(D489&gt;0,D490=0),"NR",IF(D490&gt;0,"NOK","OK")))</f>
        <v>NR</v>
      </c>
      <c r="D353" s="392"/>
      <c r="E353" s="392"/>
      <c r="F353" s="393"/>
      <c r="G353" s="88"/>
      <c r="H353" s="88"/>
      <c r="I353" s="169"/>
      <c r="J353" s="88"/>
      <c r="K353" s="88"/>
      <c r="L353" s="88"/>
      <c r="M353" s="88"/>
      <c r="N353" s="88"/>
      <c r="O353" s="88"/>
      <c r="P353" s="88"/>
      <c r="Q353" s="88"/>
      <c r="R353" s="88"/>
      <c r="S353" s="88"/>
      <c r="T353" s="88"/>
    </row>
    <row r="354" spans="2:20" x14ac:dyDescent="0.35">
      <c r="B354" s="292" t="s">
        <v>157</v>
      </c>
      <c r="C354" s="392" t="str">
        <f>IF(AND(D492=0,D493=0,D494=0),"NA",IF(AND(D492&gt;0,D493=0),"NR",IF(D493&gt;0,"NOK","OK")))</f>
        <v>NR</v>
      </c>
      <c r="D354" s="392"/>
      <c r="E354" s="392"/>
      <c r="F354" s="393"/>
      <c r="G354" s="88"/>
      <c r="H354" s="88"/>
      <c r="I354" s="169"/>
      <c r="J354" s="88"/>
      <c r="K354" s="88"/>
      <c r="L354" s="88"/>
      <c r="M354" s="88"/>
      <c r="N354" s="88"/>
      <c r="O354" s="88"/>
      <c r="P354" s="88"/>
      <c r="Q354" s="88"/>
      <c r="R354" s="88"/>
      <c r="S354" s="88"/>
      <c r="T354" s="88"/>
    </row>
    <row r="355" spans="2:20" x14ac:dyDescent="0.35">
      <c r="B355" s="292" t="s">
        <v>159</v>
      </c>
      <c r="C355" s="392" t="str">
        <f>IF(AND(D495=0,D496=0,D497=0),"NA",IF(AND(D495&gt;0,D496=0),"NR",IF(D496&gt;0,"NOK","OK")))</f>
        <v>NR</v>
      </c>
      <c r="D355" s="392"/>
      <c r="E355" s="392"/>
      <c r="F355" s="393"/>
      <c r="G355" s="88"/>
      <c r="H355" s="88"/>
      <c r="I355" s="169"/>
      <c r="J355" s="88"/>
      <c r="K355" s="88"/>
      <c r="L355" s="88"/>
      <c r="M355" s="88"/>
      <c r="N355" s="88"/>
      <c r="O355" s="88"/>
      <c r="P355" s="88"/>
      <c r="Q355" s="88"/>
      <c r="R355" s="88"/>
      <c r="S355" s="88"/>
      <c r="T355" s="88"/>
    </row>
    <row r="356" spans="2:20" x14ac:dyDescent="0.35">
      <c r="B356" s="292" t="s">
        <v>161</v>
      </c>
      <c r="C356" s="392" t="str">
        <f>IF(AND(D498=0,D499=0,D500=0),"NA",IF(AND(D498&gt;0,D499=0),"NR",IF(D499&gt;0,"NOK","OK")))</f>
        <v>NR</v>
      </c>
      <c r="D356" s="392"/>
      <c r="E356" s="392"/>
      <c r="F356" s="393"/>
      <c r="G356" s="88"/>
      <c r="H356" s="88"/>
      <c r="I356" s="169"/>
      <c r="J356" s="88"/>
      <c r="K356" s="88"/>
      <c r="L356" s="88"/>
      <c r="M356" s="88"/>
      <c r="N356" s="88"/>
      <c r="O356" s="88"/>
      <c r="P356" s="88"/>
      <c r="Q356" s="88"/>
      <c r="R356" s="88"/>
      <c r="S356" s="88"/>
      <c r="T356" s="88"/>
    </row>
    <row r="357" spans="2:20" x14ac:dyDescent="0.35">
      <c r="B357" s="293" t="s">
        <v>163</v>
      </c>
      <c r="C357" s="392" t="str">
        <f>IF(AND(D501=0,D502=0,D503=0),"NA",IF(AND(D501&gt;0,D502=0),"NR",IF(D502&gt;0,"NOK","OK")))</f>
        <v>NR</v>
      </c>
      <c r="D357" s="392"/>
      <c r="E357" s="392"/>
      <c r="F357" s="393"/>
      <c r="G357" s="88"/>
      <c r="H357" s="88"/>
      <c r="I357" s="169"/>
      <c r="J357" s="88"/>
      <c r="K357" s="88"/>
      <c r="L357" s="88"/>
      <c r="M357" s="88"/>
      <c r="N357" s="88"/>
      <c r="O357" s="88"/>
      <c r="P357" s="88"/>
      <c r="Q357" s="88"/>
      <c r="R357" s="88"/>
      <c r="S357" s="88"/>
      <c r="T357" s="88"/>
    </row>
    <row r="358" spans="2:20" ht="15" thickBot="1" x14ac:dyDescent="0.4">
      <c r="B358" s="294" t="s">
        <v>165</v>
      </c>
      <c r="C358" s="400" t="str">
        <f>IF(AND(D504=0,D505=0,D506=0),"NA",IF(AND(D504&gt;0,D505=0),"NR",IF(D505&gt;0,"NOK","OK")))</f>
        <v>NR</v>
      </c>
      <c r="D358" s="400"/>
      <c r="E358" s="400"/>
      <c r="F358" s="401"/>
      <c r="G358" s="88"/>
      <c r="H358" s="88"/>
      <c r="I358" s="169"/>
      <c r="J358" s="88"/>
      <c r="K358" s="88"/>
      <c r="L358" s="88"/>
      <c r="M358" s="88"/>
      <c r="N358" s="88"/>
      <c r="O358" s="88"/>
      <c r="P358" s="88"/>
      <c r="Q358" s="88"/>
      <c r="R358" s="88"/>
      <c r="S358" s="88"/>
      <c r="T358" s="88"/>
    </row>
    <row r="359" spans="2:20" ht="15" thickBot="1" x14ac:dyDescent="0.4">
      <c r="B359" s="282" t="s">
        <v>386</v>
      </c>
      <c r="C359" s="400" t="str">
        <f>IF(AND(D507=0,D508=0,D509=0),"NA",IF(AND(D507&gt;0,D508=0),"NR",IF(D508&gt;0,"NOK","OK")))</f>
        <v>NR</v>
      </c>
      <c r="D359" s="400"/>
      <c r="E359" s="400"/>
      <c r="F359" s="401"/>
      <c r="G359" s="88"/>
      <c r="H359" s="88"/>
      <c r="I359" s="169"/>
      <c r="J359" s="88"/>
      <c r="K359" s="88"/>
      <c r="L359" s="88"/>
      <c r="M359" s="88"/>
      <c r="N359" s="88"/>
      <c r="O359" s="88"/>
      <c r="P359" s="88"/>
      <c r="Q359" s="88"/>
      <c r="R359" s="88"/>
      <c r="S359" s="88"/>
      <c r="T359" s="88"/>
    </row>
    <row r="360" spans="2:20" ht="15" thickBot="1" x14ac:dyDescent="0.4">
      <c r="B360" s="282" t="s">
        <v>389</v>
      </c>
      <c r="C360" s="400" t="str">
        <f>IF(AND(D510=0,D511=0,D512=0),"NA",IF(AND(D510&gt;0,D511=0),"NR",IF(D511&gt;0,"NOK","OK")))</f>
        <v>NR</v>
      </c>
      <c r="D360" s="400"/>
      <c r="E360" s="400"/>
      <c r="F360" s="401"/>
      <c r="G360" s="88"/>
      <c r="H360" s="88"/>
      <c r="I360" s="169"/>
      <c r="J360" s="88"/>
      <c r="K360" s="88"/>
      <c r="L360" s="88"/>
      <c r="M360" s="88"/>
      <c r="N360" s="88"/>
      <c r="O360" s="88"/>
      <c r="P360" s="88"/>
      <c r="Q360" s="88"/>
      <c r="R360" s="88"/>
      <c r="S360" s="88"/>
      <c r="T360" s="88"/>
    </row>
    <row r="361" spans="2:20" ht="15" thickBot="1" x14ac:dyDescent="0.4">
      <c r="B361" s="282" t="s">
        <v>391</v>
      </c>
      <c r="C361" s="400" t="str">
        <f>IF(AND(D513=0,D514=0,D515=0),"NA",IF(AND(D513&gt;0,D514=0),"NR",IF(D514&gt;0,"NOK","OK")))</f>
        <v>NR</v>
      </c>
      <c r="D361" s="400"/>
      <c r="E361" s="400"/>
      <c r="F361" s="401"/>
      <c r="G361" s="88"/>
      <c r="H361" s="88"/>
      <c r="I361" s="169"/>
      <c r="J361" s="88"/>
      <c r="K361" s="88"/>
      <c r="L361" s="88"/>
      <c r="M361" s="88"/>
      <c r="N361" s="88"/>
      <c r="O361" s="88"/>
      <c r="P361" s="88"/>
      <c r="Q361" s="88"/>
      <c r="R361" s="88"/>
      <c r="S361" s="88"/>
      <c r="T361" s="88"/>
    </row>
    <row r="362" spans="2:20" ht="15" thickBot="1" x14ac:dyDescent="0.4">
      <c r="B362" s="295" t="s">
        <v>186</v>
      </c>
      <c r="C362" s="400" t="str">
        <f>IF(AND(D516=0,D517=0,D518=0),"NA",IF(AND(D516&gt;0,D517=0),"NR",IF(D517&gt;0,"NOK","OK")))</f>
        <v>NR</v>
      </c>
      <c r="D362" s="400"/>
      <c r="E362" s="400"/>
      <c r="F362" s="401"/>
      <c r="G362" s="88"/>
      <c r="H362" s="88"/>
      <c r="I362" s="170"/>
      <c r="J362" s="88"/>
      <c r="K362" s="88"/>
      <c r="L362" s="88"/>
      <c r="M362" s="88"/>
      <c r="N362" s="88"/>
      <c r="O362" s="88"/>
      <c r="P362" s="88"/>
      <c r="Q362" s="88"/>
      <c r="R362" s="88"/>
      <c r="S362" s="88"/>
      <c r="T362" s="88"/>
    </row>
    <row r="363" spans="2:20" ht="15" thickBot="1" x14ac:dyDescent="0.4">
      <c r="B363" s="295" t="s">
        <v>189</v>
      </c>
      <c r="C363" s="400" t="str">
        <f>IF(AND(D519=0,D520=0,D521=0),"NA",IF(AND(D519&gt;0,D520=0),"NR",IF(D520&gt;0,"NOK","OK")))</f>
        <v>NR</v>
      </c>
      <c r="D363" s="400"/>
      <c r="E363" s="400"/>
      <c r="F363" s="401"/>
      <c r="G363" s="88"/>
      <c r="H363" s="88"/>
      <c r="I363" s="170"/>
      <c r="J363" s="88"/>
      <c r="K363" s="88"/>
      <c r="L363" s="88"/>
      <c r="M363" s="88"/>
      <c r="N363" s="88"/>
      <c r="O363" s="88"/>
      <c r="P363" s="88"/>
      <c r="Q363" s="88"/>
      <c r="R363" s="88"/>
      <c r="S363" s="88"/>
      <c r="T363" s="88"/>
    </row>
    <row r="364" spans="2:20" ht="15" thickBot="1" x14ac:dyDescent="0.4">
      <c r="B364" s="295" t="s">
        <v>191</v>
      </c>
      <c r="C364" s="400" t="str">
        <f>IF(AND(D522=0,D523=0,D524=0),"NA",IF(AND(D522&gt;0,D523=0),"NR",IF(D523&gt;0,"NOK","OK")))</f>
        <v>NR</v>
      </c>
      <c r="D364" s="400"/>
      <c r="E364" s="400"/>
      <c r="F364" s="401"/>
      <c r="G364" s="88"/>
      <c r="H364" s="88"/>
      <c r="I364" s="170"/>
      <c r="J364" s="88"/>
      <c r="K364" s="88"/>
      <c r="L364" s="88"/>
      <c r="M364" s="88"/>
      <c r="N364" s="88"/>
      <c r="O364" s="88"/>
      <c r="P364" s="88"/>
      <c r="Q364" s="88"/>
      <c r="R364" s="88"/>
      <c r="S364" s="88"/>
      <c r="T364" s="88"/>
    </row>
    <row r="365" spans="2:20" ht="15" thickBot="1" x14ac:dyDescent="0.4">
      <c r="B365" s="295" t="s">
        <v>193</v>
      </c>
      <c r="C365" s="400" t="str">
        <f>IF(AND(D525=0,D526=0,D527=0),"NA",IF(AND(D525&gt;0,D526=0),"NR",IF(D526&gt;0,"NOK","OK")))</f>
        <v>NR</v>
      </c>
      <c r="D365" s="400"/>
      <c r="E365" s="400"/>
      <c r="F365" s="401"/>
      <c r="G365" s="88"/>
      <c r="H365" s="88"/>
      <c r="I365" s="170"/>
      <c r="J365" s="88"/>
      <c r="K365" s="88"/>
      <c r="L365" s="88"/>
      <c r="M365" s="88"/>
      <c r="N365" s="88"/>
      <c r="O365" s="88"/>
      <c r="P365" s="88"/>
      <c r="Q365" s="88"/>
      <c r="R365" s="88"/>
      <c r="S365" s="88"/>
      <c r="T365" s="88"/>
    </row>
    <row r="366" spans="2:20" ht="15" thickBot="1" x14ac:dyDescent="0.4">
      <c r="B366" s="291" t="s">
        <v>195</v>
      </c>
      <c r="C366" s="400" t="str">
        <f>IF(AND(D528=0,D529=0,D530=0),"NA",IF(AND(D528&gt;0,D529=0),"NR",IF(D529&gt;0,"NOK","OK")))</f>
        <v>NR</v>
      </c>
      <c r="D366" s="400"/>
      <c r="E366" s="400"/>
      <c r="F366" s="401"/>
      <c r="G366" s="88"/>
      <c r="H366" s="88"/>
      <c r="I366" s="170"/>
      <c r="J366" s="88"/>
      <c r="K366" s="88"/>
      <c r="L366" s="88"/>
      <c r="M366" s="88"/>
      <c r="N366" s="88"/>
      <c r="O366" s="88"/>
      <c r="P366" s="88"/>
      <c r="Q366" s="88"/>
      <c r="R366" s="88"/>
      <c r="S366" s="88"/>
      <c r="T366" s="88"/>
    </row>
    <row r="367" spans="2:20" ht="15" thickBot="1" x14ac:dyDescent="0.4">
      <c r="B367" s="240" t="s">
        <v>197</v>
      </c>
      <c r="C367" s="400" t="str">
        <f>IF(AND(D531=0,D532=0,D533=0),"NA",IF(AND(D531&gt;0,D532=0),"NR",IF(D532&gt;0,"NOK","OK")))</f>
        <v>NR</v>
      </c>
      <c r="D367" s="400"/>
      <c r="E367" s="400"/>
      <c r="F367" s="401"/>
      <c r="G367" s="88"/>
      <c r="H367" s="88"/>
      <c r="I367" s="170"/>
      <c r="J367" s="88"/>
      <c r="K367" s="88"/>
      <c r="L367" s="88"/>
      <c r="M367" s="88"/>
      <c r="N367" s="88"/>
      <c r="O367" s="88"/>
      <c r="P367" s="88"/>
      <c r="Q367" s="88"/>
      <c r="R367" s="88"/>
      <c r="S367" s="88"/>
      <c r="T367" s="88"/>
    </row>
    <row r="368" spans="2:20" ht="15" thickBot="1" x14ac:dyDescent="0.4">
      <c r="B368" s="240" t="s">
        <v>200</v>
      </c>
      <c r="C368" s="400" t="str">
        <f>IF(AND(D534=0,D535=0,D536=0),"NA",IF(AND(D534&gt;0,D535=0),"NR",IF(D535&gt;0,"NOK","OK")))</f>
        <v>NR</v>
      </c>
      <c r="D368" s="400"/>
      <c r="E368" s="400"/>
      <c r="F368" s="401"/>
      <c r="G368" s="88"/>
      <c r="H368" s="88"/>
      <c r="I368" s="170"/>
      <c r="J368" s="88"/>
      <c r="K368" s="88"/>
      <c r="L368" s="88"/>
      <c r="M368" s="88"/>
      <c r="N368" s="88"/>
      <c r="O368" s="88"/>
      <c r="P368" s="88"/>
      <c r="Q368" s="88"/>
      <c r="R368" s="88"/>
      <c r="S368" s="88"/>
      <c r="T368" s="88"/>
    </row>
    <row r="369" spans="2:20" ht="15" thickBot="1" x14ac:dyDescent="0.4">
      <c r="B369" s="240" t="s">
        <v>202</v>
      </c>
      <c r="C369" s="400" t="str">
        <f>IF(AND(D537=0,D538=0,D539=0),"NA",IF(AND(D537&gt;0,D538=0),"NR",IF(D538&gt;0,"NOK","OK")))</f>
        <v>NR</v>
      </c>
      <c r="D369" s="400"/>
      <c r="E369" s="400"/>
      <c r="F369" s="401"/>
      <c r="G369" s="88"/>
      <c r="H369" s="88"/>
      <c r="I369" s="170"/>
      <c r="J369" s="88"/>
      <c r="K369" s="88"/>
      <c r="L369" s="88"/>
      <c r="M369" s="88"/>
      <c r="N369" s="88"/>
      <c r="O369" s="88"/>
      <c r="P369" s="88"/>
      <c r="Q369" s="88"/>
      <c r="R369" s="88"/>
      <c r="S369" s="88"/>
      <c r="T369" s="88"/>
    </row>
    <row r="370" spans="2:20" ht="15" thickBot="1" x14ac:dyDescent="0.4">
      <c r="B370" s="240" t="s">
        <v>204</v>
      </c>
      <c r="C370" s="400" t="str">
        <f>IF(AND(D540=0,D541=0,D542=0),"NA",IF(AND(D540&gt;0,D541=0),"NR",IF(D541&gt;0,"NOK","OK")))</f>
        <v>NR</v>
      </c>
      <c r="D370" s="400"/>
      <c r="E370" s="400"/>
      <c r="F370" s="401"/>
      <c r="G370" s="88"/>
      <c r="H370" s="88"/>
      <c r="I370" s="170"/>
      <c r="J370" s="88"/>
      <c r="K370" s="88"/>
      <c r="L370" s="88"/>
      <c r="M370" s="88"/>
      <c r="N370" s="88"/>
      <c r="O370" s="88"/>
      <c r="P370" s="88"/>
      <c r="Q370" s="88"/>
      <c r="R370" s="88"/>
      <c r="S370" s="88"/>
      <c r="T370" s="88"/>
    </row>
    <row r="371" spans="2:20" ht="15" thickBot="1" x14ac:dyDescent="0.4">
      <c r="B371" s="240" t="s">
        <v>206</v>
      </c>
      <c r="C371" s="400" t="str">
        <f>IF(AND(D543=0,D544=0,D545=0),"NA",IF(AND(D543&gt;0,D544=0),"NR",IF(D544&gt;0,"NOK","OK")))</f>
        <v>NR</v>
      </c>
      <c r="D371" s="400"/>
      <c r="E371" s="400"/>
      <c r="F371" s="401"/>
      <c r="G371" s="88"/>
      <c r="H371" s="88"/>
      <c r="I371" s="170"/>
      <c r="J371" s="88"/>
      <c r="K371" s="88"/>
      <c r="L371" s="88"/>
      <c r="M371" s="88"/>
      <c r="N371" s="88"/>
      <c r="O371" s="88"/>
      <c r="P371" s="88"/>
      <c r="Q371" s="88"/>
      <c r="R371" s="88"/>
      <c r="S371" s="88"/>
      <c r="T371" s="88"/>
    </row>
    <row r="372" spans="2:20" ht="15" thickBot="1" x14ac:dyDescent="0.4">
      <c r="B372" s="240" t="s">
        <v>208</v>
      </c>
      <c r="C372" s="400" t="str">
        <f>IF(AND(D546=0,D547=0,D548=0),"NA",IF(AND(D546&gt;0,D547=0),"NR",IF(D547&gt;0,"NOK","OK")))</f>
        <v>NR</v>
      </c>
      <c r="D372" s="400"/>
      <c r="E372" s="400"/>
      <c r="F372" s="401"/>
      <c r="G372" s="88"/>
      <c r="H372" s="88"/>
      <c r="I372" s="170"/>
      <c r="J372" s="88"/>
      <c r="K372" s="88"/>
      <c r="L372" s="88"/>
      <c r="M372" s="88"/>
      <c r="N372" s="88"/>
      <c r="O372" s="88"/>
      <c r="P372" s="88"/>
      <c r="Q372" s="88"/>
      <c r="R372" s="88"/>
      <c r="S372" s="88"/>
      <c r="T372" s="88"/>
    </row>
    <row r="373" spans="2:20" ht="15" thickBot="1" x14ac:dyDescent="0.4">
      <c r="B373" s="292" t="s">
        <v>210</v>
      </c>
      <c r="C373" s="400" t="str">
        <f>IF(AND(D549=0,D550=0,D551=0),"NA",IF(AND(D549&gt;0,D550=0),"NR",IF(D551&gt;0,"NOK","OK")))</f>
        <v>NR</v>
      </c>
      <c r="D373" s="400"/>
      <c r="E373" s="400"/>
      <c r="F373" s="401"/>
      <c r="G373" s="88"/>
      <c r="H373" s="88"/>
      <c r="I373" s="170"/>
      <c r="J373" s="88"/>
      <c r="K373" s="88"/>
      <c r="L373" s="88"/>
      <c r="M373" s="88"/>
      <c r="N373" s="88"/>
      <c r="O373" s="88"/>
      <c r="P373" s="88"/>
      <c r="Q373" s="88"/>
      <c r="R373" s="88"/>
      <c r="S373" s="88"/>
      <c r="T373" s="88"/>
    </row>
    <row r="374" spans="2:20" ht="15" thickBot="1" x14ac:dyDescent="0.4">
      <c r="B374" s="292" t="s">
        <v>213</v>
      </c>
      <c r="C374" s="400" t="str">
        <f>IF(AND(D552=0,D553=0,D554=0),"NA",IF(AND(D552&gt;0,D553=0),"NR",IF(D553&gt;0,"NOK","OK")))</f>
        <v>NR</v>
      </c>
      <c r="D374" s="400"/>
      <c r="E374" s="400"/>
      <c r="F374" s="401"/>
      <c r="G374" s="88"/>
      <c r="H374" s="88"/>
      <c r="I374" s="170"/>
      <c r="J374" s="88"/>
      <c r="K374" s="88"/>
      <c r="L374" s="88"/>
      <c r="M374" s="88"/>
      <c r="N374" s="88"/>
      <c r="O374" s="88"/>
      <c r="P374" s="88"/>
      <c r="Q374" s="88"/>
      <c r="R374" s="88"/>
      <c r="S374" s="88"/>
      <c r="T374" s="88"/>
    </row>
    <row r="375" spans="2:20" ht="15" thickBot="1" x14ac:dyDescent="0.4">
      <c r="B375" s="292" t="s">
        <v>215</v>
      </c>
      <c r="C375" s="400" t="str">
        <f>IF(AND(D555=0,D556=0,D557=0),"NA",IF(AND(D555&gt;0,D556=0),"NR",IF(D556&gt;0,"NOK","OK")))</f>
        <v>NR</v>
      </c>
      <c r="D375" s="400"/>
      <c r="E375" s="400"/>
      <c r="F375" s="401"/>
      <c r="G375" s="88"/>
      <c r="H375" s="88"/>
      <c r="I375" s="170"/>
      <c r="J375" s="88"/>
      <c r="K375" s="88"/>
      <c r="L375" s="88"/>
      <c r="M375" s="88"/>
      <c r="N375" s="88"/>
      <c r="O375" s="88"/>
      <c r="P375" s="88"/>
      <c r="Q375" s="88"/>
      <c r="R375" s="88"/>
      <c r="S375" s="88"/>
      <c r="T375" s="88"/>
    </row>
    <row r="376" spans="2:20" ht="15" thickBot="1" x14ac:dyDescent="0.4">
      <c r="B376" s="292" t="s">
        <v>217</v>
      </c>
      <c r="C376" s="400" t="str">
        <f>IF(AND(D558=0,D559=0,D560=0),"NA",IF(AND(D558&gt;0,D559=0),"NR",IF(D559&gt;0,"NOK","OK")))</f>
        <v>NR</v>
      </c>
      <c r="D376" s="400"/>
      <c r="E376" s="400"/>
      <c r="F376" s="401"/>
      <c r="G376" s="88"/>
      <c r="H376" s="88"/>
      <c r="I376" s="170"/>
      <c r="J376" s="88"/>
      <c r="K376" s="88"/>
      <c r="L376" s="88"/>
      <c r="M376" s="88"/>
      <c r="N376" s="88"/>
      <c r="O376" s="88"/>
      <c r="P376" s="88"/>
      <c r="Q376" s="88"/>
      <c r="R376" s="88"/>
      <c r="S376" s="88"/>
      <c r="T376" s="88"/>
    </row>
    <row r="377" spans="2:20" ht="15" thickBot="1" x14ac:dyDescent="0.4">
      <c r="B377" s="292" t="s">
        <v>219</v>
      </c>
      <c r="C377" s="400" t="str">
        <f>IF(AND(D561=0,D562=0,D563=0),"NA",IF(AND(D561&gt;0,D562=0),"NR",IF(D562&gt;0,"NOK","OK")))</f>
        <v>NR</v>
      </c>
      <c r="D377" s="400"/>
      <c r="E377" s="400"/>
      <c r="F377" s="401"/>
      <c r="G377" s="88"/>
      <c r="H377" s="88"/>
      <c r="I377" s="170"/>
      <c r="J377" s="88"/>
      <c r="K377" s="88"/>
      <c r="L377" s="88"/>
      <c r="M377" s="88"/>
      <c r="N377" s="88"/>
      <c r="O377" s="88"/>
      <c r="P377" s="88"/>
      <c r="Q377" s="88"/>
      <c r="R377" s="88"/>
      <c r="S377" s="88"/>
      <c r="T377" s="88"/>
    </row>
    <row r="378" spans="2:20" ht="15" thickBot="1" x14ac:dyDescent="0.4">
      <c r="B378" s="239" t="s">
        <v>221</v>
      </c>
      <c r="C378" s="400" t="str">
        <f>IF(AND(D564=0,D565=0,D566=0),"NA",IF(AND(D564&gt;0,D565=0),"NR",IF(D565&gt;0,"NOK","OK")))</f>
        <v>NR</v>
      </c>
      <c r="D378" s="400"/>
      <c r="E378" s="400"/>
      <c r="F378" s="401"/>
      <c r="G378" s="88"/>
      <c r="H378" s="88"/>
      <c r="I378" s="170"/>
      <c r="J378" s="88"/>
      <c r="K378" s="88"/>
      <c r="L378" s="88"/>
      <c r="M378" s="88"/>
      <c r="N378" s="88"/>
      <c r="O378" s="88"/>
      <c r="P378" s="88"/>
      <c r="Q378" s="88"/>
      <c r="R378" s="88"/>
      <c r="S378" s="88"/>
      <c r="T378" s="88"/>
    </row>
    <row r="379" spans="2:20" ht="15" thickBot="1" x14ac:dyDescent="0.4">
      <c r="B379" s="239" t="s">
        <v>225</v>
      </c>
      <c r="C379" s="400" t="str">
        <f>IF(AND(D567=0,D568=0,D569=0),"NA",IF(AND(D567&gt;0,D568=0),"NR",IF(D568&gt;0,"NOK","OK")))</f>
        <v>NR</v>
      </c>
      <c r="D379" s="400"/>
      <c r="E379" s="400"/>
      <c r="F379" s="401"/>
      <c r="G379" s="88"/>
      <c r="H379" s="88"/>
      <c r="I379" s="170"/>
      <c r="J379" s="88"/>
      <c r="K379" s="88"/>
      <c r="L379" s="88"/>
      <c r="M379" s="88"/>
      <c r="N379" s="88"/>
      <c r="O379" s="88"/>
      <c r="P379" s="88"/>
      <c r="Q379" s="88"/>
      <c r="R379" s="88"/>
      <c r="S379" s="88"/>
      <c r="T379" s="88"/>
    </row>
    <row r="380" spans="2:20" ht="15" thickBot="1" x14ac:dyDescent="0.4">
      <c r="B380" s="239" t="s">
        <v>228</v>
      </c>
      <c r="C380" s="400" t="str">
        <f>IF(AND(D570=0,D571=0,D572=0),"NA",IF(AND(D570&gt;0,D571=0),"NR",IF(D572&gt;0,"NOK","OK")))</f>
        <v>NR</v>
      </c>
      <c r="D380" s="400"/>
      <c r="E380" s="400"/>
      <c r="F380" s="401"/>
      <c r="G380" s="88"/>
      <c r="H380" s="88"/>
      <c r="I380" s="170"/>
      <c r="J380" s="88"/>
      <c r="K380" s="88"/>
      <c r="L380" s="88"/>
      <c r="M380" s="88"/>
      <c r="N380" s="88"/>
      <c r="O380" s="88"/>
      <c r="P380" s="88"/>
      <c r="Q380" s="88"/>
      <c r="R380" s="88"/>
      <c r="S380" s="88"/>
      <c r="T380" s="88"/>
    </row>
    <row r="381" spans="2:20" ht="15" thickBot="1" x14ac:dyDescent="0.4">
      <c r="B381" s="239" t="s">
        <v>231</v>
      </c>
      <c r="C381" s="400" t="str">
        <f>IF(AND(D573=0,D574=0,D575=0),"NA",IF(AND(D573&gt;0,D574=0),"NR",IF(D574&gt;0,"NOK","OK")))</f>
        <v>NR</v>
      </c>
      <c r="D381" s="400"/>
      <c r="E381" s="400"/>
      <c r="F381" s="401"/>
      <c r="G381" s="88"/>
      <c r="H381" s="88"/>
      <c r="I381" s="170"/>
      <c r="J381" s="88"/>
      <c r="K381" s="88"/>
      <c r="L381" s="88"/>
      <c r="M381" s="88"/>
      <c r="N381" s="88"/>
      <c r="O381" s="88"/>
      <c r="P381" s="88"/>
      <c r="Q381" s="88"/>
      <c r="R381" s="88"/>
      <c r="S381" s="88"/>
      <c r="T381" s="88"/>
    </row>
    <row r="382" spans="2:20" ht="15" thickBot="1" x14ac:dyDescent="0.4">
      <c r="B382" s="239" t="s">
        <v>234</v>
      </c>
      <c r="C382" s="400" t="str">
        <f>IF(AND(D576=0,D577=0,D578=0),"NA",IF(AND(D576&gt;0,D577=0),"NR",IF(D577&gt;0,"NOK","OK")))</f>
        <v>NR</v>
      </c>
      <c r="D382" s="400"/>
      <c r="E382" s="400"/>
      <c r="F382" s="401"/>
      <c r="G382" s="88"/>
      <c r="H382" s="88"/>
      <c r="I382" s="170"/>
      <c r="J382" s="88"/>
      <c r="K382" s="88"/>
      <c r="L382" s="88"/>
      <c r="M382" s="88"/>
      <c r="N382" s="88"/>
      <c r="O382" s="88"/>
      <c r="P382" s="88"/>
      <c r="Q382" s="88"/>
      <c r="R382" s="88"/>
      <c r="S382" s="88"/>
      <c r="T382" s="88"/>
    </row>
    <row r="383" spans="2:20" ht="15" thickBot="1" x14ac:dyDescent="0.4">
      <c r="B383" s="239" t="s">
        <v>238</v>
      </c>
      <c r="C383" s="400" t="str">
        <f>IF(AND(D579=0,D580=0,D581=0),"NA",IF(AND(D579&gt;0,D580=0),"NR",IF(D580&gt;0,"NOK","OK")))</f>
        <v>NR</v>
      </c>
      <c r="D383" s="400"/>
      <c r="E383" s="400"/>
      <c r="F383" s="401"/>
      <c r="G383" s="88"/>
      <c r="H383" s="88"/>
      <c r="I383" s="170"/>
      <c r="J383" s="88"/>
      <c r="K383" s="88"/>
      <c r="L383" s="88"/>
      <c r="M383" s="88"/>
      <c r="N383" s="88"/>
      <c r="O383" s="88"/>
      <c r="P383" s="88"/>
      <c r="Q383" s="88"/>
      <c r="R383" s="88"/>
      <c r="S383" s="88"/>
      <c r="T383" s="88"/>
    </row>
    <row r="384" spans="2:20" ht="15" thickBot="1" x14ac:dyDescent="0.4">
      <c r="B384" s="239" t="s">
        <v>241</v>
      </c>
      <c r="C384" s="400" t="str">
        <f>IF(AND(D582=0,D583=0,D584=0),"NA",IF(AND(D582&gt;0,D583=0),"NR",IF(D583&gt;0,"NOK","OK")))</f>
        <v>NR</v>
      </c>
      <c r="D384" s="400"/>
      <c r="E384" s="400"/>
      <c r="F384" s="401"/>
      <c r="G384" s="88"/>
      <c r="H384" s="88"/>
      <c r="I384" s="170"/>
      <c r="J384" s="88"/>
      <c r="K384" s="88"/>
      <c r="L384" s="88"/>
      <c r="M384" s="88"/>
      <c r="N384" s="88"/>
      <c r="O384" s="88"/>
      <c r="P384" s="88"/>
      <c r="Q384" s="88"/>
      <c r="R384" s="88"/>
      <c r="S384" s="88"/>
      <c r="T384" s="88"/>
    </row>
    <row r="385" spans="2:20" ht="15" thickBot="1" x14ac:dyDescent="0.4">
      <c r="B385" s="239" t="s">
        <v>244</v>
      </c>
      <c r="C385" s="400" t="str">
        <f>IF(AND(D585=0,D586=0,D587=0),"NA",IF(AND(D585&gt;0,D586=0),"NR",IF(D586&gt;0,"NOK","OK")))</f>
        <v>NR</v>
      </c>
      <c r="D385" s="400"/>
      <c r="E385" s="400"/>
      <c r="F385" s="401"/>
      <c r="G385" s="88"/>
      <c r="H385" s="88"/>
      <c r="I385" s="170"/>
      <c r="J385" s="88"/>
      <c r="K385" s="88"/>
      <c r="L385" s="88"/>
      <c r="M385" s="88"/>
      <c r="N385" s="88"/>
      <c r="O385" s="88"/>
      <c r="P385" s="88"/>
      <c r="Q385" s="88"/>
      <c r="R385" s="88"/>
      <c r="S385" s="88"/>
      <c r="T385" s="88"/>
    </row>
    <row r="386" spans="2:20" ht="15" thickBot="1" x14ac:dyDescent="0.4">
      <c r="B386" s="239" t="s">
        <v>247</v>
      </c>
      <c r="C386" s="400" t="str">
        <f>IF(AND(D588=0,D589=0,D590=0),"NA",IF(AND(D588&gt;0,D589=0),"NR",IF(D589&gt;0,"NOK","OK")))</f>
        <v>NR</v>
      </c>
      <c r="D386" s="400"/>
      <c r="E386" s="400"/>
      <c r="F386" s="401"/>
      <c r="G386" s="88"/>
      <c r="H386" s="88"/>
      <c r="I386" s="170"/>
      <c r="J386" s="88"/>
      <c r="K386" s="88"/>
      <c r="L386" s="88"/>
      <c r="M386" s="88"/>
      <c r="N386" s="88"/>
      <c r="O386" s="88"/>
      <c r="P386" s="88"/>
      <c r="Q386" s="88"/>
      <c r="R386" s="88"/>
      <c r="S386" s="88"/>
      <c r="T386" s="88"/>
    </row>
    <row r="387" spans="2:20" ht="15" thickBot="1" x14ac:dyDescent="0.4">
      <c r="B387" s="239" t="s">
        <v>250</v>
      </c>
      <c r="C387" s="400" t="str">
        <f>IF(AND(D591=0,D592=0,D593=0),"NA",IF(AND(D591&gt;0,D592=0),"NR",IF(D592&gt;0,"NOK","OK")))</f>
        <v>NR</v>
      </c>
      <c r="D387" s="400"/>
      <c r="E387" s="400"/>
      <c r="F387" s="401"/>
      <c r="G387" s="88"/>
      <c r="H387" s="88"/>
      <c r="I387" s="170"/>
      <c r="J387" s="88"/>
      <c r="K387" s="88"/>
      <c r="L387" s="88"/>
      <c r="M387" s="88"/>
      <c r="N387" s="88"/>
      <c r="O387" s="88"/>
      <c r="P387" s="88"/>
      <c r="Q387" s="88"/>
      <c r="R387" s="88"/>
      <c r="S387" s="88"/>
      <c r="T387" s="88"/>
    </row>
    <row r="388" spans="2:20" ht="15" thickBot="1" x14ac:dyDescent="0.4">
      <c r="B388" s="239" t="s">
        <v>253</v>
      </c>
      <c r="C388" s="400" t="str">
        <f>IF(AND(D594=0,D595=0,D596=0),"NA",IF(AND(D594&gt;0,D595=0),"NR",IF(D595&gt;0,"NOK","OK")))</f>
        <v>NR</v>
      </c>
      <c r="D388" s="400"/>
      <c r="E388" s="400"/>
      <c r="F388" s="401"/>
      <c r="G388" s="88"/>
      <c r="H388" s="88"/>
      <c r="I388" s="170"/>
      <c r="J388" s="88"/>
      <c r="K388" s="88"/>
      <c r="L388" s="88"/>
      <c r="M388" s="88"/>
      <c r="N388" s="88"/>
      <c r="O388" s="88"/>
      <c r="P388" s="88"/>
      <c r="Q388" s="88"/>
      <c r="R388" s="88"/>
      <c r="S388" s="88"/>
      <c r="T388" s="88"/>
    </row>
    <row r="389" spans="2:20" ht="15" thickBot="1" x14ac:dyDescent="0.4">
      <c r="B389" s="239" t="s">
        <v>256</v>
      </c>
      <c r="C389" s="400" t="str">
        <f>IF(AND(D597=0,D598=0,D599=0),"NA",IF(AND(D597&gt;0,D598=0),"NR",IF(D598&gt;0,"NOK","OK")))</f>
        <v>NR</v>
      </c>
      <c r="D389" s="400"/>
      <c r="E389" s="400"/>
      <c r="F389" s="401"/>
      <c r="G389" s="88"/>
      <c r="H389" s="88"/>
      <c r="I389" s="170"/>
      <c r="J389" s="88"/>
      <c r="K389" s="88"/>
      <c r="L389" s="88"/>
      <c r="M389" s="88"/>
      <c r="N389" s="88"/>
      <c r="O389" s="88"/>
      <c r="P389" s="88"/>
      <c r="Q389" s="88"/>
      <c r="R389" s="88"/>
      <c r="S389" s="88"/>
      <c r="T389" s="88"/>
    </row>
    <row r="390" spans="2:20" ht="15" thickBot="1" x14ac:dyDescent="0.4">
      <c r="B390" s="292" t="s">
        <v>175</v>
      </c>
      <c r="C390" s="433" t="str">
        <f>IF(AND(D603=0,D604=0,D605=0),"NA",IF(AND(D603&gt;0,D604=0),"NR",IF(D603&gt;0,"NOK","OK")))</f>
        <v>NR</v>
      </c>
      <c r="D390" s="434"/>
      <c r="E390" s="434"/>
      <c r="F390" s="435"/>
      <c r="G390" s="88"/>
      <c r="H390" s="88"/>
      <c r="I390" s="170"/>
      <c r="J390" s="88"/>
      <c r="K390" s="88"/>
      <c r="L390" s="88"/>
      <c r="M390" s="88"/>
      <c r="N390" s="88"/>
      <c r="O390" s="88"/>
      <c r="P390" s="88"/>
      <c r="Q390" s="88"/>
      <c r="R390" s="88"/>
      <c r="S390" s="88"/>
      <c r="T390" s="88"/>
    </row>
    <row r="391" spans="2:20" ht="15" thickBot="1" x14ac:dyDescent="0.4">
      <c r="B391" s="292" t="s">
        <v>179</v>
      </c>
      <c r="C391" s="400" t="str">
        <f>IF(AND(D606=0,D607=0,D608=0),"NA",IF(AND(D606&gt;0,D607=0),"NR",IF(D607&gt;0,"NOK","OK")))</f>
        <v>NR</v>
      </c>
      <c r="D391" s="400"/>
      <c r="E391" s="400"/>
      <c r="F391" s="401"/>
      <c r="G391" s="88"/>
      <c r="H391" s="88"/>
      <c r="I391" s="170"/>
      <c r="J391" s="88"/>
      <c r="K391" s="88"/>
      <c r="L391" s="88"/>
      <c r="M391" s="88"/>
      <c r="N391" s="88"/>
      <c r="O391" s="88"/>
      <c r="P391" s="88"/>
      <c r="Q391" s="88"/>
      <c r="R391" s="88"/>
      <c r="S391" s="88"/>
      <c r="T391" s="88"/>
    </row>
    <row r="392" spans="2:20" ht="15" thickBot="1" x14ac:dyDescent="0.4">
      <c r="B392" s="292" t="s">
        <v>183</v>
      </c>
      <c r="C392" s="400" t="str">
        <f>IF(AND(D609=0,D610=0,D611=0),"NA",IF(AND(D609&gt;0,D610=0),"NR",IF(D609&gt;0,"NOK","OK")))</f>
        <v>NR</v>
      </c>
      <c r="D392" s="400"/>
      <c r="E392" s="400"/>
      <c r="F392" s="401"/>
      <c r="G392" s="88"/>
      <c r="H392" s="88"/>
      <c r="I392" s="170"/>
      <c r="J392" s="88"/>
      <c r="K392" s="88"/>
      <c r="L392" s="88"/>
      <c r="M392" s="88"/>
      <c r="N392" s="88"/>
      <c r="O392" s="88"/>
      <c r="P392" s="88"/>
      <c r="Q392" s="88"/>
      <c r="R392" s="88"/>
      <c r="S392" s="88"/>
      <c r="T392" s="88"/>
    </row>
    <row r="393" spans="2:20" ht="15" thickBot="1" x14ac:dyDescent="0.4">
      <c r="B393" s="292" t="s">
        <v>265</v>
      </c>
      <c r="C393" s="400" t="str">
        <f>IF(AND(D615=0,D616=0,D617=0),"NA",IF(AND(D615&gt;0,D616=0),"NR",IF(D615&gt;0,"NOK","OK")))</f>
        <v>NR</v>
      </c>
      <c r="D393" s="400"/>
      <c r="E393" s="400"/>
      <c r="F393" s="401"/>
      <c r="G393" s="88"/>
      <c r="H393" s="88"/>
      <c r="I393" s="170"/>
      <c r="J393" s="88"/>
      <c r="K393" s="88"/>
      <c r="L393" s="88"/>
      <c r="M393" s="88"/>
      <c r="N393" s="88"/>
      <c r="O393" s="88"/>
      <c r="P393" s="88"/>
      <c r="Q393" s="88"/>
      <c r="R393" s="88"/>
      <c r="S393" s="88"/>
      <c r="T393" s="88"/>
    </row>
    <row r="394" spans="2:20" ht="15" thickBot="1" x14ac:dyDescent="0.4">
      <c r="B394" s="292" t="s">
        <v>268</v>
      </c>
      <c r="C394" s="400" t="str">
        <f>IF(AND(D618=0,D619=0,D620=0),"NA",IF(AND(D618&gt;0,D619=0),"NR",IF(D618&gt;0,"NOK","OK")))</f>
        <v>NR</v>
      </c>
      <c r="D394" s="400"/>
      <c r="E394" s="400"/>
      <c r="F394" s="401"/>
      <c r="G394" s="88"/>
      <c r="H394" s="88"/>
      <c r="I394" s="170"/>
      <c r="J394" s="88"/>
      <c r="K394" s="88"/>
      <c r="L394" s="88"/>
      <c r="M394" s="88"/>
      <c r="N394" s="88"/>
      <c r="O394" s="88"/>
      <c r="P394" s="88"/>
      <c r="Q394" s="88"/>
      <c r="R394" s="88"/>
      <c r="S394" s="88"/>
      <c r="T394" s="88"/>
    </row>
    <row r="395" spans="2:20" ht="15" thickBot="1" x14ac:dyDescent="0.4">
      <c r="B395" s="292" t="s">
        <v>271</v>
      </c>
      <c r="C395" s="400" t="str">
        <f>IF(AND(D621=0,D622=0,D623=0),"NA",IF(AND(D621&gt;0,D622=0),"NR",IF(D621&gt;0,"NOK","OK")))</f>
        <v>NR</v>
      </c>
      <c r="D395" s="400"/>
      <c r="E395" s="400"/>
      <c r="F395" s="401"/>
      <c r="G395" s="88"/>
      <c r="H395" s="88"/>
      <c r="I395" s="170"/>
      <c r="J395" s="88"/>
      <c r="K395" s="88"/>
      <c r="L395" s="88"/>
      <c r="M395" s="88"/>
      <c r="N395" s="88"/>
      <c r="O395" s="88"/>
      <c r="P395" s="88"/>
      <c r="Q395" s="88"/>
      <c r="R395" s="88"/>
      <c r="S395" s="88"/>
      <c r="T395" s="88"/>
    </row>
    <row r="396" spans="2:20" ht="15" thickBot="1" x14ac:dyDescent="0.4">
      <c r="B396" s="292" t="s">
        <v>274</v>
      </c>
      <c r="C396" s="400" t="str">
        <f>IF(AND(D624=0,D625=0,D626=0),"NA",IF(AND(D624&gt;0,D625=0),"NR",IF(D624&gt;0,"NOK","OK")))</f>
        <v>NR</v>
      </c>
      <c r="D396" s="400"/>
      <c r="E396" s="400"/>
      <c r="F396" s="401"/>
      <c r="G396" s="88"/>
      <c r="H396" s="88"/>
      <c r="I396" s="170"/>
      <c r="J396" s="88"/>
      <c r="K396" s="88"/>
      <c r="L396" s="88"/>
      <c r="M396" s="88"/>
      <c r="N396" s="88"/>
      <c r="O396" s="88"/>
      <c r="P396" s="88"/>
      <c r="Q396" s="88"/>
      <c r="R396" s="88"/>
      <c r="S396" s="88"/>
      <c r="T396" s="88"/>
    </row>
    <row r="397" spans="2:20" ht="15" thickBot="1" x14ac:dyDescent="0.4">
      <c r="B397" s="292" t="s">
        <v>277</v>
      </c>
      <c r="C397" s="400" t="str">
        <f>IF(AND(D627=0,D628=0,D629=0),"NA",IF(AND(D627&gt;0,D628=0),"NR",IF(D627&gt;0,"NOK","OK")))</f>
        <v>NR</v>
      </c>
      <c r="D397" s="400"/>
      <c r="E397" s="400"/>
      <c r="F397" s="401"/>
      <c r="G397" s="88"/>
      <c r="H397" s="88"/>
      <c r="I397" s="170"/>
      <c r="J397" s="88"/>
      <c r="K397" s="88"/>
      <c r="L397" s="88"/>
      <c r="M397" s="88"/>
      <c r="N397" s="88"/>
      <c r="O397" s="88"/>
      <c r="P397" s="88"/>
      <c r="Q397" s="88"/>
      <c r="R397" s="88"/>
      <c r="S397" s="88"/>
      <c r="T397" s="88"/>
    </row>
    <row r="398" spans="2:20" ht="15" thickBot="1" x14ac:dyDescent="0.4">
      <c r="B398" s="292" t="s">
        <v>280</v>
      </c>
      <c r="C398" s="400" t="str">
        <f>IF(AND(D630=0,D631=0,D632=0),"NA",IF(AND(D630&gt;0,D631=0),"NR",IF(D630&gt;0,"NOK","OK")))</f>
        <v>NR</v>
      </c>
      <c r="D398" s="400"/>
      <c r="E398" s="400"/>
      <c r="F398" s="401"/>
      <c r="G398" s="88"/>
      <c r="H398" s="88"/>
      <c r="I398" s="170"/>
      <c r="J398" s="88"/>
      <c r="K398" s="88"/>
      <c r="L398" s="88"/>
      <c r="M398" s="88"/>
      <c r="N398" s="88"/>
      <c r="O398" s="88"/>
      <c r="P398" s="88"/>
      <c r="Q398" s="88"/>
      <c r="R398" s="88"/>
      <c r="S398" s="88"/>
      <c r="T398" s="88"/>
    </row>
    <row r="399" spans="2:20" ht="15" thickBot="1" x14ac:dyDescent="0.4">
      <c r="B399" s="292" t="s">
        <v>283</v>
      </c>
      <c r="C399" s="400" t="str">
        <f>IF(AND(D633=0,D634=0,D635=0),"NA",IF(AND(D633&gt;0,D634=0),"NR",IF(D633&gt;0,"NOK","OK")))</f>
        <v>NR</v>
      </c>
      <c r="D399" s="400"/>
      <c r="E399" s="400"/>
      <c r="F399" s="401"/>
      <c r="G399" s="88"/>
      <c r="H399" s="88"/>
      <c r="I399" s="170"/>
      <c r="J399" s="88"/>
      <c r="K399" s="88"/>
      <c r="L399" s="88"/>
      <c r="M399" s="88"/>
      <c r="N399" s="88"/>
      <c r="O399" s="88"/>
      <c r="P399" s="88"/>
      <c r="Q399" s="88"/>
      <c r="R399" s="88"/>
      <c r="S399" s="88"/>
      <c r="T399" s="88"/>
    </row>
    <row r="400" spans="2:20" ht="15" thickBot="1" x14ac:dyDescent="0.4">
      <c r="B400" s="292" t="s">
        <v>286</v>
      </c>
      <c r="C400" s="400" t="str">
        <f>IF(AND(D636=0,D637=0,D638=0),"NA",IF(AND(D636&gt;0,D637=0),"NR",IF(D636&gt;0,"NOK","OK")))</f>
        <v>NR</v>
      </c>
      <c r="D400" s="400"/>
      <c r="E400" s="400"/>
      <c r="F400" s="401"/>
      <c r="G400" s="88"/>
      <c r="H400" s="88"/>
      <c r="I400" s="170"/>
      <c r="J400" s="88"/>
      <c r="K400" s="88"/>
      <c r="L400" s="88"/>
      <c r="M400" s="88"/>
      <c r="N400" s="88"/>
      <c r="O400" s="88"/>
      <c r="P400" s="88"/>
      <c r="Q400" s="88"/>
      <c r="R400" s="88"/>
      <c r="S400" s="88"/>
      <c r="T400" s="88"/>
    </row>
    <row r="401" spans="2:20" ht="15" thickBot="1" x14ac:dyDescent="0.4">
      <c r="B401" s="292" t="s">
        <v>289</v>
      </c>
      <c r="C401" s="400" t="str">
        <f>IF(AND(D639=0,D640=0,D641=0),"NA",IF(AND(D639&gt;0,D640=0),"NR",IF(D639&gt;0,"NOK","OK")))</f>
        <v>NR</v>
      </c>
      <c r="D401" s="400"/>
      <c r="E401" s="400"/>
      <c r="F401" s="401"/>
      <c r="G401" s="88"/>
      <c r="H401" s="88"/>
      <c r="I401" s="170"/>
      <c r="J401" s="88"/>
      <c r="K401" s="88"/>
      <c r="L401" s="88"/>
      <c r="M401" s="88"/>
      <c r="N401" s="88"/>
      <c r="O401" s="88"/>
      <c r="P401" s="88"/>
      <c r="Q401" s="88"/>
      <c r="R401" s="88"/>
      <c r="S401" s="88"/>
      <c r="T401" s="88"/>
    </row>
    <row r="402" spans="2:20" ht="15" thickBot="1" x14ac:dyDescent="0.4">
      <c r="B402" s="292" t="s">
        <v>292</v>
      </c>
      <c r="C402" s="400" t="str">
        <f>IF(AND(D642=0,D643=0,D644=0),"NA",IF(AND(D642&gt;0,D643=0),"NR",IF(D642&gt;0,"NOK","OK")))</f>
        <v>NR</v>
      </c>
      <c r="D402" s="400"/>
      <c r="E402" s="400"/>
      <c r="F402" s="401"/>
      <c r="G402" s="88"/>
      <c r="H402" s="88"/>
      <c r="I402" s="170"/>
      <c r="J402" s="88"/>
      <c r="K402" s="88"/>
      <c r="L402" s="88"/>
      <c r="M402" s="88"/>
      <c r="N402" s="88"/>
      <c r="O402" s="88"/>
      <c r="P402" s="88"/>
      <c r="Q402" s="88"/>
      <c r="R402" s="88"/>
      <c r="S402" s="88"/>
      <c r="T402" s="88"/>
    </row>
    <row r="403" spans="2:20" ht="15" thickBot="1" x14ac:dyDescent="0.4">
      <c r="B403" s="292" t="s">
        <v>296</v>
      </c>
      <c r="C403" s="400" t="str">
        <f>IF(AND(D645=0,D646=0,D647=0),"NA",IF(AND(D645&gt;0,D646=0),"NR",IF(D645&gt;0,"NOK","OK")))</f>
        <v>NR</v>
      </c>
      <c r="D403" s="400"/>
      <c r="E403" s="400"/>
      <c r="F403" s="401"/>
      <c r="G403" s="88"/>
      <c r="H403" s="88"/>
      <c r="I403" s="170"/>
      <c r="J403" s="88"/>
      <c r="K403" s="88"/>
      <c r="L403" s="88"/>
      <c r="M403" s="88"/>
      <c r="N403" s="88"/>
      <c r="O403" s="88"/>
      <c r="P403" s="88"/>
      <c r="Q403" s="88"/>
      <c r="R403" s="88"/>
      <c r="S403" s="88"/>
      <c r="T403" s="88"/>
    </row>
    <row r="404" spans="2:20" ht="15" thickBot="1" x14ac:dyDescent="0.4">
      <c r="B404" s="292" t="s">
        <v>299</v>
      </c>
      <c r="C404" s="400" t="str">
        <f>IF(AND(D648=0,D649=0,D650=0),"NA",IF(AND(D648&gt;0,D649=0),"NR",IF(D648&gt;0,"NOK","OK")))</f>
        <v>NR</v>
      </c>
      <c r="D404" s="400"/>
      <c r="E404" s="400"/>
      <c r="F404" s="401"/>
      <c r="G404" s="88"/>
      <c r="H404" s="88"/>
      <c r="I404" s="170"/>
      <c r="J404" s="88"/>
      <c r="K404" s="88"/>
      <c r="L404" s="88"/>
      <c r="M404" s="88"/>
      <c r="N404" s="88"/>
      <c r="O404" s="88"/>
      <c r="P404" s="88"/>
      <c r="Q404" s="88"/>
      <c r="R404" s="88"/>
      <c r="S404" s="88"/>
      <c r="T404" s="88"/>
    </row>
    <row r="405" spans="2:20" ht="15" thickBot="1" x14ac:dyDescent="0.4">
      <c r="B405" s="292" t="s">
        <v>305</v>
      </c>
      <c r="C405" s="400" t="str">
        <f>IF(AND(D651=0,D652=0,D653=0),"NA",IF(AND(D651&gt;0,D652=0),"NR",IF(D651&gt;0,"NOK","OK")))</f>
        <v>NR</v>
      </c>
      <c r="D405" s="400"/>
      <c r="E405" s="400"/>
      <c r="F405" s="401"/>
      <c r="G405" s="88"/>
      <c r="H405" s="88"/>
      <c r="I405" s="170"/>
      <c r="J405" s="88"/>
      <c r="K405" s="88"/>
      <c r="L405" s="88"/>
      <c r="M405" s="88"/>
      <c r="N405" s="88"/>
      <c r="O405" s="88"/>
      <c r="P405" s="88"/>
      <c r="Q405" s="88"/>
      <c r="R405" s="88"/>
      <c r="S405" s="88"/>
      <c r="T405" s="88"/>
    </row>
    <row r="406" spans="2:20" ht="15" thickBot="1" x14ac:dyDescent="0.4">
      <c r="B406" s="292" t="s">
        <v>302</v>
      </c>
      <c r="C406" s="400" t="str">
        <f>IF(AND(D654=0,D655=0,D656=0),"NA",IF(AND(D654&gt;0,D655=0),"NR",IF(D654&gt;0,"NOK","OK")))</f>
        <v>NR</v>
      </c>
      <c r="D406" s="400"/>
      <c r="E406" s="400"/>
      <c r="F406" s="401"/>
      <c r="G406" s="88"/>
      <c r="H406" s="88"/>
      <c r="I406" s="170"/>
      <c r="J406" s="88"/>
      <c r="K406" s="88"/>
      <c r="L406" s="88"/>
      <c r="M406" s="88"/>
      <c r="N406" s="88"/>
      <c r="O406" s="88"/>
      <c r="P406" s="88"/>
      <c r="Q406" s="88"/>
      <c r="R406" s="88"/>
      <c r="S406" s="88"/>
      <c r="T406" s="88"/>
    </row>
    <row r="407" spans="2:20" ht="15" thickBot="1" x14ac:dyDescent="0.4">
      <c r="B407" s="292" t="s">
        <v>308</v>
      </c>
      <c r="C407" s="400" t="str">
        <f>IF(AND(D657=0,D658=0,D659=0),"NA",IF(AND(D657&gt;0,D658=0),"NR",IF(D657&gt;0,"NOK","OK")))</f>
        <v>NR</v>
      </c>
      <c r="D407" s="400"/>
      <c r="E407" s="400"/>
      <c r="F407" s="401"/>
      <c r="G407" s="88"/>
      <c r="H407" s="88"/>
      <c r="I407" s="170"/>
      <c r="J407" s="88"/>
      <c r="K407" s="88"/>
      <c r="L407" s="88"/>
      <c r="M407" s="88"/>
      <c r="N407" s="88"/>
      <c r="O407" s="88"/>
      <c r="P407" s="88"/>
      <c r="Q407" s="88"/>
      <c r="R407" s="88"/>
      <c r="S407" s="88"/>
      <c r="T407" s="88"/>
    </row>
    <row r="408" spans="2:20" ht="15" thickBot="1" x14ac:dyDescent="0.4">
      <c r="B408" s="292" t="s">
        <v>311</v>
      </c>
      <c r="C408" s="400" t="str">
        <f>IF(AND(D660=0,D661=0,D662=0),"NA",IF(AND(D660&gt;0,D661=0),"NR",IF(D660&gt;0,"NOK","OK")))</f>
        <v>NR</v>
      </c>
      <c r="D408" s="400"/>
      <c r="E408" s="400"/>
      <c r="F408" s="401"/>
      <c r="G408" s="88"/>
      <c r="H408" s="88"/>
      <c r="I408" s="170"/>
      <c r="J408" s="88"/>
      <c r="K408" s="88"/>
      <c r="L408" s="88"/>
      <c r="M408" s="88"/>
      <c r="N408" s="88"/>
      <c r="O408" s="88"/>
      <c r="P408" s="88"/>
      <c r="Q408" s="88"/>
      <c r="R408" s="88"/>
      <c r="S408" s="88"/>
      <c r="T408" s="88"/>
    </row>
    <row r="409" spans="2:20" ht="15" thickBot="1" x14ac:dyDescent="0.4">
      <c r="B409" s="292" t="s">
        <v>314</v>
      </c>
      <c r="C409" s="400" t="str">
        <f>IF(AND(D663=0,D664=0,D665=0),"NA",IF(AND(D663&gt;0,D664=0),"NR",IF(D663&gt;0,"NOK","OK")))</f>
        <v>NR</v>
      </c>
      <c r="D409" s="400"/>
      <c r="E409" s="400"/>
      <c r="F409" s="401"/>
      <c r="G409" s="88"/>
      <c r="H409" s="88"/>
      <c r="I409" s="170"/>
      <c r="J409" s="88"/>
      <c r="K409" s="88"/>
      <c r="L409" s="88"/>
      <c r="M409" s="88"/>
      <c r="N409" s="88"/>
      <c r="O409" s="88"/>
      <c r="P409" s="88"/>
      <c r="Q409" s="88"/>
      <c r="R409" s="88"/>
      <c r="S409" s="88"/>
      <c r="T409" s="88"/>
    </row>
    <row r="410" spans="2:20" ht="15" thickBot="1" x14ac:dyDescent="0.4">
      <c r="B410" s="292" t="s">
        <v>317</v>
      </c>
      <c r="C410" s="400" t="str">
        <f>IF(AND(D666=0,D667=0,D668=0),"NA",IF(AND(D666&gt;0,D667=0),"NR",IF(D666&gt;0,"NOK","OK")))</f>
        <v>NR</v>
      </c>
      <c r="D410" s="400"/>
      <c r="E410" s="400"/>
      <c r="F410" s="401"/>
      <c r="G410" s="88"/>
      <c r="H410" s="88"/>
      <c r="I410" s="170"/>
      <c r="J410" s="88"/>
      <c r="K410" s="88"/>
      <c r="L410" s="88"/>
      <c r="M410" s="88"/>
      <c r="N410" s="88"/>
      <c r="O410" s="88"/>
      <c r="P410" s="88"/>
      <c r="Q410" s="88"/>
      <c r="R410" s="88"/>
      <c r="S410" s="88"/>
      <c r="T410" s="88"/>
    </row>
    <row r="411" spans="2:20" ht="15" thickBot="1" x14ac:dyDescent="0.4">
      <c r="B411" s="292" t="s">
        <v>320</v>
      </c>
      <c r="C411" s="400" t="str">
        <f>IF(AND(D669=0,D670=0,D671=0),"NA",IF(AND(D669&gt;0,D670=0),"NR",IF(D669&gt;0,"NOK","OK")))</f>
        <v>NR</v>
      </c>
      <c r="D411" s="400"/>
      <c r="E411" s="400"/>
      <c r="F411" s="401"/>
      <c r="G411" s="88"/>
      <c r="H411" s="88"/>
      <c r="I411" s="170"/>
      <c r="J411" s="88"/>
      <c r="K411" s="88"/>
      <c r="L411" s="88"/>
      <c r="M411" s="88"/>
      <c r="N411" s="88"/>
      <c r="O411" s="88"/>
      <c r="P411" s="88"/>
      <c r="Q411" s="88"/>
      <c r="R411" s="88"/>
      <c r="S411" s="88"/>
      <c r="T411" s="88"/>
    </row>
    <row r="412" spans="2:20" ht="15" thickBot="1" x14ac:dyDescent="0.4">
      <c r="B412" s="292" t="s">
        <v>323</v>
      </c>
      <c r="C412" s="400" t="str">
        <f>IF(AND(D672=0,D673=0,D674=0),"NA",IF(AND(D672&gt;0,D673=0),"NR",IF(D672&gt;0,"NOK","OK")))</f>
        <v>NR</v>
      </c>
      <c r="D412" s="400"/>
      <c r="E412" s="400"/>
      <c r="F412" s="401"/>
      <c r="G412" s="88"/>
      <c r="H412" s="88"/>
      <c r="I412" s="170"/>
      <c r="J412" s="88"/>
      <c r="K412" s="88"/>
      <c r="L412" s="88"/>
      <c r="M412" s="88"/>
      <c r="N412" s="88"/>
      <c r="O412" s="88"/>
      <c r="P412" s="88"/>
      <c r="Q412" s="88"/>
      <c r="R412" s="88"/>
      <c r="S412" s="88"/>
      <c r="T412" s="88"/>
    </row>
    <row r="413" spans="2:20" ht="15" thickBot="1" x14ac:dyDescent="0.4">
      <c r="B413" s="292" t="s">
        <v>326</v>
      </c>
      <c r="C413" s="400" t="str">
        <f>IF(AND(D675=0,D676=0,D677=0),"NA",IF(AND(D675&gt;0,D676=0),"NR",IF(D675&gt;0,"NOK","OK")))</f>
        <v>NR</v>
      </c>
      <c r="D413" s="400"/>
      <c r="E413" s="400"/>
      <c r="F413" s="401"/>
      <c r="G413" s="88"/>
      <c r="H413" s="88"/>
      <c r="I413" s="170"/>
      <c r="J413" s="88"/>
      <c r="K413" s="88"/>
      <c r="L413" s="88"/>
      <c r="M413" s="88"/>
      <c r="N413" s="88"/>
      <c r="O413" s="88"/>
      <c r="P413" s="88"/>
      <c r="Q413" s="88"/>
      <c r="R413" s="88"/>
      <c r="S413" s="88"/>
      <c r="T413" s="88"/>
    </row>
    <row r="414" spans="2:20" ht="15" thickBot="1" x14ac:dyDescent="0.4">
      <c r="B414" s="292" t="s">
        <v>329</v>
      </c>
      <c r="C414" s="400" t="str">
        <f>IF(AND(D678=0,D679=0,D680=0),"NA",IF(AND(D678&gt;0,D679=0),"NR",IF(D678&gt;0,"NOK","OK")))</f>
        <v>NR</v>
      </c>
      <c r="D414" s="400"/>
      <c r="E414" s="400"/>
      <c r="F414" s="401"/>
      <c r="G414" s="88"/>
      <c r="H414" s="88"/>
      <c r="I414" s="170"/>
      <c r="J414" s="88"/>
      <c r="K414" s="88"/>
      <c r="L414" s="88"/>
      <c r="M414" s="88"/>
      <c r="N414" s="88"/>
      <c r="O414" s="88"/>
      <c r="P414" s="88"/>
      <c r="Q414" s="88"/>
      <c r="R414" s="88"/>
      <c r="S414" s="88"/>
      <c r="T414" s="88"/>
    </row>
    <row r="415" spans="2:20" ht="15" thickBot="1" x14ac:dyDescent="0.4">
      <c r="B415" s="292" t="s">
        <v>922</v>
      </c>
      <c r="C415" s="400" t="str">
        <f>IF(AND(D681=0,D682=0,D683=0),"NA",IF(AND(D681&gt;0,D682=0),"NR",IF(D681&gt;0,"NOK","OK")))</f>
        <v>NR</v>
      </c>
      <c r="D415" s="400"/>
      <c r="E415" s="400"/>
      <c r="F415" s="401"/>
      <c r="G415" s="88"/>
      <c r="H415" s="88"/>
      <c r="I415" s="170"/>
      <c r="J415" s="88"/>
      <c r="K415" s="88"/>
      <c r="L415" s="88"/>
      <c r="M415" s="88"/>
      <c r="N415" s="88"/>
      <c r="O415" s="88"/>
      <c r="P415" s="88"/>
      <c r="Q415" s="88"/>
      <c r="R415" s="88"/>
      <c r="S415" s="88"/>
      <c r="T415" s="88"/>
    </row>
    <row r="416" spans="2:20" ht="15" thickBot="1" x14ac:dyDescent="0.4">
      <c r="B416" s="292" t="s">
        <v>923</v>
      </c>
      <c r="C416" s="400" t="str">
        <f>IF(AND(D684=0,D685=0,D686=0),"NA",IF(AND(D684&gt;0,D685=0),"NR",IF(D684&gt;0,"NOK","OK")))</f>
        <v>NR</v>
      </c>
      <c r="D416" s="400"/>
      <c r="E416" s="400"/>
      <c r="F416" s="401"/>
      <c r="G416" s="88"/>
      <c r="H416" s="88"/>
      <c r="I416" s="170"/>
      <c r="J416" s="88"/>
      <c r="K416" s="88"/>
      <c r="L416" s="88"/>
      <c r="M416" s="88"/>
      <c r="N416" s="88"/>
      <c r="O416" s="88"/>
      <c r="P416" s="88"/>
      <c r="Q416" s="88"/>
      <c r="R416" s="88"/>
      <c r="S416" s="88"/>
      <c r="T416" s="88"/>
    </row>
    <row r="417" spans="1:20" ht="15" thickBot="1" x14ac:dyDescent="0.4">
      <c r="B417" s="292" t="s">
        <v>924</v>
      </c>
      <c r="C417" s="400" t="str">
        <f>IF(AND(D687=0,D688=0,D689=0),"NA",IF(AND(D687&gt;0,D688=0),"NR",IF(D687&gt;0,"NOK","OK")))</f>
        <v>NR</v>
      </c>
      <c r="D417" s="400"/>
      <c r="E417" s="400"/>
      <c r="F417" s="401"/>
      <c r="G417" s="88"/>
      <c r="H417" s="88"/>
      <c r="I417" s="170"/>
      <c r="J417" s="88"/>
      <c r="K417" s="88"/>
      <c r="L417" s="88"/>
      <c r="M417" s="88"/>
      <c r="N417" s="88"/>
      <c r="O417" s="88"/>
      <c r="P417" s="88"/>
      <c r="Q417" s="88"/>
      <c r="R417" s="88"/>
      <c r="S417" s="88"/>
      <c r="T417" s="88"/>
    </row>
    <row r="418" spans="1:20" ht="15" thickBot="1" x14ac:dyDescent="0.4">
      <c r="B418" s="292" t="s">
        <v>925</v>
      </c>
      <c r="C418" s="400" t="str">
        <f>IF(AND(D690=0,D691=0,D692=0),"NA",IF(AND(D690&gt;0,D691=0),"NR",IF(D690&gt;0,"NOK","OK")))</f>
        <v>NR</v>
      </c>
      <c r="D418" s="400"/>
      <c r="E418" s="400"/>
      <c r="F418" s="401"/>
      <c r="G418" s="88"/>
      <c r="H418" s="88"/>
      <c r="I418" s="170"/>
      <c r="J418" s="88"/>
      <c r="K418" s="88"/>
      <c r="L418" s="88"/>
      <c r="M418" s="88"/>
      <c r="N418" s="88"/>
      <c r="O418" s="88"/>
      <c r="P418" s="88"/>
      <c r="Q418" s="88"/>
      <c r="R418" s="88"/>
      <c r="S418" s="88"/>
      <c r="T418" s="88"/>
    </row>
    <row r="419" spans="1:20" ht="15" thickBot="1" x14ac:dyDescent="0.4">
      <c r="B419" s="292" t="s">
        <v>926</v>
      </c>
      <c r="C419" s="400" t="str">
        <f>IF(AND(D693=0,D694=0,D695=0),"NA",IF(AND(D693&gt;0,D694=0),"NR",IF(D693&gt;0,"NOK","OK")))</f>
        <v>NR</v>
      </c>
      <c r="D419" s="400"/>
      <c r="E419" s="400"/>
      <c r="F419" s="401"/>
      <c r="G419" s="88"/>
      <c r="H419" s="88"/>
      <c r="I419" s="170"/>
      <c r="J419" s="88"/>
      <c r="K419" s="88"/>
      <c r="L419" s="88"/>
      <c r="M419" s="88"/>
      <c r="N419" s="88"/>
      <c r="O419" s="88"/>
      <c r="P419" s="88"/>
      <c r="Q419" s="88"/>
      <c r="R419" s="88"/>
      <c r="S419" s="88"/>
      <c r="T419" s="88"/>
    </row>
    <row r="420" spans="1:20" ht="15" thickBot="1" x14ac:dyDescent="0.4">
      <c r="B420" s="292" t="s">
        <v>927</v>
      </c>
      <c r="C420" s="400" t="str">
        <f>IF(AND(D696=0,D697=0,D698=0),"NA",IF(AND(D696&gt;0,D697=0),"NR",IF(D696&gt;0,"NOK","OK")))</f>
        <v>NR</v>
      </c>
      <c r="D420" s="400"/>
      <c r="E420" s="400"/>
      <c r="F420" s="401"/>
      <c r="G420" s="88"/>
      <c r="H420" s="88"/>
      <c r="I420" s="170"/>
      <c r="J420" s="88"/>
      <c r="K420" s="88"/>
      <c r="L420" s="88"/>
      <c r="M420" s="88"/>
      <c r="N420" s="88"/>
      <c r="O420" s="88"/>
      <c r="P420" s="88"/>
      <c r="Q420" s="88"/>
      <c r="R420" s="88"/>
      <c r="S420" s="88"/>
      <c r="T420" s="88"/>
    </row>
    <row r="421" spans="1:20" ht="15" thickBot="1" x14ac:dyDescent="0.4">
      <c r="B421" s="292" t="s">
        <v>928</v>
      </c>
      <c r="C421" s="400" t="str">
        <f>IF(AND(D699=0,D700=0,D701=0),"NA",IF(AND(D699&gt;0,D700=0),"NR",IF(D699&gt;0,"NOK","OK")))</f>
        <v>NR</v>
      </c>
      <c r="D421" s="400"/>
      <c r="E421" s="400"/>
      <c r="F421" s="401"/>
      <c r="G421" s="88"/>
      <c r="H421" s="88"/>
      <c r="I421" s="170"/>
      <c r="J421" s="88"/>
      <c r="K421" s="88"/>
      <c r="L421" s="88"/>
      <c r="M421" s="88"/>
      <c r="N421" s="88"/>
      <c r="O421" s="88"/>
      <c r="P421" s="88"/>
      <c r="Q421" s="88"/>
      <c r="R421" s="88"/>
      <c r="S421" s="88"/>
      <c r="T421" s="88"/>
    </row>
    <row r="422" spans="1:20" ht="15" thickBot="1" x14ac:dyDescent="0.4">
      <c r="B422" s="292" t="s">
        <v>929</v>
      </c>
      <c r="C422" s="400" t="str">
        <f>IF(AND(D702=0,D703=0,D704=0),"NA",IF(AND(D702&gt;0,D703=0),"NR",IF(D702&gt;0,"NOK","OK")))</f>
        <v>NR</v>
      </c>
      <c r="D422" s="400"/>
      <c r="E422" s="400"/>
      <c r="F422" s="401"/>
      <c r="G422" s="88"/>
      <c r="H422" s="88"/>
      <c r="I422" s="170"/>
      <c r="J422" s="88"/>
      <c r="K422" s="88"/>
      <c r="L422" s="88"/>
      <c r="M422" s="88"/>
      <c r="N422" s="88"/>
      <c r="O422" s="88"/>
      <c r="P422" s="88"/>
      <c r="Q422" s="88"/>
      <c r="R422" s="88"/>
      <c r="S422" s="88"/>
      <c r="T422" s="88"/>
    </row>
    <row r="423" spans="1:20" ht="15" thickBot="1" x14ac:dyDescent="0.4">
      <c r="B423" s="292" t="s">
        <v>930</v>
      </c>
      <c r="C423" s="400" t="str">
        <f>IF(AND(D705=0,D706=0,D707=0),"NA",IF(AND(D705&gt;0,D706=0),"NR",IF(D705&gt;0,"NOK","OK")))</f>
        <v>NR</v>
      </c>
      <c r="D423" s="400"/>
      <c r="E423" s="400"/>
      <c r="F423" s="401"/>
      <c r="G423" s="88"/>
      <c r="H423" s="88"/>
      <c r="I423" s="170"/>
      <c r="J423" s="88"/>
      <c r="K423" s="88"/>
      <c r="L423" s="88"/>
      <c r="M423" s="88"/>
      <c r="N423" s="88"/>
      <c r="O423" s="88"/>
      <c r="P423" s="88"/>
      <c r="Q423" s="88"/>
      <c r="R423" s="88"/>
      <c r="S423" s="88"/>
      <c r="T423" s="88"/>
    </row>
    <row r="424" spans="1:20" ht="15" thickBot="1" x14ac:dyDescent="0.4">
      <c r="B424" s="292" t="s">
        <v>931</v>
      </c>
      <c r="C424" s="400" t="str">
        <f>IF(AND(D708=0,D709=0,D710=0),"NA",IF(AND(D708&gt;0,D709=0),"NR",IF(D708&gt;0,"NOK","OK")))</f>
        <v>NR</v>
      </c>
      <c r="D424" s="400"/>
      <c r="E424" s="400"/>
      <c r="F424" s="401"/>
      <c r="G424" s="88"/>
      <c r="H424" s="88"/>
      <c r="I424" s="170"/>
      <c r="J424" s="88"/>
      <c r="K424" s="88"/>
      <c r="L424" s="88"/>
      <c r="M424" s="88"/>
      <c r="N424" s="88"/>
      <c r="O424" s="88"/>
      <c r="P424" s="88"/>
      <c r="Q424" s="88"/>
      <c r="R424" s="88"/>
      <c r="S424" s="88"/>
      <c r="T424" s="88"/>
    </row>
    <row r="425" spans="1:20" ht="15" thickBot="1" x14ac:dyDescent="0.4">
      <c r="B425" s="292" t="s">
        <v>932</v>
      </c>
      <c r="C425" s="400" t="str">
        <f>IF(AND(D711=0,D712=0,D713=0),"NA",IF(AND(D711&gt;0,D712=0),"NR",IF(D711&gt;0,"NOK","OK")))</f>
        <v>NR</v>
      </c>
      <c r="D425" s="400"/>
      <c r="E425" s="400"/>
      <c r="F425" s="401"/>
      <c r="G425" s="88"/>
      <c r="H425" s="88"/>
      <c r="I425" s="170"/>
      <c r="J425" s="88"/>
      <c r="K425" s="88"/>
      <c r="L425" s="88"/>
      <c r="M425" s="88"/>
      <c r="N425" s="88"/>
      <c r="O425" s="88"/>
      <c r="P425" s="88"/>
      <c r="Q425" s="88"/>
      <c r="R425" s="88"/>
      <c r="S425" s="88"/>
      <c r="T425" s="88"/>
    </row>
    <row r="426" spans="1:20" ht="15" thickBot="1" x14ac:dyDescent="0.4">
      <c r="B426" s="292" t="s">
        <v>933</v>
      </c>
      <c r="C426" s="400" t="str">
        <f>IF(AND(D714=0,D715=0,D716=0),"NA",IF(AND(D714&gt;0,D715=0),"NR",IF(D714&gt;0,"NOK","OK")))</f>
        <v>NR</v>
      </c>
      <c r="D426" s="400"/>
      <c r="E426" s="400"/>
      <c r="F426" s="401"/>
      <c r="G426" s="88"/>
      <c r="H426" s="88"/>
      <c r="I426" s="170"/>
      <c r="J426" s="88"/>
      <c r="K426" s="88"/>
      <c r="L426" s="88"/>
      <c r="M426" s="88"/>
      <c r="N426" s="88"/>
      <c r="O426" s="88"/>
      <c r="P426" s="88"/>
      <c r="Q426" s="88"/>
      <c r="R426" s="88"/>
      <c r="S426" s="88"/>
      <c r="T426" s="88"/>
    </row>
    <row r="427" spans="1:20" ht="15" thickBot="1" x14ac:dyDescent="0.4">
      <c r="B427" s="292" t="s">
        <v>934</v>
      </c>
      <c r="C427" s="400" t="str">
        <f>IF(AND(D717=0,D718=0,D719=0),"NA",IF(AND(D717&gt;0,D718=0),"NR",IF(D717&gt;0,"NOK","OK")))</f>
        <v>NR</v>
      </c>
      <c r="D427" s="400"/>
      <c r="E427" s="400"/>
      <c r="F427" s="401"/>
      <c r="G427" s="88"/>
      <c r="H427" s="88"/>
      <c r="I427" s="171"/>
      <c r="J427" s="88"/>
      <c r="K427" s="88"/>
      <c r="L427" s="88"/>
      <c r="M427" s="88"/>
      <c r="N427" s="88"/>
      <c r="O427" s="88"/>
      <c r="P427" s="88"/>
      <c r="Q427" s="88"/>
      <c r="R427" s="88"/>
      <c r="S427" s="88"/>
      <c r="T427" s="88"/>
    </row>
    <row r="428" spans="1:20" ht="15" thickBot="1" x14ac:dyDescent="0.4">
      <c r="B428" s="292" t="s">
        <v>935</v>
      </c>
      <c r="C428" s="400" t="str">
        <f>IF(AND(D720=0,D721=0,D722=0),"NA",IF(AND(D720&gt;0,D721=0),"NR",IF(D720&gt;0,"NOK","OK")))</f>
        <v>NR</v>
      </c>
      <c r="D428" s="400"/>
      <c r="E428" s="400"/>
      <c r="F428" s="401"/>
      <c r="G428" s="88"/>
      <c r="H428" s="88"/>
      <c r="I428" s="172"/>
      <c r="J428" s="88"/>
      <c r="K428" s="88"/>
      <c r="L428" s="88"/>
      <c r="M428" s="88"/>
      <c r="N428" s="88"/>
      <c r="O428" s="88"/>
      <c r="P428" s="88"/>
      <c r="Q428" s="88"/>
      <c r="R428" s="88"/>
      <c r="S428" s="88"/>
      <c r="T428" s="88"/>
    </row>
    <row r="429" spans="1:20" ht="15" thickBot="1" x14ac:dyDescent="0.4">
      <c r="B429" s="292" t="s">
        <v>936</v>
      </c>
      <c r="C429" s="400" t="str">
        <f>IF(AND(D723=0,D724=0,D725=0),"NA",IF(AND(D723&gt;0,D724=0),"NR",IF(D723&gt;0,"NOK","OK")))</f>
        <v>NR</v>
      </c>
      <c r="D429" s="400"/>
      <c r="E429" s="400"/>
      <c r="F429" s="401"/>
      <c r="G429" s="88"/>
      <c r="H429" s="88"/>
      <c r="I429" s="173"/>
      <c r="J429" s="88"/>
      <c r="K429" s="88"/>
      <c r="L429" s="88"/>
      <c r="M429" s="88"/>
      <c r="N429" s="88"/>
      <c r="O429" s="88"/>
      <c r="P429" s="88"/>
      <c r="Q429" s="88"/>
      <c r="R429" s="88"/>
      <c r="S429" s="88"/>
      <c r="T429" s="88"/>
    </row>
    <row r="430" spans="1:20" ht="15" thickBot="1" x14ac:dyDescent="0.4">
      <c r="B430" s="292" t="s">
        <v>378</v>
      </c>
      <c r="C430" s="400" t="str">
        <f>IF(AND(D726=0,D727=0,D728=0),"NA",IF(AND(D726&gt;0,D727=0),"NR",IF(D726&gt;0,"NOK","OK")))</f>
        <v>NR</v>
      </c>
      <c r="D430" s="400"/>
      <c r="E430" s="400"/>
      <c r="F430" s="401"/>
      <c r="G430" s="88"/>
      <c r="H430" s="88"/>
      <c r="I430" s="88"/>
      <c r="J430" s="88"/>
      <c r="K430" s="88"/>
      <c r="L430" s="88"/>
      <c r="M430" s="88"/>
      <c r="N430" s="88"/>
      <c r="O430" s="88"/>
      <c r="P430" s="88"/>
      <c r="Q430" s="88"/>
      <c r="R430" s="88"/>
      <c r="S430" s="88"/>
      <c r="T430" s="88"/>
    </row>
    <row r="431" spans="1:20" x14ac:dyDescent="0.35">
      <c r="B431" s="296" t="s">
        <v>381</v>
      </c>
      <c r="C431" s="431" t="str">
        <f>IF(AND(D729=0,D730=0,D731=0),"NA",IF(AND(D729&gt;0,D730=0),"NR",IF(D729&gt;0,"NOK","OK")))</f>
        <v>NR</v>
      </c>
      <c r="D431" s="431"/>
      <c r="E431" s="431"/>
      <c r="F431" s="432"/>
      <c r="G431" s="88"/>
      <c r="H431" s="88"/>
      <c r="I431" s="88"/>
      <c r="J431" s="88"/>
      <c r="K431" s="88"/>
      <c r="L431" s="88"/>
      <c r="M431" s="88"/>
      <c r="N431" s="88"/>
      <c r="O431" s="88"/>
      <c r="P431" s="88"/>
      <c r="Q431" s="88"/>
      <c r="R431" s="88"/>
      <c r="S431" s="88"/>
      <c r="T431" s="88"/>
    </row>
    <row r="432" spans="1:20" s="136" customFormat="1" x14ac:dyDescent="0.35">
      <c r="A432" s="174"/>
      <c r="B432" s="297" t="s">
        <v>383</v>
      </c>
      <c r="C432" s="392" t="str">
        <f>IF(AND(D732=0,D733=0,D734=0),"NA",IF(AND(D732&gt;0,D733=0),"NR",IF(D732&gt;0,"NOK","OK")))</f>
        <v>NR</v>
      </c>
      <c r="D432" s="392"/>
      <c r="E432" s="392"/>
      <c r="F432" s="392"/>
      <c r="G432" s="120"/>
      <c r="H432" s="120"/>
      <c r="I432" s="120"/>
      <c r="J432" s="120"/>
      <c r="K432" s="120"/>
      <c r="L432" s="120"/>
      <c r="M432" s="120"/>
      <c r="N432" s="120"/>
      <c r="O432" s="120"/>
      <c r="P432" s="120"/>
      <c r="Q432" s="120"/>
      <c r="R432" s="120"/>
      <c r="S432" s="120"/>
      <c r="T432" s="120"/>
    </row>
    <row r="433" spans="2:20" x14ac:dyDescent="0.35">
      <c r="B433" s="297" t="s">
        <v>393</v>
      </c>
      <c r="C433" s="392" t="str">
        <f>IF(AND(D735=0,D736=0,D737=0),"NA",IF(AND(D735&gt;0,D736=0),"NR",IF(D735&gt;0,"NOK","OK")))</f>
        <v>NR</v>
      </c>
      <c r="D433" s="392"/>
      <c r="E433" s="392"/>
      <c r="F433" s="392"/>
      <c r="G433" s="88"/>
      <c r="H433" s="88"/>
      <c r="I433" s="88"/>
      <c r="J433" s="88"/>
      <c r="K433" s="88"/>
      <c r="L433" s="88"/>
      <c r="M433" s="88"/>
      <c r="N433" s="88"/>
      <c r="O433" s="88"/>
      <c r="P433" s="88"/>
      <c r="Q433" s="88"/>
      <c r="R433" s="88"/>
      <c r="S433" s="88"/>
      <c r="T433" s="88"/>
    </row>
    <row r="434" spans="2:20" x14ac:dyDescent="0.35">
      <c r="B434" s="297" t="s">
        <v>396</v>
      </c>
      <c r="C434" s="392" t="str">
        <f>IF(AND(D738=0,D739=0,D740=0),"NA",IF(AND(D738&gt;0,D739=0),"NR",IF(D738&gt;0,"NOK","OK")))</f>
        <v>NR</v>
      </c>
      <c r="D434" s="392"/>
      <c r="E434" s="392"/>
      <c r="F434" s="392"/>
      <c r="G434" s="88"/>
      <c r="H434" s="88"/>
      <c r="I434" s="88"/>
      <c r="J434" s="88"/>
      <c r="K434" s="88"/>
      <c r="L434" s="88"/>
      <c r="M434" s="88"/>
      <c r="N434" s="88"/>
      <c r="O434" s="88"/>
      <c r="P434" s="88"/>
      <c r="Q434" s="88"/>
      <c r="R434" s="88"/>
      <c r="S434" s="88"/>
      <c r="T434" s="88"/>
    </row>
    <row r="435" spans="2:20" x14ac:dyDescent="0.35">
      <c r="B435" s="297" t="s">
        <v>399</v>
      </c>
      <c r="C435" s="392" t="str">
        <f>IF(AND(D741=0,D742=0,D743=0),"NA",IF(AND(D741&gt;0,D742=0),"NR",IF(D741&gt;0,"NOK","OK")))</f>
        <v>NR</v>
      </c>
      <c r="D435" s="392"/>
      <c r="E435" s="392"/>
      <c r="F435" s="392"/>
      <c r="G435" s="88"/>
      <c r="H435" s="88"/>
      <c r="I435" s="88"/>
      <c r="J435" s="88"/>
      <c r="K435" s="88"/>
      <c r="L435" s="88"/>
      <c r="M435" s="88"/>
      <c r="N435" s="88"/>
      <c r="O435" s="88"/>
      <c r="P435" s="88"/>
      <c r="Q435" s="88"/>
      <c r="R435" s="88"/>
      <c r="S435" s="88"/>
      <c r="T435" s="88"/>
    </row>
    <row r="436" spans="2:20" x14ac:dyDescent="0.35">
      <c r="B436" s="297" t="s">
        <v>402</v>
      </c>
      <c r="C436" s="392" t="str">
        <f>IF(AND(D744=0,D745=0,D746=0),"NA",IF(AND(D744&gt;0,D745=0),"NR",IF(D744&gt;0,"NOK","OK")))</f>
        <v>NR</v>
      </c>
      <c r="D436" s="392"/>
      <c r="E436" s="392"/>
      <c r="F436" s="392"/>
      <c r="G436" s="88"/>
      <c r="H436" s="88"/>
      <c r="I436" s="88"/>
      <c r="J436" s="88"/>
      <c r="K436" s="88"/>
      <c r="L436" s="88"/>
      <c r="M436" s="88"/>
      <c r="N436" s="88"/>
      <c r="O436" s="88"/>
      <c r="P436" s="88"/>
      <c r="Q436" s="88"/>
      <c r="R436" s="88"/>
      <c r="S436" s="88"/>
      <c r="T436" s="88"/>
    </row>
    <row r="437" spans="2:20" x14ac:dyDescent="0.35">
      <c r="B437" s="297" t="s">
        <v>405</v>
      </c>
      <c r="C437" s="392" t="str">
        <f>IF(AND(D747=0,D748=0,D749=0),"NA",IF(AND(D747&gt;0,D748=0),"NR",IF(D747&gt;0,"NOK","OK")))</f>
        <v>NR</v>
      </c>
      <c r="D437" s="392"/>
      <c r="E437" s="392"/>
      <c r="F437" s="392"/>
      <c r="G437" s="88"/>
      <c r="H437" s="88"/>
      <c r="I437" s="88"/>
      <c r="J437" s="88"/>
      <c r="K437" s="88"/>
      <c r="L437" s="88"/>
      <c r="M437" s="88"/>
      <c r="N437" s="88"/>
      <c r="O437" s="88"/>
      <c r="P437" s="88"/>
      <c r="Q437" s="88"/>
      <c r="R437" s="88"/>
      <c r="S437" s="88"/>
      <c r="T437" s="88"/>
    </row>
    <row r="438" spans="2:20" x14ac:dyDescent="0.35">
      <c r="B438" s="297" t="s">
        <v>408</v>
      </c>
      <c r="C438" s="392" t="str">
        <f>IF(AND(D750=0,D751=0,D752=0),"NA",IF(AND(D750&gt;0,D751=0),"NR",IF(D750&gt;0,"NOK","OK")))</f>
        <v>NR</v>
      </c>
      <c r="D438" s="392"/>
      <c r="E438" s="392"/>
      <c r="F438" s="392"/>
      <c r="G438" s="88"/>
      <c r="H438" s="88"/>
      <c r="I438" s="88"/>
      <c r="J438" s="88"/>
      <c r="K438" s="88"/>
      <c r="L438" s="88"/>
      <c r="M438" s="88"/>
      <c r="N438" s="88"/>
      <c r="O438" s="88"/>
      <c r="P438" s="88"/>
      <c r="Q438" s="88"/>
      <c r="R438" s="88"/>
      <c r="S438" s="88"/>
      <c r="T438" s="88"/>
    </row>
    <row r="439" spans="2:20" x14ac:dyDescent="0.35">
      <c r="B439" s="297" t="s">
        <v>411</v>
      </c>
      <c r="C439" s="392" t="str">
        <f>IF(AND(D753=0,D754=0,D755=0),"NA",IF(AND(D753&gt;0,D754=0),"NR",IF(D753&gt;0,"NOK","OK")))</f>
        <v>NR</v>
      </c>
      <c r="D439" s="392"/>
      <c r="E439" s="392"/>
      <c r="F439" s="392"/>
      <c r="G439" s="88"/>
      <c r="H439" s="88"/>
      <c r="I439" s="88"/>
      <c r="J439" s="88"/>
      <c r="K439" s="88"/>
      <c r="L439" s="88"/>
      <c r="M439" s="88"/>
      <c r="N439" s="88"/>
      <c r="O439" s="88"/>
      <c r="P439" s="88"/>
      <c r="Q439" s="88"/>
      <c r="R439" s="88"/>
      <c r="S439" s="88"/>
      <c r="T439" s="88"/>
    </row>
    <row r="440" spans="2:20" x14ac:dyDescent="0.35">
      <c r="B440" s="297" t="s">
        <v>414</v>
      </c>
      <c r="C440" s="392" t="str">
        <f>IF(AND(D756=0,D757=0,D758=0),"NA",IF(AND(D756&gt;0,D757=0),"NR",IF(D756&gt;0,"NOK","OK")))</f>
        <v>NR</v>
      </c>
      <c r="D440" s="392"/>
      <c r="E440" s="392"/>
      <c r="F440" s="392"/>
      <c r="G440" s="88"/>
      <c r="H440" s="88"/>
      <c r="I440" s="88"/>
      <c r="J440" s="88"/>
      <c r="K440" s="88"/>
      <c r="L440" s="88"/>
      <c r="M440" s="88"/>
      <c r="N440" s="88"/>
      <c r="O440" s="88"/>
      <c r="P440" s="88"/>
      <c r="Q440" s="88"/>
      <c r="R440" s="88"/>
      <c r="S440" s="88"/>
      <c r="T440" s="88"/>
    </row>
    <row r="441" spans="2:20" x14ac:dyDescent="0.35">
      <c r="B441" s="297" t="s">
        <v>417</v>
      </c>
      <c r="C441" s="392" t="str">
        <f>IF(AND(D759=0,D760=0,D761=0),"NA",IF(AND(D759&gt;0,D760=0),"NR",IF(D759&gt;0,"NOK","OK")))</f>
        <v>NR</v>
      </c>
      <c r="D441" s="392"/>
      <c r="E441" s="392"/>
      <c r="F441" s="392"/>
      <c r="G441" s="88"/>
      <c r="H441" s="88"/>
      <c r="I441" s="88"/>
      <c r="J441" s="88"/>
      <c r="K441" s="88"/>
      <c r="L441" s="88"/>
      <c r="M441" s="88"/>
      <c r="N441" s="88"/>
      <c r="O441" s="88"/>
      <c r="P441" s="88"/>
      <c r="Q441" s="88"/>
      <c r="R441" s="88"/>
      <c r="S441" s="88"/>
      <c r="T441" s="88"/>
    </row>
    <row r="442" spans="2:20" x14ac:dyDescent="0.35">
      <c r="B442" s="297" t="s">
        <v>420</v>
      </c>
      <c r="C442" s="392" t="str">
        <f>IF(AND(D762=0,D763=0,D764=0),"NA",IF(AND(D762&gt;0,D763=0),"NR",IF(D763&gt;0,"NOK","OK")))</f>
        <v>NR</v>
      </c>
      <c r="D442" s="392"/>
      <c r="E442" s="392"/>
      <c r="F442" s="392"/>
      <c r="G442" s="88"/>
      <c r="H442" s="88"/>
      <c r="I442" s="88"/>
      <c r="J442" s="88"/>
      <c r="K442" s="88"/>
      <c r="L442" s="88"/>
      <c r="M442" s="88"/>
      <c r="N442" s="88"/>
      <c r="O442" s="88"/>
      <c r="P442" s="88"/>
      <c r="Q442" s="88"/>
      <c r="R442" s="88"/>
      <c r="S442" s="88"/>
      <c r="T442" s="88"/>
    </row>
    <row r="443" spans="2:20" ht="15" thickBot="1" x14ac:dyDescent="0.4">
      <c r="B443" s="115"/>
      <c r="C443" s="116"/>
      <c r="D443" s="116"/>
      <c r="E443" s="117"/>
      <c r="F443" s="116"/>
      <c r="G443" s="88"/>
      <c r="H443" s="88"/>
      <c r="I443" s="88"/>
      <c r="J443" s="88"/>
      <c r="K443" s="88"/>
      <c r="L443" s="88"/>
      <c r="M443" s="88"/>
      <c r="N443" s="88"/>
      <c r="O443" s="88"/>
      <c r="P443" s="88"/>
      <c r="Q443" s="88"/>
      <c r="R443" s="88"/>
      <c r="S443" s="88"/>
      <c r="T443" s="88"/>
    </row>
    <row r="444" spans="2:20" ht="15" thickBot="1" x14ac:dyDescent="0.4">
      <c r="B444" s="394" t="s">
        <v>580</v>
      </c>
      <c r="C444" s="395"/>
      <c r="D444" s="395"/>
      <c r="E444" s="395"/>
      <c r="F444" s="396"/>
      <c r="G444" s="88"/>
      <c r="H444" s="88"/>
      <c r="I444" s="88"/>
      <c r="J444" s="88"/>
      <c r="K444" s="88"/>
      <c r="L444" s="88"/>
      <c r="M444" s="88"/>
      <c r="N444" s="88"/>
      <c r="O444" s="88"/>
      <c r="P444" s="88"/>
      <c r="Q444" s="88"/>
      <c r="R444" s="88"/>
      <c r="S444" s="88"/>
      <c r="T444" s="88"/>
    </row>
    <row r="445" spans="2:20" ht="31.5" thickBot="1" x14ac:dyDescent="0.4">
      <c r="B445" s="118" t="s">
        <v>937</v>
      </c>
      <c r="C445" s="119" t="str">
        <f>IF(AND(COUNTIF(C340:C350,"NOK")=0,COUNTIF(C340:C350,"OK")=0,COUNTIF(C340:C350,"NR")=0),"NA",IF(AND(COUNTIF(C340:C350,"NR")&gt;0,COUNTIF(C340:C350,"NOK")=0),"NR",IF(COUNTIF(C340:C350,"NOK")&gt;0,"NOK","OK")))</f>
        <v>NR</v>
      </c>
      <c r="D445" s="397" t="s">
        <v>57</v>
      </c>
      <c r="E445" s="398"/>
      <c r="F445" s="399"/>
      <c r="G445" s="88"/>
      <c r="H445" s="88"/>
      <c r="I445" s="88"/>
      <c r="J445" s="88"/>
      <c r="K445" s="88"/>
      <c r="L445" s="88"/>
      <c r="M445" s="88"/>
      <c r="N445" s="88"/>
      <c r="O445" s="88"/>
      <c r="P445" s="88"/>
      <c r="Q445" s="88"/>
      <c r="R445" s="88"/>
      <c r="S445" s="88"/>
      <c r="T445" s="88"/>
    </row>
    <row r="446" spans="2:20" x14ac:dyDescent="0.35">
      <c r="B446" s="83"/>
      <c r="C446" s="88"/>
      <c r="D446" s="88"/>
      <c r="E446" s="111"/>
      <c r="F446" s="88"/>
      <c r="G446" s="88"/>
      <c r="H446" s="88"/>
      <c r="I446" s="88"/>
      <c r="J446" s="88"/>
      <c r="K446" s="88"/>
      <c r="L446" s="88"/>
      <c r="M446" s="88"/>
      <c r="N446" s="88"/>
      <c r="O446" s="88"/>
      <c r="P446" s="88"/>
      <c r="Q446" s="88"/>
      <c r="R446" s="88"/>
      <c r="S446" s="88"/>
      <c r="T446" s="88"/>
    </row>
    <row r="447" spans="2:20" x14ac:dyDescent="0.35">
      <c r="B447" s="83"/>
      <c r="C447" s="88"/>
      <c r="D447" s="88"/>
      <c r="E447" s="111"/>
      <c r="F447" s="88"/>
      <c r="G447" s="88"/>
      <c r="H447" s="88"/>
      <c r="I447" s="88"/>
      <c r="J447" s="88"/>
      <c r="K447" s="88"/>
      <c r="L447" s="88"/>
      <c r="M447" s="88"/>
      <c r="N447" s="88"/>
      <c r="O447" s="88"/>
      <c r="P447" s="88"/>
      <c r="Q447" s="88"/>
      <c r="R447" s="88"/>
      <c r="S447" s="88"/>
      <c r="T447" s="88"/>
    </row>
    <row r="448" spans="2:20" x14ac:dyDescent="0.35">
      <c r="B448" s="83"/>
      <c r="C448" s="88"/>
      <c r="D448" s="88"/>
      <c r="E448" s="111"/>
      <c r="F448" s="88"/>
      <c r="G448" s="88"/>
      <c r="H448" s="88"/>
      <c r="I448" s="88"/>
      <c r="J448" s="88"/>
      <c r="K448" s="88"/>
      <c r="L448" s="88"/>
      <c r="M448" s="88"/>
      <c r="N448" s="88"/>
      <c r="O448" s="88"/>
      <c r="P448" s="88"/>
      <c r="Q448" s="88"/>
      <c r="R448" s="88"/>
      <c r="S448" s="88"/>
      <c r="T448" s="88"/>
    </row>
    <row r="449" spans="2:20" x14ac:dyDescent="0.35">
      <c r="B449" s="391" t="s">
        <v>582</v>
      </c>
      <c r="C449" s="391"/>
      <c r="D449" s="391"/>
      <c r="E449" s="88"/>
      <c r="F449" s="88"/>
      <c r="G449" s="88"/>
      <c r="H449" s="88"/>
      <c r="I449" s="88"/>
      <c r="J449" s="88"/>
      <c r="K449" s="88"/>
      <c r="L449" s="88"/>
      <c r="M449" s="88"/>
      <c r="N449" s="88"/>
      <c r="O449" s="88"/>
      <c r="P449" s="88"/>
      <c r="Q449" s="88"/>
      <c r="R449" s="88"/>
      <c r="S449" s="88"/>
      <c r="T449" s="88"/>
    </row>
    <row r="450" spans="2:20" x14ac:dyDescent="0.35">
      <c r="B450" s="390" t="str">
        <f>B340</f>
        <v>REQ_SYS_HV_NW_Remote_148</v>
      </c>
      <c r="C450" s="120" t="s">
        <v>549</v>
      </c>
      <c r="D450" s="120">
        <f>IF($B$450=0,0,COUNTIFS($B$8:$B$332,"*"&amp;$B$450&amp;"*",$C$8:$C$332,C450))</f>
        <v>18</v>
      </c>
      <c r="E450" s="88"/>
      <c r="F450" s="88"/>
      <c r="G450" s="88"/>
      <c r="H450" s="88"/>
      <c r="I450" s="88"/>
      <c r="J450" s="88"/>
      <c r="K450" s="88"/>
      <c r="L450" s="88"/>
      <c r="M450" s="88"/>
      <c r="N450" s="88"/>
      <c r="O450" s="88"/>
      <c r="P450" s="88"/>
      <c r="Q450" s="88"/>
      <c r="R450" s="88"/>
      <c r="S450" s="88"/>
      <c r="T450" s="88"/>
    </row>
    <row r="451" spans="2:20" x14ac:dyDescent="0.35">
      <c r="B451" s="390"/>
      <c r="C451" s="120" t="s">
        <v>583</v>
      </c>
      <c r="D451" s="120">
        <f>IF($B$450=0,0,COUNTIFS($B$8:$B$332,"*"&amp;$B$450&amp;"*",$C$8:$C$332,C451))</f>
        <v>0</v>
      </c>
      <c r="E451" s="88"/>
      <c r="F451" s="88"/>
      <c r="G451" s="88"/>
      <c r="H451" s="88"/>
      <c r="I451" s="88"/>
      <c r="J451" s="88"/>
      <c r="K451" s="88"/>
      <c r="L451" s="88"/>
      <c r="M451" s="88"/>
      <c r="N451" s="88"/>
      <c r="O451" s="88"/>
      <c r="P451" s="88"/>
      <c r="Q451" s="88"/>
      <c r="R451" s="88"/>
      <c r="S451" s="88"/>
      <c r="T451" s="88"/>
    </row>
    <row r="452" spans="2:20" x14ac:dyDescent="0.35">
      <c r="B452" s="390"/>
      <c r="C452" s="120" t="s">
        <v>584</v>
      </c>
      <c r="D452" s="120">
        <f>IF($B$450=0,0,COUNTIFS($B$8:$B$332,"*"&amp;$B$450&amp;"*",$C$8:$C$332,C452))</f>
        <v>0</v>
      </c>
      <c r="E452" s="88"/>
      <c r="F452" s="88"/>
      <c r="G452" s="88"/>
      <c r="H452" s="88"/>
      <c r="I452" s="88"/>
      <c r="J452" s="88"/>
      <c r="K452" s="88"/>
      <c r="L452" s="88"/>
      <c r="M452" s="88"/>
      <c r="N452" s="88"/>
      <c r="O452" s="88"/>
      <c r="P452" s="88"/>
      <c r="Q452" s="88"/>
      <c r="R452" s="88"/>
      <c r="S452" s="88"/>
      <c r="T452" s="88"/>
    </row>
    <row r="453" spans="2:20" x14ac:dyDescent="0.35">
      <c r="B453" s="390">
        <f>B341</f>
        <v>0</v>
      </c>
      <c r="C453" s="120" t="s">
        <v>549</v>
      </c>
      <c r="D453" s="120">
        <f>IF($B$453=0,0,COUNTIFS($B$8:$B$332,"*"&amp;$B$453&amp;"*",$C$8:$C$332,C453))</f>
        <v>0</v>
      </c>
      <c r="E453" s="88"/>
      <c r="F453" s="88"/>
      <c r="G453" s="88"/>
      <c r="H453" s="88"/>
      <c r="I453" s="88"/>
      <c r="J453" s="88"/>
      <c r="K453" s="88"/>
      <c r="L453" s="88"/>
      <c r="M453" s="88"/>
      <c r="N453" s="88"/>
      <c r="O453" s="88"/>
      <c r="P453" s="88"/>
      <c r="Q453" s="88"/>
      <c r="R453" s="88"/>
      <c r="S453" s="88"/>
      <c r="T453" s="88"/>
    </row>
    <row r="454" spans="2:20" x14ac:dyDescent="0.35">
      <c r="B454" s="390"/>
      <c r="C454" s="120" t="s">
        <v>583</v>
      </c>
      <c r="D454" s="120">
        <f>IF($B$453=0,0,COUNTIFS($B$8:$B$332,"*"&amp;$B$453&amp;"*",$C$8:$C$332,C454))</f>
        <v>0</v>
      </c>
      <c r="E454" s="88"/>
      <c r="F454" s="88"/>
      <c r="G454" s="88"/>
      <c r="H454" s="88"/>
      <c r="I454" s="88"/>
      <c r="J454" s="88"/>
      <c r="K454" s="88"/>
      <c r="L454" s="88"/>
      <c r="M454" s="88"/>
      <c r="N454" s="88"/>
      <c r="O454" s="88"/>
      <c r="P454" s="88"/>
      <c r="Q454" s="88"/>
      <c r="R454" s="88"/>
      <c r="S454" s="88"/>
      <c r="T454" s="88"/>
    </row>
    <row r="455" spans="2:20" x14ac:dyDescent="0.35">
      <c r="B455" s="390"/>
      <c r="C455" s="120" t="s">
        <v>584</v>
      </c>
      <c r="D455" s="120">
        <f>IF($B$453=0,0,COUNTIFS($B$8:$B$332,"*"&amp;$B$453&amp;"*",$C$8:$C$332,C455))</f>
        <v>0</v>
      </c>
      <c r="E455" s="88"/>
      <c r="F455" s="88"/>
      <c r="G455" s="88"/>
      <c r="H455" s="88"/>
      <c r="I455" s="88"/>
      <c r="J455" s="88"/>
      <c r="K455" s="88"/>
      <c r="L455" s="88"/>
      <c r="M455" s="88"/>
      <c r="N455" s="88"/>
      <c r="O455" s="88"/>
      <c r="P455" s="88"/>
      <c r="Q455" s="88"/>
      <c r="R455" s="88"/>
      <c r="S455" s="88"/>
      <c r="T455" s="88"/>
    </row>
    <row r="456" spans="2:20" x14ac:dyDescent="0.35">
      <c r="B456" s="390" t="str">
        <f>B342</f>
        <v>REQ_SYS_Peak-Off-Charge-Opt_68</v>
      </c>
      <c r="C456" s="120" t="s">
        <v>549</v>
      </c>
      <c r="D456" s="120">
        <f>IF($B$456=0,0,COUNTIFS($B$8:$B$332,"*"&amp;$B$456&amp;"*",$C$8:$C$332,C456))</f>
        <v>18</v>
      </c>
      <c r="E456" s="88"/>
      <c r="F456" s="88"/>
      <c r="G456" s="88"/>
      <c r="H456" s="88"/>
      <c r="I456" s="88"/>
      <c r="J456" s="88"/>
      <c r="K456" s="88"/>
      <c r="L456" s="88"/>
      <c r="M456" s="88"/>
      <c r="N456" s="88"/>
      <c r="O456" s="88"/>
      <c r="P456" s="88"/>
      <c r="Q456" s="88"/>
      <c r="R456" s="88"/>
      <c r="S456" s="88"/>
      <c r="T456" s="88"/>
    </row>
    <row r="457" spans="2:20" x14ac:dyDescent="0.35">
      <c r="B457" s="390"/>
      <c r="C457" s="120" t="s">
        <v>583</v>
      </c>
      <c r="D457" s="120">
        <f>IF($B$456=0,0,COUNTIFS($B$8:$B$332,"*"&amp;$B$456&amp;"*",$C$8:$C$332,C457))</f>
        <v>0</v>
      </c>
      <c r="E457" s="88"/>
      <c r="F457" s="88"/>
      <c r="G457" s="88"/>
      <c r="H457" s="88"/>
      <c r="I457" s="88"/>
      <c r="J457" s="88"/>
      <c r="K457" s="88"/>
      <c r="L457" s="88"/>
      <c r="M457" s="88"/>
      <c r="N457" s="88"/>
      <c r="O457" s="88"/>
      <c r="P457" s="88"/>
      <c r="Q457" s="88"/>
      <c r="R457" s="88"/>
      <c r="S457" s="88"/>
      <c r="T457" s="88"/>
    </row>
    <row r="458" spans="2:20" x14ac:dyDescent="0.35">
      <c r="B458" s="390"/>
      <c r="C458" s="120" t="s">
        <v>584</v>
      </c>
      <c r="D458" s="120">
        <f>IF($B$456=0,0,COUNTIFS($B$8:$B$332,"*"&amp;$B$456&amp;"*",$C$8:$C$332,C458))</f>
        <v>0</v>
      </c>
      <c r="E458" s="88"/>
      <c r="F458" s="88"/>
      <c r="G458" s="88"/>
      <c r="H458" s="88"/>
      <c r="I458" s="88"/>
      <c r="J458" s="88"/>
      <c r="K458" s="88"/>
      <c r="L458" s="88"/>
      <c r="M458" s="88"/>
      <c r="N458" s="88"/>
      <c r="O458" s="88"/>
      <c r="P458" s="88"/>
      <c r="Q458" s="88"/>
      <c r="R458" s="88"/>
      <c r="S458" s="88"/>
      <c r="T458" s="88"/>
    </row>
    <row r="459" spans="2:20" x14ac:dyDescent="0.35">
      <c r="B459" s="390" t="str">
        <f>B343</f>
        <v>REQ_SYS_Combo-Fast-Charge_279</v>
      </c>
      <c r="C459" s="120" t="s">
        <v>549</v>
      </c>
      <c r="D459" s="120">
        <f>IF($B$459=0,0,COUNTIFS($B$8:$B$332,"*"&amp;$B$459&amp;"*",$C$8:$C$332,C459))</f>
        <v>18</v>
      </c>
      <c r="E459" s="88"/>
      <c r="F459" s="88"/>
      <c r="G459" s="88"/>
      <c r="H459" s="88"/>
      <c r="I459" s="88"/>
      <c r="J459" s="88"/>
      <c r="K459" s="88"/>
      <c r="L459" s="88"/>
      <c r="M459" s="88"/>
      <c r="N459" s="88"/>
      <c r="O459" s="88"/>
      <c r="P459" s="88"/>
      <c r="Q459" s="88"/>
      <c r="R459" s="88"/>
      <c r="S459" s="88"/>
      <c r="T459" s="88"/>
    </row>
    <row r="460" spans="2:20" x14ac:dyDescent="0.35">
      <c r="B460" s="390"/>
      <c r="C460" s="120" t="s">
        <v>583</v>
      </c>
      <c r="D460" s="120">
        <f>IF($B$459=0,0,COUNTIFS($B$8:$B$332,"*"&amp;$B$459&amp;"*",$C$8:$C$332,C460))</f>
        <v>0</v>
      </c>
      <c r="E460" s="88"/>
      <c r="F460" s="88"/>
      <c r="G460" s="88"/>
      <c r="H460" s="88"/>
      <c r="I460" s="88"/>
      <c r="J460" s="88"/>
      <c r="K460" s="88"/>
      <c r="L460" s="88"/>
      <c r="M460" s="88"/>
      <c r="N460" s="88"/>
      <c r="O460" s="88"/>
      <c r="P460" s="88"/>
      <c r="Q460" s="88"/>
      <c r="R460" s="88"/>
      <c r="S460" s="88"/>
      <c r="T460" s="88"/>
    </row>
    <row r="461" spans="2:20" x14ac:dyDescent="0.35">
      <c r="B461" s="390"/>
      <c r="C461" s="120" t="s">
        <v>584</v>
      </c>
      <c r="D461" s="120">
        <f>IF($B$459=0,0,COUNTIFS($B$8:$B$332,"*"&amp;$B$459&amp;"*",$C$8:$C$332,C461))</f>
        <v>0</v>
      </c>
      <c r="E461" s="88"/>
      <c r="F461" s="88"/>
      <c r="G461" s="88"/>
      <c r="H461" s="88"/>
      <c r="I461" s="88"/>
      <c r="J461" s="88"/>
      <c r="K461" s="88"/>
      <c r="L461" s="88"/>
      <c r="M461" s="88"/>
      <c r="N461" s="88"/>
      <c r="O461" s="88"/>
      <c r="P461" s="88"/>
      <c r="Q461" s="88"/>
      <c r="R461" s="88"/>
      <c r="S461" s="88"/>
      <c r="T461" s="88"/>
    </row>
    <row r="462" spans="2:20" x14ac:dyDescent="0.35">
      <c r="B462" s="390" t="str">
        <f>B344</f>
        <v>REQ_SYS_AC-Charge_329</v>
      </c>
      <c r="C462" s="120" t="s">
        <v>549</v>
      </c>
      <c r="D462" s="120">
        <f>IF($B$462=0,0,COUNTIFS($B$8:$B$332,"*"&amp;$B$462&amp;"*",$C$8:$C$332,C462))</f>
        <v>18</v>
      </c>
      <c r="E462" s="88"/>
      <c r="F462" s="88"/>
      <c r="G462" s="88"/>
      <c r="H462" s="88"/>
      <c r="I462" s="88"/>
      <c r="J462" s="88"/>
      <c r="K462" s="88"/>
      <c r="L462" s="88"/>
      <c r="M462" s="88"/>
      <c r="N462" s="88"/>
      <c r="O462" s="88"/>
      <c r="P462" s="88"/>
      <c r="Q462" s="88"/>
      <c r="R462" s="88"/>
      <c r="S462" s="88"/>
      <c r="T462" s="88"/>
    </row>
    <row r="463" spans="2:20" x14ac:dyDescent="0.35">
      <c r="B463" s="390"/>
      <c r="C463" s="120" t="s">
        <v>583</v>
      </c>
      <c r="D463" s="120">
        <f>IF($B$462=0,0,COUNTIFS($B$8:$B$332,"*"&amp;$B$462&amp;"*",$C$8:$C$332,C463))</f>
        <v>0</v>
      </c>
      <c r="E463" s="88"/>
      <c r="F463" s="88"/>
      <c r="G463" s="88"/>
      <c r="H463" s="88"/>
      <c r="I463" s="88"/>
      <c r="J463" s="88"/>
      <c r="K463" s="88"/>
      <c r="L463" s="88"/>
      <c r="M463" s="88"/>
      <c r="N463" s="88"/>
      <c r="O463" s="88"/>
      <c r="P463" s="88"/>
      <c r="Q463" s="88"/>
      <c r="R463" s="88"/>
      <c r="S463" s="88"/>
      <c r="T463" s="88"/>
    </row>
    <row r="464" spans="2:20" x14ac:dyDescent="0.35">
      <c r="B464" s="390"/>
      <c r="C464" s="120" t="s">
        <v>584</v>
      </c>
      <c r="D464" s="120">
        <f>IF($B$462=0,0,COUNTIFS($B$8:$B$332,"*"&amp;$B$462&amp;"*",$C$8:$C$332,C464))</f>
        <v>0</v>
      </c>
      <c r="E464" s="88"/>
      <c r="F464" s="88"/>
      <c r="G464" s="88"/>
      <c r="H464" s="88"/>
      <c r="I464" s="88"/>
      <c r="J464" s="88"/>
      <c r="K464" s="88"/>
      <c r="L464" s="88"/>
      <c r="M464" s="88"/>
      <c r="N464" s="88"/>
      <c r="O464" s="88"/>
      <c r="P464" s="88"/>
      <c r="Q464" s="88"/>
      <c r="R464" s="88"/>
      <c r="S464" s="88"/>
      <c r="T464" s="88"/>
    </row>
    <row r="465" spans="2:20" x14ac:dyDescent="0.35">
      <c r="B465" s="390" t="str">
        <f>B345</f>
        <v>REQ_SYS_Electric_drive_1310</v>
      </c>
      <c r="C465" s="120" t="s">
        <v>549</v>
      </c>
      <c r="D465" s="120">
        <f>IF($B$465=0,0,COUNTIFS($B$8:$B$332,"*"&amp;$B$465&amp;"*",$C$8:$C$332,C465))</f>
        <v>18</v>
      </c>
      <c r="E465" s="111"/>
      <c r="F465" s="88"/>
      <c r="G465" s="88"/>
      <c r="H465" s="88"/>
      <c r="I465" s="88"/>
      <c r="J465" s="88"/>
      <c r="K465" s="88"/>
      <c r="L465" s="88"/>
      <c r="M465" s="88"/>
      <c r="N465" s="88"/>
      <c r="O465" s="88"/>
      <c r="P465" s="88"/>
      <c r="Q465" s="88"/>
      <c r="R465" s="88"/>
      <c r="S465" s="88"/>
      <c r="T465" s="88"/>
    </row>
    <row r="466" spans="2:20" x14ac:dyDescent="0.35">
      <c r="B466" s="390"/>
      <c r="C466" s="120" t="s">
        <v>583</v>
      </c>
      <c r="D466" s="120">
        <f>IF($B$465=0,0,COUNTIFS($B$8:$B$332,"*"&amp;$B$465&amp;"*",$C$8:$C$332,C466))</f>
        <v>0</v>
      </c>
      <c r="E466" s="111"/>
      <c r="F466" s="88"/>
      <c r="G466" s="88"/>
      <c r="H466" s="88"/>
      <c r="I466" s="88"/>
      <c r="J466" s="88"/>
      <c r="K466" s="88"/>
      <c r="L466" s="88"/>
      <c r="M466" s="88"/>
      <c r="N466" s="88"/>
      <c r="O466" s="88"/>
      <c r="P466" s="88"/>
      <c r="Q466" s="88"/>
      <c r="R466" s="88"/>
      <c r="S466" s="88"/>
      <c r="T466" s="88"/>
    </row>
    <row r="467" spans="2:20" x14ac:dyDescent="0.35">
      <c r="B467" s="390"/>
      <c r="C467" s="120" t="s">
        <v>584</v>
      </c>
      <c r="D467" s="120">
        <f>IF($B$465=0,0,COUNTIFS($B$8:$B$332,"*"&amp;$B$465&amp;"*",$C$8:$C$332,C467))</f>
        <v>0</v>
      </c>
      <c r="E467" s="111"/>
      <c r="F467" s="88"/>
      <c r="G467" s="88"/>
      <c r="H467" s="88"/>
      <c r="I467" s="88"/>
      <c r="J467" s="88"/>
      <c r="K467" s="88"/>
      <c r="L467" s="88"/>
      <c r="M467" s="88"/>
      <c r="N467" s="88"/>
      <c r="O467" s="88"/>
      <c r="P467" s="88"/>
      <c r="Q467" s="88"/>
      <c r="R467" s="88"/>
      <c r="S467" s="88"/>
      <c r="T467" s="88"/>
    </row>
    <row r="468" spans="2:20" x14ac:dyDescent="0.35">
      <c r="B468" s="390" t="str">
        <f>B346</f>
        <v>REQ_SYS_Electric_drive_1312</v>
      </c>
      <c r="C468" s="120" t="s">
        <v>549</v>
      </c>
      <c r="D468" s="120">
        <f>IF($B$468=0,0,COUNTIFS($B$8:$B$332,"*"&amp;$B$468&amp;"*",$C$8:$C$332,C468))</f>
        <v>18</v>
      </c>
      <c r="E468" s="111"/>
      <c r="F468" s="88"/>
      <c r="G468" s="88"/>
      <c r="H468" s="88"/>
      <c r="I468" s="88"/>
      <c r="J468" s="88"/>
      <c r="K468" s="88"/>
      <c r="L468" s="88"/>
      <c r="M468" s="88"/>
      <c r="N468" s="88"/>
      <c r="O468" s="88"/>
      <c r="P468" s="88"/>
      <c r="Q468" s="88"/>
      <c r="R468" s="88"/>
      <c r="S468" s="88"/>
      <c r="T468" s="88"/>
    </row>
    <row r="469" spans="2:20" x14ac:dyDescent="0.35">
      <c r="B469" s="390"/>
      <c r="C469" s="120" t="s">
        <v>583</v>
      </c>
      <c r="D469" s="120">
        <f>IF($B$468=0,0,COUNTIFS($B$8:$B$332,"*"&amp;$B$468&amp;"*",$C$8:$C$332,C469))</f>
        <v>0</v>
      </c>
      <c r="E469" s="111"/>
      <c r="F469" s="88"/>
    </row>
    <row r="470" spans="2:20" x14ac:dyDescent="0.35">
      <c r="B470" s="390"/>
      <c r="C470" s="120" t="s">
        <v>584</v>
      </c>
      <c r="D470" s="120">
        <f>IF($B$468=0,0,COUNTIFS($B$8:$B$332,"*"&amp;$B$468&amp;"*",$C$8:$C$332,C470))</f>
        <v>0</v>
      </c>
      <c r="E470" s="111"/>
      <c r="F470" s="88"/>
    </row>
    <row r="471" spans="2:20" x14ac:dyDescent="0.35">
      <c r="B471" s="390" t="str">
        <f>B347</f>
        <v>REQ_SYS_Cooling_Design_2618</v>
      </c>
      <c r="C471" s="120" t="s">
        <v>549</v>
      </c>
      <c r="D471" s="120">
        <f>IF($B$471=0,0,COUNTIFS($B$8:$B$332,"*"&amp;$B$471&amp;"*",$C$8:$C$332,C471))</f>
        <v>18</v>
      </c>
      <c r="E471" s="111"/>
      <c r="F471" s="88"/>
    </row>
    <row r="472" spans="2:20" x14ac:dyDescent="0.35">
      <c r="B472" s="390"/>
      <c r="C472" s="120" t="s">
        <v>583</v>
      </c>
      <c r="D472" s="120">
        <f>IF($B$471=0,0,COUNTIFS($B$8:$B$332,"*"&amp;$B$471&amp;"*",$C$8:$C$332,C472))</f>
        <v>0</v>
      </c>
      <c r="E472" s="111"/>
      <c r="F472" s="88"/>
    </row>
    <row r="473" spans="2:20" x14ac:dyDescent="0.35">
      <c r="B473" s="390"/>
      <c r="C473" s="120" t="s">
        <v>584</v>
      </c>
      <c r="D473" s="120">
        <f>IF($B$471=0,0,COUNTIFS($B$8:$B$332,"*"&amp;$B$471&amp;"*",$C$8:$C$332,C473))</f>
        <v>0</v>
      </c>
      <c r="E473" s="111"/>
      <c r="F473" s="88"/>
    </row>
    <row r="474" spans="2:20" x14ac:dyDescent="0.35">
      <c r="B474" s="390" t="str">
        <f>B348</f>
        <v>REQ_SYS_Cooling_Design_2616</v>
      </c>
      <c r="C474" s="120" t="s">
        <v>549</v>
      </c>
      <c r="D474" s="120">
        <f>IF($B$474=0,0,COUNTIFS($B$8:$B$332,"*"&amp;$B$474&amp;"*",$C$8:$C$332,C474))</f>
        <v>18</v>
      </c>
      <c r="E474" s="111"/>
      <c r="F474" s="88"/>
    </row>
    <row r="475" spans="2:20" x14ac:dyDescent="0.35">
      <c r="B475" s="390"/>
      <c r="C475" s="120" t="s">
        <v>583</v>
      </c>
      <c r="D475" s="120">
        <f>IF($B$474=0,0,COUNTIFS($B$8:$B$332,"*"&amp;$B$474&amp;"*",$C$8:$C$332,C475))</f>
        <v>0</v>
      </c>
      <c r="E475" s="111"/>
      <c r="F475" s="88"/>
    </row>
    <row r="476" spans="2:20" x14ac:dyDescent="0.35">
      <c r="B476" s="390"/>
      <c r="C476" s="120" t="s">
        <v>584</v>
      </c>
      <c r="D476" s="120">
        <f>IF($B$474=0,0,COUNTIFS($B$8:$B$332,"*"&amp;$B$474&amp;"*",$C$8:$C$332,C476))</f>
        <v>0</v>
      </c>
      <c r="E476" s="111"/>
      <c r="F476" s="88"/>
    </row>
    <row r="477" spans="2:20" x14ac:dyDescent="0.35">
      <c r="B477" s="390" t="str">
        <f>B349</f>
        <v>REQ_SYS_Cooling_Design_2614</v>
      </c>
      <c r="C477" s="120" t="s">
        <v>549</v>
      </c>
      <c r="D477" s="120">
        <f>IF($B$477=0,0,COUNTIFS($B$8:$B$332,"*"&amp;$B$477&amp;"*",$C$8:$C$332,C477))</f>
        <v>18</v>
      </c>
      <c r="E477" s="111"/>
      <c r="F477" s="88"/>
    </row>
    <row r="478" spans="2:20" x14ac:dyDescent="0.35">
      <c r="B478" s="390"/>
      <c r="C478" s="120" t="s">
        <v>583</v>
      </c>
      <c r="D478" s="120">
        <f>IF($B$477=0,0,COUNTIFS($B$8:$B$332,"*"&amp;$B$477&amp;"*",$C$8:$C$332,C478))</f>
        <v>0</v>
      </c>
      <c r="E478" s="111"/>
      <c r="F478" s="88"/>
    </row>
    <row r="479" spans="2:20" x14ac:dyDescent="0.35">
      <c r="B479" s="390"/>
      <c r="C479" s="120" t="s">
        <v>584</v>
      </c>
      <c r="D479" s="120">
        <f>IF($B$477=0,0,COUNTIFS($B$8:$B$332,"*"&amp;$B$477&amp;"*",$C$8:$C$332,C479))</f>
        <v>0</v>
      </c>
      <c r="E479" s="111"/>
      <c r="F479" s="88"/>
    </row>
    <row r="480" spans="2:20" x14ac:dyDescent="0.35">
      <c r="B480" s="390" t="str">
        <f>B350</f>
        <v>REQ_SYS_Cooling_Design_2612</v>
      </c>
      <c r="C480" s="120" t="s">
        <v>549</v>
      </c>
      <c r="D480" s="120">
        <f>IF($B$480=0,0,COUNTIFS($B$8:$B$332,"*"&amp;$B$480&amp;"*",$C$8:$C$332,C480))</f>
        <v>18</v>
      </c>
      <c r="E480" s="111"/>
      <c r="F480" s="88"/>
    </row>
    <row r="481" spans="2:6" x14ac:dyDescent="0.35">
      <c r="B481" s="390"/>
      <c r="C481" s="120" t="s">
        <v>583</v>
      </c>
      <c r="D481" s="120">
        <f>IF($B$480=0,0,COUNTIFS($B$8:$B$332,"*"&amp;$B$480&amp;"*",$C$8:$C$332,C481))</f>
        <v>0</v>
      </c>
      <c r="E481" s="111"/>
      <c r="F481" s="88"/>
    </row>
    <row r="482" spans="2:6" x14ac:dyDescent="0.35">
      <c r="B482" s="390"/>
      <c r="C482" s="120" t="s">
        <v>584</v>
      </c>
      <c r="D482" s="120">
        <f>IF($B$480=0,0,COUNTIFS($B$8:$B$332,"*"&amp;$B$480&amp;"*",$C$8:$C$332,C482))</f>
        <v>0</v>
      </c>
      <c r="E482" s="111"/>
      <c r="F482" s="88"/>
    </row>
    <row r="483" spans="2:6" x14ac:dyDescent="0.35">
      <c r="B483" s="390" t="str">
        <f>B351</f>
        <v>REQ_SYS_Cooling_Design_2610</v>
      </c>
      <c r="C483" s="120" t="s">
        <v>549</v>
      </c>
      <c r="D483" s="120">
        <f>IF($B$483=0,0,COUNTIFS($B$8:$B$332,"*"&amp;$B$483&amp;"*",$C$8:$C$332,C483))</f>
        <v>18</v>
      </c>
      <c r="E483" s="111"/>
      <c r="F483" s="88"/>
    </row>
    <row r="484" spans="2:6" x14ac:dyDescent="0.35">
      <c r="B484" s="390"/>
      <c r="C484" s="120" t="s">
        <v>583</v>
      </c>
      <c r="D484" s="120">
        <f>IF($B$483=0,0,COUNTIFS($B$8:$B$332,"*"&amp;$B$483&amp;"*",$C$8:$C$332,C484))</f>
        <v>0</v>
      </c>
      <c r="E484" s="111"/>
      <c r="F484" s="88"/>
    </row>
    <row r="485" spans="2:6" x14ac:dyDescent="0.35">
      <c r="B485" s="390"/>
      <c r="C485" s="120" t="s">
        <v>584</v>
      </c>
      <c r="D485" s="120">
        <f>IF($B$483=0,0,COUNTIFS($B$8:$B$332,"*"&amp;$B$483&amp;"*",$C$8:$C$332,C485))</f>
        <v>0</v>
      </c>
      <c r="E485" s="111"/>
      <c r="F485" s="88"/>
    </row>
    <row r="486" spans="2:6" x14ac:dyDescent="0.35">
      <c r="B486" s="390" t="str">
        <f>B352</f>
        <v>REQ_SYS_Cooling_Design_2608</v>
      </c>
      <c r="C486" s="120" t="s">
        <v>549</v>
      </c>
      <c r="D486" s="120">
        <f>IF($B$486=0,0,COUNTIFS($B$8:$B$332,"*"&amp;$B$486&amp;"*",$C$8:$C$332,C486))</f>
        <v>18</v>
      </c>
      <c r="E486" s="111"/>
      <c r="F486" s="88"/>
    </row>
    <row r="487" spans="2:6" x14ac:dyDescent="0.35">
      <c r="B487" s="390"/>
      <c r="C487" s="120" t="s">
        <v>583</v>
      </c>
      <c r="D487" s="120">
        <f>IF($B$486=0,0,COUNTIFS($B$8:$B$332,"*"&amp;$B$486&amp;"*",$C$8:$C$332,C487))</f>
        <v>0</v>
      </c>
      <c r="E487" s="111"/>
      <c r="F487" s="88"/>
    </row>
    <row r="488" spans="2:6" x14ac:dyDescent="0.35">
      <c r="B488" s="390"/>
      <c r="C488" s="120" t="s">
        <v>584</v>
      </c>
      <c r="D488" s="120">
        <f>IF($B$486=0,0,COUNTIFS($B$8:$B$332,"*"&amp;$B$486&amp;"*",$C$8:$C$332,C488))</f>
        <v>0</v>
      </c>
      <c r="E488" s="111"/>
      <c r="F488" s="88"/>
    </row>
    <row r="489" spans="2:6" x14ac:dyDescent="0.35">
      <c r="B489" s="390" t="str">
        <f>B353</f>
        <v>REQ_SYS_Cooling_Design_2606</v>
      </c>
      <c r="C489" s="120" t="s">
        <v>549</v>
      </c>
      <c r="D489" s="120">
        <f>IF($B$489=0,0,COUNTIFS($B$8:$B$332,"*"&amp;$B$489&amp;"*",$C$8:$C$332,C489))</f>
        <v>18</v>
      </c>
    </row>
    <row r="490" spans="2:6" x14ac:dyDescent="0.35">
      <c r="B490" s="390"/>
      <c r="C490" s="120" t="s">
        <v>583</v>
      </c>
      <c r="D490" s="120">
        <f>IF($B$489=0,0,COUNTIFS($B$8:$B$332,"*"&amp;$B$489&amp;"*",$C$8:$C$332,C490))</f>
        <v>0</v>
      </c>
    </row>
    <row r="491" spans="2:6" x14ac:dyDescent="0.35">
      <c r="B491" s="390"/>
      <c r="C491" s="120" t="s">
        <v>584</v>
      </c>
      <c r="D491" s="120">
        <f>IF($B$489=0,0,COUNTIFS($B$8:$B$332,"*"&amp;$B$489&amp;"*",$C$8:$C$332,C491))</f>
        <v>0</v>
      </c>
    </row>
    <row r="492" spans="2:6" x14ac:dyDescent="0.35">
      <c r="B492" s="390" t="str">
        <f>B354</f>
        <v>REQ_SYS_Cooling_Design_2605</v>
      </c>
      <c r="C492" s="120" t="s">
        <v>549</v>
      </c>
      <c r="D492" s="120">
        <f>IF($B$492=0,0,COUNTIFS($B$8:$B$332,"*"&amp;$B$492&amp;"*",$C$8:$C$332,C492))</f>
        <v>18</v>
      </c>
    </row>
    <row r="493" spans="2:6" x14ac:dyDescent="0.35">
      <c r="B493" s="390"/>
      <c r="C493" s="120" t="s">
        <v>583</v>
      </c>
      <c r="D493" s="120">
        <f>IF($B$492=0,0,COUNTIFS($B$8:$B$332,"*"&amp;$B$492&amp;"*",$C$8:$C$332,C493))</f>
        <v>0</v>
      </c>
    </row>
    <row r="494" spans="2:6" x14ac:dyDescent="0.35">
      <c r="B494" s="390"/>
      <c r="C494" s="120" t="s">
        <v>584</v>
      </c>
      <c r="D494" s="120">
        <f>IF($B$492=0,0,COUNTIFS($B$8:$B$332,"*"&amp;$B$492&amp;"*",$C$8:$C$332,C494))</f>
        <v>0</v>
      </c>
    </row>
    <row r="495" spans="2:6" x14ac:dyDescent="0.35">
      <c r="B495" s="390" t="str">
        <f>B355</f>
        <v>REQ_SYS_Cooling_Design_2603</v>
      </c>
      <c r="C495" s="120" t="s">
        <v>549</v>
      </c>
      <c r="D495" s="120">
        <f>IF($B$495=0,0,COUNTIFS($B$8:$B$332,"*"&amp;$B$495&amp;"*",$C$8:$C$332,C495))</f>
        <v>18</v>
      </c>
    </row>
    <row r="496" spans="2:6" x14ac:dyDescent="0.35">
      <c r="B496" s="390"/>
      <c r="C496" s="120" t="s">
        <v>583</v>
      </c>
      <c r="D496" s="120">
        <f>IF($B$495=0,0,COUNTIFS($B$8:$B$332,"*"&amp;$B$495&amp;"*",$C$8:$C$332,C496))</f>
        <v>0</v>
      </c>
    </row>
    <row r="497" spans="2:4" x14ac:dyDescent="0.35">
      <c r="B497" s="390"/>
      <c r="C497" s="120" t="s">
        <v>584</v>
      </c>
      <c r="D497" s="120">
        <f>IF($B$495=0,0,COUNTIFS($B$8:$B$332,"*"&amp;$B$495&amp;"*",$C$8:$C$332,C497))</f>
        <v>0</v>
      </c>
    </row>
    <row r="498" spans="2:4" x14ac:dyDescent="0.35">
      <c r="B498" s="390" t="str">
        <f>B356</f>
        <v>REQ_SYS_Cooling_Design_2602</v>
      </c>
      <c r="C498" s="120" t="s">
        <v>549</v>
      </c>
      <c r="D498" s="120">
        <f>IF($B$498=0,0,COUNTIFS($B$8:$B$332,"*"&amp;$B$498&amp;"*",$C$8:$C$332,C498))</f>
        <v>18</v>
      </c>
    </row>
    <row r="499" spans="2:4" x14ac:dyDescent="0.35">
      <c r="B499" s="390"/>
      <c r="C499" s="120" t="s">
        <v>583</v>
      </c>
      <c r="D499" s="120">
        <f>IF($B$498=0,0,COUNTIFS($B$8:$B$332,"*"&amp;$B$498&amp;"*",$C$8:$C$332,C499))</f>
        <v>0</v>
      </c>
    </row>
    <row r="500" spans="2:4" x14ac:dyDescent="0.35">
      <c r="B500" s="390"/>
      <c r="C500" s="120" t="s">
        <v>584</v>
      </c>
      <c r="D500" s="120">
        <f>IF($B$498=0,0,COUNTIFS($B$8:$B$332,"*"&amp;$B$498&amp;"*",$C$8:$C$332,C500))</f>
        <v>0</v>
      </c>
    </row>
    <row r="501" spans="2:4" x14ac:dyDescent="0.35">
      <c r="B501" s="390" t="str">
        <f>B357</f>
        <v>REQ_SYS_Cooling_Design_2601</v>
      </c>
      <c r="C501" s="120" t="s">
        <v>549</v>
      </c>
      <c r="D501" s="120">
        <f>IF($B$501=0,0,COUNTIFS($B$8:$B$332,"*"&amp;$B$501&amp;"*",$C$8:$C$332,C501))</f>
        <v>18</v>
      </c>
    </row>
    <row r="502" spans="2:4" x14ac:dyDescent="0.35">
      <c r="B502" s="390"/>
      <c r="C502" s="120" t="s">
        <v>583</v>
      </c>
      <c r="D502" s="120">
        <f>IF($B$501=0,0,COUNTIFS($B$8:$B$332,"*"&amp;$B$501&amp;"*",$C$8:$C$332,C502))</f>
        <v>0</v>
      </c>
    </row>
    <row r="503" spans="2:4" x14ac:dyDescent="0.35">
      <c r="B503" s="390"/>
      <c r="C503" s="120" t="s">
        <v>584</v>
      </c>
      <c r="D503" s="120">
        <f>IF($B$501=0,0,COUNTIFS($B$8:$B$332,"*"&amp;$B$501&amp;"*",$C$8:$C$332,C503))</f>
        <v>0</v>
      </c>
    </row>
    <row r="504" spans="2:4" x14ac:dyDescent="0.35">
      <c r="B504" s="390" t="str">
        <f>B358</f>
        <v>REQ_SYS_Cooling_Design_2599</v>
      </c>
      <c r="C504" s="120" t="s">
        <v>549</v>
      </c>
      <c r="D504" s="120">
        <f>IF($B$504=0,0,COUNTIFS($B$8:$B$332,"*"&amp;$B$504&amp;"*",$C$8:$C$332,C504))</f>
        <v>18</v>
      </c>
    </row>
    <row r="505" spans="2:4" x14ac:dyDescent="0.35">
      <c r="B505" s="390"/>
      <c r="C505" s="120" t="s">
        <v>583</v>
      </c>
      <c r="D505" s="120">
        <f>IF($B$504=0,0,COUNTIFS($B$8:$B$332,"*"&amp;$B$504&amp;"*",$C$8:$C$332,C505))</f>
        <v>0</v>
      </c>
    </row>
    <row r="506" spans="2:4" x14ac:dyDescent="0.35">
      <c r="B506" s="390"/>
      <c r="C506" s="120" t="s">
        <v>584</v>
      </c>
      <c r="D506" s="120">
        <f>IF($B$504=0,0,COUNTIFS($B$8:$B$332,"*"&amp;$B$504&amp;"*",$C$8:$C$332,C506))</f>
        <v>0</v>
      </c>
    </row>
    <row r="507" spans="2:4" x14ac:dyDescent="0.35">
      <c r="B507" s="390" t="str">
        <f>B359</f>
        <v>REQ_SYS_combo-Fast-charge_484</v>
      </c>
      <c r="C507" s="120" t="s">
        <v>549</v>
      </c>
      <c r="D507" s="120">
        <f>IF($B$507=0,0,COUNTIFS($B$8:$B$332,"*"&amp;$B$507&amp;"*",$C$8:$C$332,C507))</f>
        <v>18</v>
      </c>
    </row>
    <row r="508" spans="2:4" x14ac:dyDescent="0.35">
      <c r="B508" s="390"/>
      <c r="C508" s="120" t="s">
        <v>583</v>
      </c>
      <c r="D508" s="120">
        <f>IF($B$507=0,0,COUNTIFS($B$8:$B$332,"*"&amp;$B$507&amp;"*",$C$8:$C$332,C508))</f>
        <v>0</v>
      </c>
    </row>
    <row r="509" spans="2:4" x14ac:dyDescent="0.35">
      <c r="B509" s="390"/>
      <c r="C509" s="120" t="s">
        <v>584</v>
      </c>
      <c r="D509" s="120">
        <f>IF($B$507=0,0,COUNTIFS($B$8:$B$332,"*"&amp;$B$507&amp;"*",$C$8:$C$332,C509))</f>
        <v>0</v>
      </c>
    </row>
    <row r="510" spans="2:4" x14ac:dyDescent="0.35">
      <c r="B510" s="390" t="str">
        <f>B360</f>
        <v>REQ_SYS_combo-Fast-charge_485</v>
      </c>
      <c r="C510" s="120" t="s">
        <v>549</v>
      </c>
      <c r="D510" s="120">
        <f>IF($B$510=0,0,COUNTIFS($B$8:$B$332,"*"&amp;$B$510&amp;"*",$C$8:$C$332,C510))</f>
        <v>18</v>
      </c>
    </row>
    <row r="511" spans="2:4" x14ac:dyDescent="0.35">
      <c r="B511" s="390"/>
      <c r="C511" s="120" t="s">
        <v>583</v>
      </c>
      <c r="D511" s="120">
        <f>IF($B$510=0,0,COUNTIFS($B$8:$B$332,"*"&amp;$B$510&amp;"*",$C$8:$C$332,C511))</f>
        <v>0</v>
      </c>
    </row>
    <row r="512" spans="2:4" x14ac:dyDescent="0.35">
      <c r="B512" s="390"/>
      <c r="C512" s="120" t="s">
        <v>584</v>
      </c>
      <c r="D512" s="120">
        <f>IF($B$510=0,0,COUNTIFS($B$8:$B$332,"*"&amp;$B$510&amp;"*",$C$8:$C$332,C512))</f>
        <v>0</v>
      </c>
    </row>
    <row r="513" spans="2:4" x14ac:dyDescent="0.35">
      <c r="B513" s="390" t="str">
        <f>B361</f>
        <v>REQ_SYS_combo-Fast-charge_486</v>
      </c>
      <c r="C513" s="120" t="s">
        <v>549</v>
      </c>
      <c r="D513" s="120">
        <f>IF($B$513=0,0,COUNTIFS($B$8:$B$332,"*"&amp;$B$513&amp;"*",$C$8:$C$332,C513))</f>
        <v>18</v>
      </c>
    </row>
    <row r="514" spans="2:4" x14ac:dyDescent="0.35">
      <c r="B514" s="390"/>
      <c r="C514" s="120" t="s">
        <v>583</v>
      </c>
      <c r="D514" s="120">
        <f>IF($B$513=0,0,COUNTIFS($B$8:$B$332,"*"&amp;$B$513&amp;"*",$C$8:$C$332,C514))</f>
        <v>0</v>
      </c>
    </row>
    <row r="515" spans="2:4" x14ac:dyDescent="0.35">
      <c r="B515" s="390"/>
      <c r="C515" s="120" t="s">
        <v>584</v>
      </c>
      <c r="D515" s="120">
        <f>IF($B$513=0,0,COUNTIFS($B$8:$B$332,"*"&amp;$B$513&amp;"*",$C$8:$C$332,C515))</f>
        <v>0</v>
      </c>
    </row>
    <row r="516" spans="2:4" x14ac:dyDescent="0.35">
      <c r="B516" s="390" t="str">
        <f>B362</f>
        <v>REQ_SYS_Plug-charge_187</v>
      </c>
      <c r="C516" s="120" t="s">
        <v>549</v>
      </c>
      <c r="D516" s="120">
        <f>IF($B$516=0,0,COUNTIFS($B$8:$B$332,"*"&amp;$B$516&amp;"*",$C$8:$C$332,C516))</f>
        <v>18</v>
      </c>
    </row>
    <row r="517" spans="2:4" x14ac:dyDescent="0.35">
      <c r="B517" s="390"/>
      <c r="C517" s="120" t="s">
        <v>583</v>
      </c>
      <c r="D517" s="120">
        <f>IF($B$516=0,0,COUNTIFS($B$8:$B$332,"*"&amp;$B$516&amp;"*",$C$8:$C$332,C517))</f>
        <v>0</v>
      </c>
    </row>
    <row r="518" spans="2:4" x14ac:dyDescent="0.35">
      <c r="B518" s="390"/>
      <c r="C518" s="120" t="s">
        <v>584</v>
      </c>
      <c r="D518" s="120">
        <f>IF($B$516=0,0,COUNTIFS($B$8:$B$332,"*"&amp;$B$516&amp;"*",$C$8:$C$332,C518))</f>
        <v>0</v>
      </c>
    </row>
    <row r="519" spans="2:4" x14ac:dyDescent="0.35">
      <c r="B519" s="390" t="str">
        <f>B363</f>
        <v>REQ_SYS_Plug-charge_188</v>
      </c>
      <c r="C519" s="120" t="s">
        <v>549</v>
      </c>
      <c r="D519" s="120">
        <f>IF($B$519=0,0,COUNTIFS($B$8:$B$332,"*"&amp;$B$519&amp;"*",$C$8:$C$332,C519))</f>
        <v>18</v>
      </c>
    </row>
    <row r="520" spans="2:4" x14ac:dyDescent="0.35">
      <c r="B520" s="390"/>
      <c r="C520" s="120" t="s">
        <v>583</v>
      </c>
      <c r="D520" s="120">
        <f>IF($B$519=0,0,COUNTIFS($B$8:$B$332,"*"&amp;$B$519&amp;"*",$C$8:$C$332,C520))</f>
        <v>0</v>
      </c>
    </row>
    <row r="521" spans="2:4" x14ac:dyDescent="0.35">
      <c r="B521" s="390"/>
      <c r="C521" s="120" t="s">
        <v>584</v>
      </c>
      <c r="D521" s="120">
        <f>IF($B$519=0,0,COUNTIFS($B$8:$B$332,"*"&amp;$B$519&amp;"*",$C$8:$C$332,C521))</f>
        <v>0</v>
      </c>
    </row>
    <row r="522" spans="2:4" x14ac:dyDescent="0.35">
      <c r="B522" s="390" t="str">
        <f>B364</f>
        <v>REQ_SYS_Plug-charge_189</v>
      </c>
      <c r="C522" s="120" t="s">
        <v>549</v>
      </c>
      <c r="D522" s="120">
        <f>IF($B$522=0,0,COUNTIFS($B$8:$B$332,"*"&amp;$B$522&amp;"*",$C$8:$C$332,C522))</f>
        <v>18</v>
      </c>
    </row>
    <row r="523" spans="2:4" x14ac:dyDescent="0.35">
      <c r="B523" s="390"/>
      <c r="C523" s="120" t="s">
        <v>583</v>
      </c>
      <c r="D523" s="120">
        <f>IF($B$522=0,0,COUNTIFS($B$8:$B$332,"*"&amp;$B$522&amp;"*",$C$8:$C$332,C523))</f>
        <v>0</v>
      </c>
    </row>
    <row r="524" spans="2:4" x14ac:dyDescent="0.35">
      <c r="B524" s="390"/>
      <c r="C524" s="120" t="s">
        <v>584</v>
      </c>
      <c r="D524" s="120">
        <f>IF($B$522=0,0,COUNTIFS($B$8:$B$332,"*"&amp;$B$522&amp;"*",$C$8:$C$332,C524))</f>
        <v>0</v>
      </c>
    </row>
    <row r="525" spans="2:4" x14ac:dyDescent="0.35">
      <c r="B525" s="390" t="str">
        <f>B365</f>
        <v>REQ_SYS_Plug-charge_190</v>
      </c>
      <c r="C525" s="120" t="s">
        <v>549</v>
      </c>
      <c r="D525" s="120">
        <f>IF($B$525=0,0,COUNTIFS($B$8:$B$332,"*"&amp;$B$525&amp;"*",$C$8:$C$332,C525))</f>
        <v>18</v>
      </c>
    </row>
    <row r="526" spans="2:4" x14ac:dyDescent="0.35">
      <c r="B526" s="390"/>
      <c r="C526" s="120" t="s">
        <v>583</v>
      </c>
      <c r="D526" s="120">
        <f>IF($B$525=0,0,COUNTIFS($B$8:$B$332,"*"&amp;$B$525&amp;"*",$C$8:$C$332,C526))</f>
        <v>0</v>
      </c>
    </row>
    <row r="527" spans="2:4" x14ac:dyDescent="0.35">
      <c r="B527" s="390"/>
      <c r="C527" s="120" t="s">
        <v>584</v>
      </c>
      <c r="D527" s="120">
        <f>IF($B$525=0,0,COUNTIFS($B$8:$B$332,"*"&amp;$B$525&amp;"*",$C$8:$C$332,C527))</f>
        <v>0</v>
      </c>
    </row>
    <row r="528" spans="2:4" x14ac:dyDescent="0.35">
      <c r="B528" s="390" t="str">
        <f>B366</f>
        <v>REQ_SYS_Plug-charge_191</v>
      </c>
      <c r="C528" s="120" t="s">
        <v>549</v>
      </c>
      <c r="D528" s="120">
        <f>IF($B$528=0,0,COUNTIFS($B$8:$B$332,"*"&amp;$B$528&amp;"*",$C$8:$C$332,C528))</f>
        <v>18</v>
      </c>
    </row>
    <row r="529" spans="2:4" x14ac:dyDescent="0.35">
      <c r="B529" s="390"/>
      <c r="C529" s="120" t="s">
        <v>583</v>
      </c>
      <c r="D529" s="120">
        <f>IF($B$528=0,0,COUNTIFS($B$8:$B$332,"*"&amp;$B$528&amp;"*",$C$8:$C$332,C529))</f>
        <v>0</v>
      </c>
    </row>
    <row r="530" spans="2:4" x14ac:dyDescent="0.35">
      <c r="B530" s="390"/>
      <c r="C530" s="120" t="s">
        <v>584</v>
      </c>
      <c r="D530" s="120">
        <f>IF($B$528=0,0,COUNTIFS($B$8:$B$332,"*"&amp;$B$528&amp;"*",$C$8:$C$332,C530))</f>
        <v>0</v>
      </c>
    </row>
    <row r="531" spans="2:4" x14ac:dyDescent="0.35">
      <c r="B531" s="390" t="str">
        <f>B367</f>
        <v>REQ_SYS_V2G_525</v>
      </c>
      <c r="C531" s="120" t="s">
        <v>549</v>
      </c>
      <c r="D531" s="120">
        <f>IF($B$531=0,0,COUNTIFS($B$8:$B$332,"*"&amp;$B$531&amp;"*",$C$8:$C$332,C531))</f>
        <v>18</v>
      </c>
    </row>
    <row r="532" spans="2:4" x14ac:dyDescent="0.35">
      <c r="B532" s="390"/>
      <c r="C532" s="120" t="s">
        <v>583</v>
      </c>
      <c r="D532" s="120">
        <f>IF($B$531=0,0,COUNTIFS($B$8:$B$332,"*"&amp;$B$531&amp;"*",$C$8:$C$332,C532))</f>
        <v>0</v>
      </c>
    </row>
    <row r="533" spans="2:4" x14ac:dyDescent="0.35">
      <c r="B533" s="390"/>
      <c r="C533" s="120" t="s">
        <v>584</v>
      </c>
      <c r="D533" s="120">
        <f>IF($B$531=0,0,COUNTIFS($B$8:$B$332,"*"&amp;$B$531&amp;"*",$C$8:$C$332,C533))</f>
        <v>0</v>
      </c>
    </row>
    <row r="534" spans="2:4" x14ac:dyDescent="0.35">
      <c r="B534" s="390" t="str">
        <f>B368</f>
        <v>REQ_SYS_V2G_526</v>
      </c>
      <c r="C534" s="120" t="s">
        <v>549</v>
      </c>
      <c r="D534" s="120">
        <f>IF($B$534=0,0,COUNTIFS($B$8:$B$332,"*"&amp;$B$534&amp;"*",$C$8:$C$332,C534))</f>
        <v>18</v>
      </c>
    </row>
    <row r="535" spans="2:4" x14ac:dyDescent="0.35">
      <c r="B535" s="390"/>
      <c r="C535" s="120" t="s">
        <v>583</v>
      </c>
      <c r="D535" s="120">
        <f>IF($B$534=0,0,COUNTIFS($B$8:$B$332,"*"&amp;$B$534&amp;"*",$C$8:$C$332,C535))</f>
        <v>0</v>
      </c>
    </row>
    <row r="536" spans="2:4" x14ac:dyDescent="0.35">
      <c r="B536" s="390"/>
      <c r="C536" s="120" t="s">
        <v>584</v>
      </c>
      <c r="D536" s="120">
        <f>IF($B$534=0,0,COUNTIFS($B$8:$B$332,"*"&amp;$B$534&amp;"*",$C$8:$C$332,C536))</f>
        <v>0</v>
      </c>
    </row>
    <row r="537" spans="2:4" x14ac:dyDescent="0.35">
      <c r="B537" s="390" t="str">
        <f>B369</f>
        <v>REQ_SYS_V2G_527</v>
      </c>
      <c r="C537" s="120" t="s">
        <v>549</v>
      </c>
      <c r="D537" s="120">
        <f>IF($B$537=0,0,COUNTIFS($B$8:$B$332,"*"&amp;$B$537&amp;"*",$C$8:$C$332,C537))</f>
        <v>18</v>
      </c>
    </row>
    <row r="538" spans="2:4" x14ac:dyDescent="0.35">
      <c r="B538" s="390"/>
      <c r="C538" s="120" t="s">
        <v>583</v>
      </c>
      <c r="D538" s="120">
        <f>IF($B$537=0,0,COUNTIFS($B$8:$B$332,"*"&amp;$B$537&amp;"*",$C$8:$C$332,C538))</f>
        <v>0</v>
      </c>
    </row>
    <row r="539" spans="2:4" x14ac:dyDescent="0.35">
      <c r="B539" s="390"/>
      <c r="C539" s="120" t="s">
        <v>584</v>
      </c>
      <c r="D539" s="120">
        <f>IF($B$537=0,0,COUNTIFS($B$8:$B$332,"*"&amp;$B$537&amp;"*",$C$8:$C$332,C539))</f>
        <v>0</v>
      </c>
    </row>
    <row r="540" spans="2:4" x14ac:dyDescent="0.35">
      <c r="B540" s="390" t="str">
        <f>B370</f>
        <v>REQ_SYS_V2G_528</v>
      </c>
      <c r="C540" s="120" t="s">
        <v>549</v>
      </c>
      <c r="D540" s="120">
        <f>IF($B$540=0,0,COUNTIFS($B$8:$B$332,"*"&amp;$B$540&amp;"*",$C$8:$C$332,C540))</f>
        <v>18</v>
      </c>
    </row>
    <row r="541" spans="2:4" x14ac:dyDescent="0.35">
      <c r="B541" s="390"/>
      <c r="C541" s="120" t="s">
        <v>583</v>
      </c>
      <c r="D541" s="120">
        <f>IF($B$540=0,0,COUNTIFS($B$8:$B$332,"*"&amp;$B$540&amp;"*",$C$8:$C$332,C541))</f>
        <v>0</v>
      </c>
    </row>
    <row r="542" spans="2:4" x14ac:dyDescent="0.35">
      <c r="B542" s="390"/>
      <c r="C542" s="120" t="s">
        <v>584</v>
      </c>
      <c r="D542" s="120">
        <f>IF($B$540=0,0,COUNTIFS($B$8:$B$332,"*"&amp;$B$540&amp;"*",$C$8:$C$332,C542))</f>
        <v>0</v>
      </c>
    </row>
    <row r="543" spans="2:4" x14ac:dyDescent="0.35">
      <c r="B543" s="390" t="str">
        <f>B371</f>
        <v>REQ_SYS_V2G_529</v>
      </c>
      <c r="C543" s="120" t="s">
        <v>549</v>
      </c>
      <c r="D543" s="120">
        <f>IF($B$543=0,0,COUNTIFS($B$8:$B$332,"*"&amp;$B$543&amp;"*",$C$8:$C$332,C543))</f>
        <v>18</v>
      </c>
    </row>
    <row r="544" spans="2:4" x14ac:dyDescent="0.35">
      <c r="B544" s="390"/>
      <c r="C544" s="120" t="s">
        <v>583</v>
      </c>
      <c r="D544" s="120">
        <f>IF($B$543=0,0,COUNTIFS($B$8:$B$332,"*"&amp;$B$543&amp;"*",$C$8:$C$332,C544))</f>
        <v>0</v>
      </c>
    </row>
    <row r="545" spans="2:4" x14ac:dyDescent="0.35">
      <c r="B545" s="390"/>
      <c r="C545" s="120" t="s">
        <v>584</v>
      </c>
      <c r="D545" s="120">
        <f>IF($B$543=0,0,COUNTIFS($B$8:$B$332,"*"&amp;$B$543&amp;"*",$C$8:$C$332,C545))</f>
        <v>0</v>
      </c>
    </row>
    <row r="546" spans="2:4" x14ac:dyDescent="0.35">
      <c r="B546" s="390" t="str">
        <f>B372</f>
        <v>REQ_SYS_V2G_530</v>
      </c>
      <c r="C546" s="120" t="s">
        <v>549</v>
      </c>
      <c r="D546" s="120">
        <f>IF($B$546=0,0,COUNTIFS($B$8:$B$332,"*"&amp;$B$546&amp;"*",$C$8:$C$332,C546))</f>
        <v>18</v>
      </c>
    </row>
    <row r="547" spans="2:4" x14ac:dyDescent="0.35">
      <c r="B547" s="390"/>
      <c r="C547" s="120" t="s">
        <v>583</v>
      </c>
      <c r="D547" s="120">
        <f>IF($B$546=0,0,COUNTIFS($B$8:$B$332,"*"&amp;$B$546&amp;"*",$C$8:$C$332,C547))</f>
        <v>0</v>
      </c>
    </row>
    <row r="548" spans="2:4" x14ac:dyDescent="0.35">
      <c r="B548" s="390"/>
      <c r="C548" s="120" t="s">
        <v>584</v>
      </c>
      <c r="D548" s="120">
        <f>IF($B$546=0,0,COUNTIFS($B$8:$B$332,"*"&amp;$B$546&amp;"*",$C$8:$C$332,C548))</f>
        <v>0</v>
      </c>
    </row>
    <row r="549" spans="2:4" x14ac:dyDescent="0.35">
      <c r="B549" s="390" t="str">
        <f>B373</f>
        <v>REQ_SYS_V2L_675</v>
      </c>
      <c r="C549" s="120" t="s">
        <v>549</v>
      </c>
      <c r="D549" s="120">
        <f>IF($B$549=0,0,COUNTIFS($B$8:$B$332,"*"&amp;$B$549&amp;"*",$C$8:$C$332,C549))</f>
        <v>18</v>
      </c>
    </row>
    <row r="550" spans="2:4" x14ac:dyDescent="0.35">
      <c r="B550" s="390"/>
      <c r="C550" s="120" t="s">
        <v>583</v>
      </c>
      <c r="D550" s="120">
        <f>IF($B$549=0,0,COUNTIFS($B$8:$B$332,"*"&amp;$B$549&amp;"*",$C$8:$C$332,C550))</f>
        <v>0</v>
      </c>
    </row>
    <row r="551" spans="2:4" x14ac:dyDescent="0.35">
      <c r="B551" s="390"/>
      <c r="C551" s="120" t="s">
        <v>584</v>
      </c>
      <c r="D551" s="120">
        <f>IF($B$549=0,0,COUNTIFS($B$8:$B$332,"*"&amp;$B$549&amp;"*",$C$8:$C$332,C551))</f>
        <v>0</v>
      </c>
    </row>
    <row r="552" spans="2:4" x14ac:dyDescent="0.35">
      <c r="B552" s="390" t="str">
        <f>B374</f>
        <v>REQ_SYS_V2L_676</v>
      </c>
      <c r="C552" s="120" t="s">
        <v>549</v>
      </c>
      <c r="D552" s="120">
        <f>IF($B$552=0,0,COUNTIFS($B$8:$B$332,"*"&amp;$B$552&amp;"*",$C$8:$C$332,C552))</f>
        <v>18</v>
      </c>
    </row>
    <row r="553" spans="2:4" x14ac:dyDescent="0.35">
      <c r="B553" s="390"/>
      <c r="C553" s="120" t="s">
        <v>583</v>
      </c>
      <c r="D553" s="120">
        <f>IF($B$552=0,0,COUNTIFS($B$8:$B$332,"*"&amp;$B$552&amp;"*",$C$8:$C$332,C553))</f>
        <v>0</v>
      </c>
    </row>
    <row r="554" spans="2:4" x14ac:dyDescent="0.35">
      <c r="B554" s="390"/>
      <c r="C554" s="120" t="s">
        <v>584</v>
      </c>
      <c r="D554" s="120">
        <f>IF($B$552=0,0,COUNTIFS($B$8:$B$332,"*"&amp;$B$552&amp;"*",$C$8:$C$332,C554))</f>
        <v>0</v>
      </c>
    </row>
    <row r="555" spans="2:4" x14ac:dyDescent="0.35">
      <c r="B555" s="390" t="str">
        <f>B375</f>
        <v>REQ_SYS_V2L_677</v>
      </c>
      <c r="C555" s="120" t="s">
        <v>549</v>
      </c>
      <c r="D555" s="120">
        <f>IF($B$555=0,0,COUNTIFS($B$8:$B$332,"*"&amp;$B$555&amp;"*",$C$8:$C$332,C555))</f>
        <v>18</v>
      </c>
    </row>
    <row r="556" spans="2:4" x14ac:dyDescent="0.35">
      <c r="B556" s="390"/>
      <c r="C556" s="120" t="s">
        <v>583</v>
      </c>
      <c r="D556" s="120">
        <f>IF($B$555=0,0,COUNTIFS($B$8:$B$332,"*"&amp;$B$555&amp;"*",$C$8:$C$332,C556))</f>
        <v>0</v>
      </c>
    </row>
    <row r="557" spans="2:4" x14ac:dyDescent="0.35">
      <c r="B557" s="390"/>
      <c r="C557" s="120" t="s">
        <v>584</v>
      </c>
      <c r="D557" s="120">
        <f>IF($B$555=0,0,COUNTIFS($B$8:$B$332,"*"&amp;$B$555&amp;"*",$C$8:$C$332,C557))</f>
        <v>0</v>
      </c>
    </row>
    <row r="558" spans="2:4" x14ac:dyDescent="0.35">
      <c r="B558" s="390" t="str">
        <f>B376</f>
        <v>REQ_SYS_V2L_678</v>
      </c>
      <c r="C558" s="120" t="s">
        <v>549</v>
      </c>
      <c r="D558" s="120">
        <f>IF($B$558=0,0,COUNTIFS($B$8:$B$332,"*"&amp;$B$558&amp;"*",$C$8:$C$332,C558))</f>
        <v>18</v>
      </c>
    </row>
    <row r="559" spans="2:4" x14ac:dyDescent="0.35">
      <c r="B559" s="390"/>
      <c r="C559" s="120" t="s">
        <v>583</v>
      </c>
      <c r="D559" s="120">
        <f>IF($B$558=0,0,COUNTIFS($B$8:$B$332,"*"&amp;$B$558&amp;"*",$C$8:$C$332,C559))</f>
        <v>0</v>
      </c>
    </row>
    <row r="560" spans="2:4" x14ac:dyDescent="0.35">
      <c r="B560" s="390"/>
      <c r="C560" s="120" t="s">
        <v>584</v>
      </c>
      <c r="D560" s="120">
        <f>IF($B$558=0,0,COUNTIFS($B$8:$B$332,"*"&amp;$B$558&amp;"*",$C$8:$C$332,C560))</f>
        <v>0</v>
      </c>
    </row>
    <row r="561" spans="2:4" x14ac:dyDescent="0.35">
      <c r="B561" s="390" t="str">
        <f>B377</f>
        <v>REQ_SYS_V2L_679</v>
      </c>
      <c r="C561" s="120" t="s">
        <v>549</v>
      </c>
      <c r="D561" s="120">
        <f>IF($B$561=0,0,COUNTIFS($B$8:$B$332,"*"&amp;$B$561&amp;"*",$C$8:$C$332,C561))</f>
        <v>18</v>
      </c>
    </row>
    <row r="562" spans="2:4" x14ac:dyDescent="0.35">
      <c r="B562" s="390"/>
      <c r="C562" s="120" t="s">
        <v>583</v>
      </c>
      <c r="D562" s="120">
        <f>IF($B$561=0,0,COUNTIFS($B$8:$B$332,"*"&amp;$B$561&amp;"*",$C$8:$C$332,C562))</f>
        <v>0</v>
      </c>
    </row>
    <row r="563" spans="2:4" x14ac:dyDescent="0.35">
      <c r="B563" s="390"/>
      <c r="C563" s="120" t="s">
        <v>584</v>
      </c>
      <c r="D563" s="120">
        <f>IF($B$561=0,0,COUNTIFS($B$8:$B$332,"*"&amp;$B$561&amp;"*",$C$8:$C$332,C563))</f>
        <v>0</v>
      </c>
    </row>
    <row r="564" spans="2:4" x14ac:dyDescent="0.35">
      <c r="B564" s="390" t="str">
        <f>B378</f>
        <v>REQ_SYS_Comm_107378</v>
      </c>
      <c r="C564" s="120" t="s">
        <v>549</v>
      </c>
      <c r="D564" s="120">
        <f>IF($B$564=0,0,COUNTIFS($B$8:$B$332,"*"&amp;$B$564&amp;"*",$C$8:$C$332,C564))</f>
        <v>18</v>
      </c>
    </row>
    <row r="565" spans="2:4" x14ac:dyDescent="0.35">
      <c r="B565" s="390"/>
      <c r="C565" s="120" t="s">
        <v>583</v>
      </c>
      <c r="D565" s="120">
        <f>IF($B$564=0,0,COUNTIFS($B$8:$B$332,"*"&amp;$B$564&amp;"*",$C$8:$C$332,C565))</f>
        <v>0</v>
      </c>
    </row>
    <row r="566" spans="2:4" x14ac:dyDescent="0.35">
      <c r="B566" s="390"/>
      <c r="C566" s="120" t="s">
        <v>584</v>
      </c>
      <c r="D566" s="120">
        <f>IF($B$564=0,0,COUNTIFS($B$8:$B$332,"*"&amp;$B$564&amp;"*",$C$8:$C$332,C566))</f>
        <v>0</v>
      </c>
    </row>
    <row r="567" spans="2:4" x14ac:dyDescent="0.35">
      <c r="B567" s="390" t="str">
        <f>B379</f>
        <v>REQ_SYS_Comm_107379</v>
      </c>
      <c r="C567" s="120" t="s">
        <v>549</v>
      </c>
      <c r="D567" s="120">
        <f>IF($B$567=0,0,COUNTIFS($B$8:$B$332,"*"&amp;$B$567&amp;"*",$C$8:$C$332,C567))</f>
        <v>18</v>
      </c>
    </row>
    <row r="568" spans="2:4" x14ac:dyDescent="0.35">
      <c r="B568" s="390"/>
      <c r="C568" s="120" t="s">
        <v>583</v>
      </c>
      <c r="D568" s="120">
        <f>IF($B$567=0,0,COUNTIFS($B$8:$B$332,"*"&amp;$B$567&amp;"*",$C$8:$C$332,C568))</f>
        <v>0</v>
      </c>
    </row>
    <row r="569" spans="2:4" x14ac:dyDescent="0.35">
      <c r="B569" s="390"/>
      <c r="C569" s="120" t="s">
        <v>584</v>
      </c>
      <c r="D569" s="120">
        <f>IF($B$567=0,0,COUNTIFS($B$8:$B$332,"*"&amp;$B$567&amp;"*",$C$8:$C$332,C569))</f>
        <v>0</v>
      </c>
    </row>
    <row r="570" spans="2:4" x14ac:dyDescent="0.35">
      <c r="B570" s="390" t="str">
        <f>B380</f>
        <v>REQ_SYS_Comm_107380</v>
      </c>
      <c r="C570" s="120" t="s">
        <v>549</v>
      </c>
      <c r="D570" s="120">
        <f>IF($B$570=0,0,COUNTIFS($B$8:$B$332,"*"&amp;$B$570&amp;"*",$C$8:$C$332,C570))</f>
        <v>18</v>
      </c>
    </row>
    <row r="571" spans="2:4" x14ac:dyDescent="0.35">
      <c r="B571" s="390"/>
      <c r="C571" s="120" t="s">
        <v>583</v>
      </c>
      <c r="D571" s="120">
        <f>IF($B$570=0,0,COUNTIFS($B$8:$B$332,"*"&amp;$B$570&amp;"*",$C$8:$C$332,C571))</f>
        <v>0</v>
      </c>
    </row>
    <row r="572" spans="2:4" x14ac:dyDescent="0.35">
      <c r="B572" s="390"/>
      <c r="C572" s="120" t="s">
        <v>584</v>
      </c>
      <c r="D572" s="120">
        <f>IF($B$570=0,0,COUNTIFS($B$8:$B$332,"*"&amp;$B$570&amp;"*",$C$8:$C$332,C572))</f>
        <v>0</v>
      </c>
    </row>
    <row r="573" spans="2:4" x14ac:dyDescent="0.35">
      <c r="B573" s="390" t="str">
        <f>B381</f>
        <v>REQ_SYS_Comm_107381</v>
      </c>
      <c r="C573" s="120" t="s">
        <v>549</v>
      </c>
      <c r="D573" s="120">
        <f>IF($B$573=0,0,COUNTIFS($B$8:$B$332,"*"&amp;$B$573&amp;"*",$C$8:$C$332,C573))</f>
        <v>18</v>
      </c>
    </row>
    <row r="574" spans="2:4" x14ac:dyDescent="0.35">
      <c r="B574" s="390"/>
      <c r="C574" s="120" t="s">
        <v>583</v>
      </c>
      <c r="D574" s="120">
        <f>IF($B$573=0,0,COUNTIFS($B$8:$B$332,"*"&amp;$B$573&amp;"*",$C$8:$C$332,C574))</f>
        <v>0</v>
      </c>
    </row>
    <row r="575" spans="2:4" x14ac:dyDescent="0.35">
      <c r="B575" s="390"/>
      <c r="C575" s="120" t="s">
        <v>584</v>
      </c>
      <c r="D575" s="120">
        <f>IF($B$573=0,0,COUNTIFS($B$8:$B$332,"*"&amp;$B$573&amp;"*",$C$8:$C$332,C575))</f>
        <v>0</v>
      </c>
    </row>
    <row r="576" spans="2:4" x14ac:dyDescent="0.35">
      <c r="B576" s="390" t="str">
        <f>B382</f>
        <v>REQ_SYS_Comm_107382</v>
      </c>
      <c r="C576" s="120" t="s">
        <v>549</v>
      </c>
      <c r="D576" s="120">
        <f>IF($B$576=0,0,COUNTIFS($B$8:$B$332,"*"&amp;$B$576&amp;"*",$C$8:$C$332,C576))</f>
        <v>18</v>
      </c>
    </row>
    <row r="577" spans="2:4" x14ac:dyDescent="0.35">
      <c r="B577" s="390"/>
      <c r="C577" s="120" t="s">
        <v>583</v>
      </c>
      <c r="D577" s="120">
        <f>IF($B$576=0,0,COUNTIFS($B$8:$B$332,"*"&amp;$B$576&amp;"*",$C$8:$C$332,C577))</f>
        <v>0</v>
      </c>
    </row>
    <row r="578" spans="2:4" x14ac:dyDescent="0.35">
      <c r="B578" s="390"/>
      <c r="C578" s="120" t="s">
        <v>584</v>
      </c>
      <c r="D578" s="120">
        <f>IF($B$576=0,0,COUNTIFS($B$8:$B$332,"*"&amp;$B$576&amp;"*",$C$8:$C$332,C578))</f>
        <v>0</v>
      </c>
    </row>
    <row r="579" spans="2:4" x14ac:dyDescent="0.35">
      <c r="B579" s="390" t="str">
        <f>B383</f>
        <v>REQ_SYS_Comm_107383</v>
      </c>
      <c r="C579" s="120" t="s">
        <v>549</v>
      </c>
      <c r="D579" s="120">
        <f>IF($B$579=0,0,COUNTIFS($B$8:$B$332,"*"&amp;$B$579&amp;"*",$C$8:$C$332,C579))</f>
        <v>18</v>
      </c>
    </row>
    <row r="580" spans="2:4" x14ac:dyDescent="0.35">
      <c r="B580" s="390"/>
      <c r="C580" s="120" t="s">
        <v>583</v>
      </c>
      <c r="D580" s="120">
        <f>IF($B$579=0,0,COUNTIFS($B$8:$B$332,"*"&amp;$B$579&amp;"*",$C$8:$C$332,C580))</f>
        <v>0</v>
      </c>
    </row>
    <row r="581" spans="2:4" x14ac:dyDescent="0.35">
      <c r="B581" s="390"/>
      <c r="C581" s="120" t="s">
        <v>584</v>
      </c>
      <c r="D581" s="120">
        <f>IF($B$579=0,0,COUNTIFS($B$8:$B$332,"*"&amp;$B$579&amp;"*",$C$8:$C$332,C581))</f>
        <v>0</v>
      </c>
    </row>
    <row r="582" spans="2:4" x14ac:dyDescent="0.35">
      <c r="B582" s="390" t="str">
        <f>B384</f>
        <v>REQ_SYS_Comm_107385</v>
      </c>
      <c r="C582" s="120" t="s">
        <v>549</v>
      </c>
      <c r="D582" s="120">
        <f>IF($B$582=0,0,COUNTIFS($B$8:$B$332,"*"&amp;$B$582&amp;"*",$C$8:$C$332,C582))</f>
        <v>18</v>
      </c>
    </row>
    <row r="583" spans="2:4" x14ac:dyDescent="0.35">
      <c r="B583" s="390"/>
      <c r="C583" s="120" t="s">
        <v>583</v>
      </c>
      <c r="D583" s="120">
        <f>IF($B$582=0,0,COUNTIFS($B$8:$B$332,"*"&amp;$B$582&amp;"*",$C$8:$C$332,C583))</f>
        <v>0</v>
      </c>
    </row>
    <row r="584" spans="2:4" x14ac:dyDescent="0.35">
      <c r="B584" s="390"/>
      <c r="C584" s="120" t="s">
        <v>584</v>
      </c>
      <c r="D584" s="120">
        <f>IF($B$582=0,0,COUNTIFS($B$8:$B$332,"*"&amp;$B$582&amp;"*",$C$8:$C$332,C584))</f>
        <v>0</v>
      </c>
    </row>
    <row r="585" spans="2:4" x14ac:dyDescent="0.35">
      <c r="B585" s="390" t="str">
        <f>B385</f>
        <v>REQ_SYS_Comm_107386</v>
      </c>
      <c r="C585" s="120" t="s">
        <v>549</v>
      </c>
      <c r="D585" s="120">
        <f>IF($B$585=0,0,COUNTIFS($B$8:$B$332,"*"&amp;$B$585&amp;"*",$C$8:$C$332,C585))</f>
        <v>18</v>
      </c>
    </row>
    <row r="586" spans="2:4" x14ac:dyDescent="0.35">
      <c r="B586" s="390"/>
      <c r="C586" s="120" t="s">
        <v>583</v>
      </c>
      <c r="D586" s="120">
        <f>IF($B$585=0,0,COUNTIFS($B$8:$B$332,"*"&amp;$B$585&amp;"*",$C$8:$C$332,C586))</f>
        <v>0</v>
      </c>
    </row>
    <row r="587" spans="2:4" x14ac:dyDescent="0.35">
      <c r="B587" s="390"/>
      <c r="C587" s="120" t="s">
        <v>584</v>
      </c>
      <c r="D587" s="120">
        <f>IF($B$585=0,0,COUNTIFS($B$8:$B$332,"*"&amp;$B$585&amp;"*",$C$8:$C$332,C587))</f>
        <v>0</v>
      </c>
    </row>
    <row r="588" spans="2:4" x14ac:dyDescent="0.35">
      <c r="B588" s="390" t="str">
        <f>B386</f>
        <v>REQ_SYS_Comm_107387</v>
      </c>
      <c r="C588" s="120" t="s">
        <v>549</v>
      </c>
      <c r="D588" s="120">
        <f>IF($B$588=0,0,COUNTIFS($B$8:$B$332,"*"&amp;$B$588&amp;"*",$C$8:$C$332,C588))</f>
        <v>18</v>
      </c>
    </row>
    <row r="589" spans="2:4" x14ac:dyDescent="0.35">
      <c r="B589" s="390"/>
      <c r="C589" s="120" t="s">
        <v>583</v>
      </c>
      <c r="D589" s="120">
        <f>IF($B$588=0,0,COUNTIFS($B$8:$B$332,"*"&amp;$B$588&amp;"*",$C$8:$C$332,C589))</f>
        <v>0</v>
      </c>
    </row>
    <row r="590" spans="2:4" x14ac:dyDescent="0.35">
      <c r="B590" s="390"/>
      <c r="C590" s="120" t="s">
        <v>584</v>
      </c>
      <c r="D590" s="120">
        <f>IF($B$588=0,0,COUNTIFS($B$8:$B$332,"*"&amp;$B$588&amp;"*",$C$8:$C$332,C590))</f>
        <v>0</v>
      </c>
    </row>
    <row r="591" spans="2:4" x14ac:dyDescent="0.35">
      <c r="B591" s="390" t="str">
        <f>B387</f>
        <v>REQ_SYS_Comm_107388</v>
      </c>
      <c r="C591" s="120" t="s">
        <v>549</v>
      </c>
      <c r="D591" s="120">
        <f>IF($B$591=0,0,COUNTIFS($B$8:$B$332,"*"&amp;$B$591&amp;"*",$C$8:$C$332,C591))</f>
        <v>18</v>
      </c>
    </row>
    <row r="592" spans="2:4" x14ac:dyDescent="0.35">
      <c r="B592" s="390"/>
      <c r="C592" s="120" t="s">
        <v>583</v>
      </c>
      <c r="D592" s="120">
        <f>IF($B$591=0,0,COUNTIFS($B$8:$B$332,"*"&amp;$B$591&amp;"*",$C$8:$C$332,C592))</f>
        <v>0</v>
      </c>
    </row>
    <row r="593" spans="2:4" x14ac:dyDescent="0.35">
      <c r="B593" s="390"/>
      <c r="C593" s="120" t="s">
        <v>584</v>
      </c>
      <c r="D593" s="120">
        <f>IF($B$591=0,0,COUNTIFS($B$8:$B$332,"*"&amp;$B$591&amp;"*",$C$8:$C$332,C593))</f>
        <v>0</v>
      </c>
    </row>
    <row r="594" spans="2:4" x14ac:dyDescent="0.35">
      <c r="B594" s="390" t="str">
        <f>B388</f>
        <v>REQ_SYS_Comm_107389</v>
      </c>
      <c r="C594" s="120" t="s">
        <v>549</v>
      </c>
      <c r="D594" s="120">
        <f>IF($B$594=0,0,COUNTIFS($B$8:$B$332,"*"&amp;$B$594&amp;"*",$C$8:$C$332,C594))</f>
        <v>18</v>
      </c>
    </row>
    <row r="595" spans="2:4" x14ac:dyDescent="0.35">
      <c r="B595" s="390"/>
      <c r="C595" s="120" t="s">
        <v>583</v>
      </c>
      <c r="D595" s="120">
        <f>IF($B$594=0,0,COUNTIFS($B$8:$B$332,"*"&amp;$B$594&amp;"*",$C$8:$C$332,C595))</f>
        <v>0</v>
      </c>
    </row>
    <row r="596" spans="2:4" x14ac:dyDescent="0.35">
      <c r="B596" s="390"/>
      <c r="C596" s="120" t="s">
        <v>584</v>
      </c>
      <c r="D596" s="120">
        <f>IF($B$594=0,0,COUNTIFS($B$8:$B$332,"*"&amp;$B$594&amp;"*",$C$8:$C$332,C596))</f>
        <v>0</v>
      </c>
    </row>
    <row r="597" spans="2:4" x14ac:dyDescent="0.35">
      <c r="B597" s="390" t="str">
        <f>B389</f>
        <v>REQ_SYS_Comm_107390</v>
      </c>
      <c r="C597" s="120" t="s">
        <v>549</v>
      </c>
      <c r="D597" s="120">
        <f>IF($B$597=0,0,COUNTIFS($B$8:$B$332,"*"&amp;$B$597&amp;"*",$C$8:$C$332,C597))</f>
        <v>18</v>
      </c>
    </row>
    <row r="598" spans="2:4" x14ac:dyDescent="0.35">
      <c r="B598" s="390"/>
      <c r="C598" s="120" t="s">
        <v>583</v>
      </c>
      <c r="D598" s="120">
        <f>IF($B$597=0,0,COUNTIFS($B$8:$B$332,"*"&amp;$B$597&amp;"*",$C$8:$C$332,C598))</f>
        <v>0</v>
      </c>
    </row>
    <row r="599" spans="2:4" x14ac:dyDescent="0.35">
      <c r="B599" s="390"/>
      <c r="C599" s="120" t="s">
        <v>584</v>
      </c>
      <c r="D599" s="120">
        <f>IF($B$597=0,0,COUNTIFS($B$8:$B$332,"*"&amp;$B$597&amp;"*",$C$8:$C$332,C599))</f>
        <v>0</v>
      </c>
    </row>
    <row r="600" spans="2:4" x14ac:dyDescent="0.35">
      <c r="B600" s="390" t="str">
        <f>B384</f>
        <v>REQ_SYS_Comm_107385</v>
      </c>
      <c r="C600" s="120" t="s">
        <v>549</v>
      </c>
      <c r="D600" s="120">
        <f>IF($B$600=0,0,COUNTIFS($B$8:$B$332,"*"&amp;$B$600&amp;"*",$C$8:$C$332,C600))</f>
        <v>18</v>
      </c>
    </row>
    <row r="601" spans="2:4" x14ac:dyDescent="0.35">
      <c r="B601" s="390"/>
      <c r="C601" s="120" t="s">
        <v>583</v>
      </c>
      <c r="D601" s="120">
        <f>IF($B$600=0,0,COUNTIFS($B$8:$B$332,"*"&amp;$B$600&amp;"*",$C$8:$C$332,C601))</f>
        <v>0</v>
      </c>
    </row>
    <row r="602" spans="2:4" x14ac:dyDescent="0.35">
      <c r="B602" s="390"/>
      <c r="C602" s="120" t="s">
        <v>584</v>
      </c>
      <c r="D602" s="120">
        <f>IF($B$600=0,0,COUNTIFS($B$8:$B$332,"*"&amp;$B$600&amp;"*",$C$8:$C$332,C602))</f>
        <v>0</v>
      </c>
    </row>
    <row r="603" spans="2:4" x14ac:dyDescent="0.35">
      <c r="B603" s="390" t="str">
        <f>B415</f>
        <v xml:space="preserve"> REQ_SYS_Comm_520</v>
      </c>
      <c r="C603" s="120" t="s">
        <v>549</v>
      </c>
      <c r="D603" s="120">
        <f>IF($B$603=0,0,COUNTIFS($B$8:$B$333,"*"&amp;$B$603&amp;"*",$C$8:$C$333,C603))</f>
        <v>18</v>
      </c>
    </row>
    <row r="604" spans="2:4" x14ac:dyDescent="0.35">
      <c r="B604" s="390"/>
      <c r="C604" s="120" t="s">
        <v>583</v>
      </c>
      <c r="D604" s="120">
        <f>IF($B$603=0,0,COUNTIFS($B$8:$B$333,"*"&amp;$B$603&amp;"*",$C$8:$C$333,C604))</f>
        <v>0</v>
      </c>
    </row>
    <row r="605" spans="2:4" x14ac:dyDescent="0.35">
      <c r="B605" s="390"/>
      <c r="C605" s="120" t="s">
        <v>584</v>
      </c>
      <c r="D605" s="120">
        <f>IF($B$603=0,0,COUNTIFS($B$8:$B$333,"*"&amp;$B$603&amp;"*",$C$8:$C$333,C605))</f>
        <v>0</v>
      </c>
    </row>
    <row r="606" spans="2:4" x14ac:dyDescent="0.35">
      <c r="B606" s="390" t="str">
        <f>B390</f>
        <v>REQ_SYS_GRA_NEW_394</v>
      </c>
      <c r="C606" s="120" t="s">
        <v>549</v>
      </c>
      <c r="D606" s="120">
        <f>IF($B$606=0,0,COUNTIFS($B$8:$B$333,"*"&amp;$B$606&amp;"*",$C$8:$C$333,C606))</f>
        <v>18</v>
      </c>
    </row>
    <row r="607" spans="2:4" x14ac:dyDescent="0.35">
      <c r="B607" s="390"/>
      <c r="C607" s="120" t="s">
        <v>583</v>
      </c>
      <c r="D607" s="120">
        <f>IF($B$606=0,0,COUNTIFS($B$8:$B$333,"*"&amp;$B$606&amp;"*",$C$8:$C$333,C607))</f>
        <v>0</v>
      </c>
    </row>
    <row r="608" spans="2:4" x14ac:dyDescent="0.35">
      <c r="B608" s="390"/>
      <c r="C608" s="120" t="s">
        <v>584</v>
      </c>
      <c r="D608" s="120">
        <f>IF($B$606=0,0,COUNTIFS($B$8:$B$333,"*"&amp;$B$606&amp;"*",$C$8:$C$333,C608))</f>
        <v>0</v>
      </c>
    </row>
    <row r="609" spans="2:4" x14ac:dyDescent="0.35">
      <c r="B609" s="390" t="str">
        <f>B391</f>
        <v>REQ_SYS_GRA_NEW_395</v>
      </c>
      <c r="C609" s="120" t="s">
        <v>549</v>
      </c>
      <c r="D609" s="120">
        <f>IF($B$609=0,0,COUNTIFS($B$8:$B$333,"*"&amp;$B$609&amp;"*",$C$8:$C$333,C609))</f>
        <v>18</v>
      </c>
    </row>
    <row r="610" spans="2:4" x14ac:dyDescent="0.35">
      <c r="B610" s="390"/>
      <c r="C610" s="120" t="s">
        <v>583</v>
      </c>
      <c r="D610" s="120">
        <f>IF($B$609=0,0,COUNTIFS($B$8:$B$333,"*"&amp;$B$609&amp;"*",$C$8:$C$333,C610))</f>
        <v>0</v>
      </c>
    </row>
    <row r="611" spans="2:4" x14ac:dyDescent="0.35">
      <c r="B611" s="390"/>
      <c r="C611" s="120" t="s">
        <v>584</v>
      </c>
      <c r="D611" s="120">
        <f>IF($B$609=0,0,COUNTIFS($B$8:$B$333,"*"&amp;$B$609&amp;"*",$C$8:$C$333,C611))</f>
        <v>0</v>
      </c>
    </row>
    <row r="612" spans="2:4" x14ac:dyDescent="0.35">
      <c r="B612" s="390" t="str">
        <f>B392</f>
        <v>REQ_SYS_GRA_NEW_396</v>
      </c>
      <c r="C612" s="120" t="s">
        <v>549</v>
      </c>
      <c r="D612" s="120">
        <f>IF($B$612=0,0,COUNTIFS($B$8:$B$333,"*"&amp;$B$612&amp;"*",$C$8:$C$333,C612))</f>
        <v>18</v>
      </c>
    </row>
    <row r="613" spans="2:4" x14ac:dyDescent="0.35">
      <c r="B613" s="390"/>
      <c r="C613" s="120" t="s">
        <v>583</v>
      </c>
      <c r="D613" s="120">
        <f>IF($B$612=0,0,COUNTIFS($B$8:$B$333,"*"&amp;$B$612&amp;"*",$C$8:$C$333,C613))</f>
        <v>0</v>
      </c>
    </row>
    <row r="614" spans="2:4" x14ac:dyDescent="0.35">
      <c r="B614" s="390"/>
      <c r="C614" s="120" t="s">
        <v>584</v>
      </c>
      <c r="D614" s="120">
        <f>IF($B$612=0,0,COUNTIFS($B$8:$B$333,"*"&amp;$B$612&amp;"*",$C$8:$C$333,C614))</f>
        <v>0</v>
      </c>
    </row>
    <row r="615" spans="2:4" x14ac:dyDescent="0.35">
      <c r="B615" s="390" t="str">
        <f>B393</f>
        <v>REQ_SYS_Comm_488</v>
      </c>
      <c r="C615" s="120" t="s">
        <v>549</v>
      </c>
      <c r="D615" s="120">
        <f>IF($B$615=0,0,COUNTIFS($B$8:$B$332,"*"&amp;$B$615&amp;"*",$C$8:$C$332,C615))</f>
        <v>19</v>
      </c>
    </row>
    <row r="616" spans="2:4" x14ac:dyDescent="0.35">
      <c r="B616" s="390"/>
      <c r="C616" s="120" t="s">
        <v>583</v>
      </c>
      <c r="D616" s="120">
        <f>IF($B$615=0,0,COUNTIFS($B$8:$B$332,"*"&amp;$B$615&amp;"*",$C$8:$C$332,C616))</f>
        <v>0</v>
      </c>
    </row>
    <row r="617" spans="2:4" x14ac:dyDescent="0.35">
      <c r="B617" s="390"/>
      <c r="C617" s="120" t="s">
        <v>584</v>
      </c>
      <c r="D617" s="120">
        <f>IF($B$615=0,0,COUNTIFS($B$8:$B$332,"*"&amp;$B$615&amp;"*",$C$8:$C$332,C617))</f>
        <v>0</v>
      </c>
    </row>
    <row r="618" spans="2:4" x14ac:dyDescent="0.35">
      <c r="B618" s="390" t="str">
        <f>B394</f>
        <v>REQ_SYS_Comm_489</v>
      </c>
      <c r="C618" s="120" t="s">
        <v>549</v>
      </c>
      <c r="D618" s="120">
        <f>IF($B$618=0,0,COUNTIFS($B$8:$B$332,"*"&amp;$B$618&amp;"*",$C$8:$C$332,C618))</f>
        <v>19</v>
      </c>
    </row>
    <row r="619" spans="2:4" x14ac:dyDescent="0.35">
      <c r="B619" s="390"/>
      <c r="C619" s="120" t="s">
        <v>583</v>
      </c>
      <c r="D619" s="120">
        <f>IF($B$618=0,0,COUNTIFS($B$8:$B$332,"*"&amp;$B$618&amp;"*",$C$8:$C$332,C619))</f>
        <v>0</v>
      </c>
    </row>
    <row r="620" spans="2:4" x14ac:dyDescent="0.35">
      <c r="B620" s="390"/>
      <c r="C620" s="120" t="s">
        <v>584</v>
      </c>
      <c r="D620" s="120">
        <f>IF($B$618=0,0,COUNTIFS($B$8:$B$332,"*"&amp;$B$618&amp;"*",$C$8:$C$332,C620))</f>
        <v>0</v>
      </c>
    </row>
    <row r="621" spans="2:4" x14ac:dyDescent="0.35">
      <c r="B621" s="390" t="str">
        <f>B395</f>
        <v>REQ_SYS_Comm_490</v>
      </c>
      <c r="C621" s="120" t="s">
        <v>549</v>
      </c>
      <c r="D621" s="120">
        <f>IF($B$621=0,0,COUNTIFS($B$8:$B$332,"*"&amp;$B$582&amp;"*",$C$8:$C$332,C621))</f>
        <v>18</v>
      </c>
    </row>
    <row r="622" spans="2:4" x14ac:dyDescent="0.35">
      <c r="B622" s="390"/>
      <c r="C622" s="120" t="s">
        <v>583</v>
      </c>
      <c r="D622" s="120">
        <f>IF($B$621=0,0,COUNTIFS($B$8:$B$332,"*"&amp;$B$582&amp;"*",$C$8:$C$332,C622))</f>
        <v>0</v>
      </c>
    </row>
    <row r="623" spans="2:4" x14ac:dyDescent="0.35">
      <c r="B623" s="390"/>
      <c r="C623" s="120" t="s">
        <v>584</v>
      </c>
      <c r="D623" s="120">
        <f>IF($B$621=0,0,COUNTIFS($B$8:$B$332,"*"&amp;$B$582&amp;"*",$C$8:$C$332,C623))</f>
        <v>0</v>
      </c>
    </row>
    <row r="624" spans="2:4" x14ac:dyDescent="0.35">
      <c r="B624" s="390" t="str">
        <f>B396</f>
        <v>REQ_SYS_Comm_491</v>
      </c>
      <c r="C624" s="120" t="s">
        <v>549</v>
      </c>
      <c r="D624" s="120">
        <f>IF($B$624=0,0,COUNTIFS($B$8:$B$332,"*"&amp;$B$624&amp;"*",$C$8:$C$332,C624))</f>
        <v>19</v>
      </c>
    </row>
    <row r="625" spans="2:4" x14ac:dyDescent="0.35">
      <c r="B625" s="390"/>
      <c r="C625" s="120" t="s">
        <v>583</v>
      </c>
      <c r="D625" s="120">
        <f>IF($B$624=0,0,COUNTIFS($B$8:$B$332,"*"&amp;$B$624&amp;"*",$C$8:$C$332,C625))</f>
        <v>0</v>
      </c>
    </row>
    <row r="626" spans="2:4" x14ac:dyDescent="0.35">
      <c r="B626" s="390"/>
      <c r="C626" s="120" t="s">
        <v>584</v>
      </c>
      <c r="D626" s="120">
        <f>IF($B$624=0,0,COUNTIFS($B$8:$B$332,"*"&amp;$B$624&amp;"*",$C$8:$C$332,C626))</f>
        <v>0</v>
      </c>
    </row>
    <row r="627" spans="2:4" x14ac:dyDescent="0.35">
      <c r="B627" s="390" t="str">
        <f>B397</f>
        <v>REQ_SYS_Comm_492</v>
      </c>
      <c r="C627" s="120" t="s">
        <v>549</v>
      </c>
      <c r="D627" s="120">
        <f>IF($B$627=0,0,COUNTIFS($B$8:$B$332,"*"&amp;$B$627&amp;"*",$C$8:$C$332,C627))</f>
        <v>19</v>
      </c>
    </row>
    <row r="628" spans="2:4" x14ac:dyDescent="0.35">
      <c r="B628" s="390"/>
      <c r="C628" s="120" t="s">
        <v>583</v>
      </c>
      <c r="D628" s="120">
        <f>IF($B$627=0,0,COUNTIFS($B$8:$B$332,"*"&amp;$B$627&amp;"*",$C$8:$C$332,C628))</f>
        <v>0</v>
      </c>
    </row>
    <row r="629" spans="2:4" x14ac:dyDescent="0.35">
      <c r="B629" s="390"/>
      <c r="C629" s="120" t="s">
        <v>584</v>
      </c>
      <c r="D629" s="120">
        <f>IF($B$627=0,0,COUNTIFS($B$8:$B$332,"*"&amp;$B$627&amp;"*",$C$8:$C$332,C629))</f>
        <v>0</v>
      </c>
    </row>
    <row r="630" spans="2:4" x14ac:dyDescent="0.35">
      <c r="B630" s="390" t="str">
        <f>B398</f>
        <v>REQ_SYS_Comm_493</v>
      </c>
      <c r="C630" s="120" t="s">
        <v>549</v>
      </c>
      <c r="D630" s="120">
        <f>IF($B$630=0,0,COUNTIFS($B$8:$B$332,"*"&amp;$B$630&amp;"*",$C$8:$C$332,C630))</f>
        <v>19</v>
      </c>
    </row>
    <row r="631" spans="2:4" x14ac:dyDescent="0.35">
      <c r="B631" s="390"/>
      <c r="C631" s="120" t="s">
        <v>583</v>
      </c>
      <c r="D631" s="120">
        <f>IF($B$630=0,0,COUNTIFS($B$8:$B$332,"*"&amp;$B$630&amp;"*",$C$8:$C$332,C631))</f>
        <v>0</v>
      </c>
    </row>
    <row r="632" spans="2:4" x14ac:dyDescent="0.35">
      <c r="B632" s="390"/>
      <c r="C632" s="120" t="s">
        <v>584</v>
      </c>
      <c r="D632" s="120">
        <f>IF($B$630=0,0,COUNTIFS($B$8:$B$332,"*"&amp;$B$630&amp;"*",$C$8:$C$332,C632))</f>
        <v>0</v>
      </c>
    </row>
    <row r="633" spans="2:4" x14ac:dyDescent="0.35">
      <c r="B633" s="390" t="str">
        <f>B399</f>
        <v>REQ_SYS_Comm_494</v>
      </c>
      <c r="C633" s="120" t="s">
        <v>549</v>
      </c>
      <c r="D633" s="120">
        <f>IF($B$633=0,0,COUNTIFS($B$8:$B$332,"*"&amp;$B$633&amp;"*",$C$8:$C$332,C633))</f>
        <v>19</v>
      </c>
    </row>
    <row r="634" spans="2:4" x14ac:dyDescent="0.35">
      <c r="B634" s="390"/>
      <c r="C634" s="120" t="s">
        <v>583</v>
      </c>
      <c r="D634" s="120">
        <f>IF($B$633=0,0,COUNTIFS($B$8:$B$332,"*"&amp;$B$633&amp;"*",$C$8:$C$332,C634))</f>
        <v>0</v>
      </c>
    </row>
    <row r="635" spans="2:4" x14ac:dyDescent="0.35">
      <c r="B635" s="390"/>
      <c r="C635" s="120" t="s">
        <v>584</v>
      </c>
      <c r="D635" s="120">
        <f>IF($B$633=0,0,COUNTIFS($B$8:$B$332,"*"&amp;$B$633&amp;"*",$C$8:$C$332,C635))</f>
        <v>0</v>
      </c>
    </row>
    <row r="636" spans="2:4" x14ac:dyDescent="0.35">
      <c r="B636" s="390" t="str">
        <f>B400</f>
        <v>REQ_SYS_Comm_495</v>
      </c>
      <c r="C636" s="120" t="s">
        <v>549</v>
      </c>
      <c r="D636" s="120">
        <f>IF($B$636=0,0,COUNTIFS($B$8:$B$332,"*"&amp;$B$636&amp;"*",$C$8:$C$332,C636))</f>
        <v>19</v>
      </c>
    </row>
    <row r="637" spans="2:4" x14ac:dyDescent="0.35">
      <c r="B637" s="390"/>
      <c r="C637" s="120" t="s">
        <v>583</v>
      </c>
      <c r="D637" s="120">
        <f>IF($B$636=0,0,COUNTIFS($B$8:$B$332,"*"&amp;$B$636&amp;"*",$C$8:$C$332,C637))</f>
        <v>0</v>
      </c>
    </row>
    <row r="638" spans="2:4" x14ac:dyDescent="0.35">
      <c r="B638" s="390"/>
      <c r="C638" s="120" t="s">
        <v>584</v>
      </c>
      <c r="D638" s="120">
        <f>IF($B$636=0,0,COUNTIFS($B$8:$B$332,"*"&amp;$B$636&amp;"*",$C$8:$C$332,C638))</f>
        <v>0</v>
      </c>
    </row>
    <row r="639" spans="2:4" x14ac:dyDescent="0.35">
      <c r="B639" s="390" t="str">
        <f>B401</f>
        <v>REQ_SYS_Comm_496</v>
      </c>
      <c r="C639" s="120" t="s">
        <v>549</v>
      </c>
      <c r="D639" s="120">
        <f>IF($B$639=0,0,COUNTIFS($B$8:$B$332,"*"&amp;$B$639&amp;"*",$C$8:$C$332,C639))</f>
        <v>19</v>
      </c>
    </row>
    <row r="640" spans="2:4" x14ac:dyDescent="0.35">
      <c r="B640" s="390"/>
      <c r="C640" s="120" t="s">
        <v>583</v>
      </c>
      <c r="D640" s="120">
        <f>IF($B$639=0,0,COUNTIFS($B$8:$B$332,"*"&amp;$B$639&amp;"*",$C$8:$C$332,C640))</f>
        <v>0</v>
      </c>
    </row>
    <row r="641" spans="2:4" x14ac:dyDescent="0.35">
      <c r="B641" s="390"/>
      <c r="C641" s="120" t="s">
        <v>584</v>
      </c>
      <c r="D641" s="120">
        <f>IF($B$639=0,0,COUNTIFS($B$8:$B$332,"*"&amp;$B$639&amp;"*",$C$8:$C$332,C641))</f>
        <v>0</v>
      </c>
    </row>
    <row r="642" spans="2:4" x14ac:dyDescent="0.35">
      <c r="B642" s="390" t="str">
        <f>B402</f>
        <v>REQ_SYS_Comm_497</v>
      </c>
      <c r="C642" s="120" t="s">
        <v>549</v>
      </c>
      <c r="D642" s="120">
        <f>IF($B$642=0,0,COUNTIFS($B$8:$B$333,"*"&amp;$B$642&amp;"*",$C$8:$C$333,C642))</f>
        <v>19</v>
      </c>
    </row>
    <row r="643" spans="2:4" x14ac:dyDescent="0.35">
      <c r="B643" s="390"/>
      <c r="C643" s="120" t="s">
        <v>583</v>
      </c>
      <c r="D643" s="120">
        <f>IF($B$642=0,0,COUNTIFS($B$8:$B$333,"*"&amp;$B$642&amp;"*",$C$8:$C$333,C643))</f>
        <v>0</v>
      </c>
    </row>
    <row r="644" spans="2:4" x14ac:dyDescent="0.35">
      <c r="B644" s="390"/>
      <c r="C644" s="120" t="s">
        <v>584</v>
      </c>
      <c r="D644" s="120">
        <f>IF($B$642=0,0,COUNTIFS($B$8:$B$333,"*"&amp;$B$642&amp;"*",$C$8:$C$333,C644))</f>
        <v>0</v>
      </c>
    </row>
    <row r="645" spans="2:4" x14ac:dyDescent="0.35">
      <c r="B645" s="390" t="str">
        <f>B403</f>
        <v>REQ_SYS_Comm_498</v>
      </c>
      <c r="C645" s="120" t="s">
        <v>549</v>
      </c>
      <c r="D645" s="120">
        <f>IF($B$645=0,0,COUNTIFS($B$8:$B$333,"*"&amp;$B$645&amp;"*",$C$8:$C$333,C645))</f>
        <v>19</v>
      </c>
    </row>
    <row r="646" spans="2:4" x14ac:dyDescent="0.35">
      <c r="B646" s="390"/>
      <c r="C646" s="120" t="s">
        <v>583</v>
      </c>
      <c r="D646" s="120">
        <f>IF($B$645=0,0,COUNTIFS($B$8:$B$333,"*"&amp;$B$645&amp;"*",$C$8:$C$333,C646))</f>
        <v>0</v>
      </c>
    </row>
    <row r="647" spans="2:4" x14ac:dyDescent="0.35">
      <c r="B647" s="390"/>
      <c r="C647" s="120" t="s">
        <v>584</v>
      </c>
      <c r="D647" s="120">
        <f>IF($B$645=0,0,COUNTIFS($B$8:$B$333,"*"&amp;$B$645&amp;"*",$C$8:$C$333,C647))</f>
        <v>0</v>
      </c>
    </row>
    <row r="648" spans="2:4" x14ac:dyDescent="0.35">
      <c r="B648" s="390" t="str">
        <f>B404</f>
        <v>REQ_SYS_Comm_499</v>
      </c>
      <c r="C648" s="120" t="s">
        <v>549</v>
      </c>
      <c r="D648" s="120">
        <f>IF($B$648=0,0,COUNTIFS($B$8:$B$333,"*"&amp;$B$648&amp;"*",$C$8:$C$333,C648))</f>
        <v>19</v>
      </c>
    </row>
    <row r="649" spans="2:4" x14ac:dyDescent="0.35">
      <c r="B649" s="390"/>
      <c r="C649" s="120" t="s">
        <v>583</v>
      </c>
      <c r="D649" s="120">
        <f>IF($B$648=0,0,COUNTIFS($B$8:$B$333,"*"&amp;$B$648&amp;"*",$C$8:$C$333,C649))</f>
        <v>0</v>
      </c>
    </row>
    <row r="650" spans="2:4" x14ac:dyDescent="0.35">
      <c r="B650" s="390"/>
      <c r="C650" s="120" t="s">
        <v>584</v>
      </c>
      <c r="D650" s="120">
        <f>IF($B$648=0,0,COUNTIFS($B$8:$B$333,"*"&amp;$B$648&amp;"*",$C$8:$C$333,C650))</f>
        <v>0</v>
      </c>
    </row>
    <row r="651" spans="2:4" x14ac:dyDescent="0.35">
      <c r="B651" s="390" t="str">
        <f>B405</f>
        <v>REQ_SYS_Comm_501</v>
      </c>
      <c r="C651" s="120" t="s">
        <v>549</v>
      </c>
      <c r="D651" s="120">
        <f>IF($B$651=0,0,COUNTIFS($B$8:$B$333,"*"&amp;$B$651&amp;"*",$C$8:$C$333,C651))</f>
        <v>19</v>
      </c>
    </row>
    <row r="652" spans="2:4" x14ac:dyDescent="0.35">
      <c r="B652" s="390"/>
      <c r="C652" s="120" t="s">
        <v>583</v>
      </c>
      <c r="D652" s="120">
        <f>IF($B$651=0,0,COUNTIFS($B$8:$B$333,"*"&amp;$B$651&amp;"*",$C$8:$C$333,C652))</f>
        <v>0</v>
      </c>
    </row>
    <row r="653" spans="2:4" x14ac:dyDescent="0.35">
      <c r="B653" s="390"/>
      <c r="C653" s="120" t="s">
        <v>584</v>
      </c>
      <c r="D653" s="120">
        <f>IF($B$651=0,0,COUNTIFS($B$8:$B$333,"*"&amp;$B$651&amp;"*",$C$8:$C$333,C653))</f>
        <v>0</v>
      </c>
    </row>
    <row r="654" spans="2:4" x14ac:dyDescent="0.35">
      <c r="B654" s="390" t="str">
        <f>B406</f>
        <v>REQ_SYS_Comm_500</v>
      </c>
      <c r="C654" s="120" t="s">
        <v>549</v>
      </c>
      <c r="D654" s="120">
        <f>IF($B$654=0,0,COUNTIFS($B$8:$B$332,"*"&amp;$B$654&amp;"*",$C$8:$C$332,C654))</f>
        <v>19</v>
      </c>
    </row>
    <row r="655" spans="2:4" x14ac:dyDescent="0.35">
      <c r="B655" s="390"/>
      <c r="C655" s="120" t="s">
        <v>583</v>
      </c>
      <c r="D655" s="120">
        <f>IF($B$654=0,0,COUNTIFS($B$8:$B$332,"*"&amp;$B$654&amp;"*",$C$8:$C$332,C655))</f>
        <v>0</v>
      </c>
    </row>
    <row r="656" spans="2:4" x14ac:dyDescent="0.35">
      <c r="B656" s="390"/>
      <c r="C656" s="120" t="s">
        <v>584</v>
      </c>
      <c r="D656" s="120">
        <f>IF($B$654=0,0,COUNTIFS($B$8:$B$332,"*"&amp;$B$654&amp;"*",$C$8:$C$332,C656))</f>
        <v>0</v>
      </c>
    </row>
    <row r="657" spans="2:4" x14ac:dyDescent="0.35">
      <c r="B657" s="390" t="str">
        <f>B407</f>
        <v>REQ_SYS_Comm_502</v>
      </c>
      <c r="C657" s="120" t="s">
        <v>549</v>
      </c>
      <c r="D657" s="120">
        <f>IF($B$657=0,0,COUNTIFS($B$8:$B$332,"*"&amp;$B$657&amp;"*",$C$8:$C$332,C657))</f>
        <v>19</v>
      </c>
    </row>
    <row r="658" spans="2:4" x14ac:dyDescent="0.35">
      <c r="B658" s="390"/>
      <c r="C658" s="120" t="s">
        <v>583</v>
      </c>
      <c r="D658" s="120">
        <f>IF($B$657=0,0,COUNTIFS($B$8:$B$332,"*"&amp;$B$657&amp;"*",$C$8:$C$332,C658))</f>
        <v>0</v>
      </c>
    </row>
    <row r="659" spans="2:4" x14ac:dyDescent="0.35">
      <c r="B659" s="390"/>
      <c r="C659" s="120" t="s">
        <v>584</v>
      </c>
      <c r="D659" s="120">
        <f>IF($B$657=0,0,COUNTIFS($B$8:$B$332,"*"&amp;$B$657&amp;"*",$C$8:$C$332,C659))</f>
        <v>0</v>
      </c>
    </row>
    <row r="660" spans="2:4" x14ac:dyDescent="0.35">
      <c r="B660" s="390" t="str">
        <f>B408</f>
        <v>REQ_SYS_Comm_503</v>
      </c>
      <c r="C660" s="120" t="s">
        <v>549</v>
      </c>
      <c r="D660" s="120">
        <f>IF($B$660=0,0,COUNTIFS($B$8:$B$332,"*"&amp;$B$660&amp;"*",$C$8:$C$332,C660))</f>
        <v>19</v>
      </c>
    </row>
    <row r="661" spans="2:4" x14ac:dyDescent="0.35">
      <c r="B661" s="390"/>
      <c r="C661" s="120" t="s">
        <v>583</v>
      </c>
      <c r="D661" s="120">
        <f>IF($B$660=0,0,COUNTIFS($B$8:$B$332,"*"&amp;$B$660&amp;"*",$C$8:$C$332,C661))</f>
        <v>0</v>
      </c>
    </row>
    <row r="662" spans="2:4" x14ac:dyDescent="0.35">
      <c r="B662" s="390"/>
      <c r="C662" s="120" t="s">
        <v>584</v>
      </c>
      <c r="D662" s="120">
        <f>IF($B$660=0,0,COUNTIFS($B$8:$B$332,"*"&amp;$B$660&amp;"*",$C$8:$C$332,C662))</f>
        <v>0</v>
      </c>
    </row>
    <row r="663" spans="2:4" x14ac:dyDescent="0.35">
      <c r="B663" s="390" t="str">
        <f>B409</f>
        <v>REQ_SYS_Comm_504</v>
      </c>
      <c r="C663" s="120" t="s">
        <v>549</v>
      </c>
      <c r="D663" s="120">
        <f>IF($B$663=0,0,COUNTIFS($B$8:$B$332,"*"&amp;$B$663&amp;"*",$C$8:$C$332,C663))</f>
        <v>19</v>
      </c>
    </row>
    <row r="664" spans="2:4" x14ac:dyDescent="0.35">
      <c r="B664" s="390"/>
      <c r="C664" s="120" t="s">
        <v>583</v>
      </c>
      <c r="D664" s="120">
        <f>IF($B$663=0,0,COUNTIFS($B$8:$B$332,"*"&amp;$B$663&amp;"*",$C$8:$C$332,C664))</f>
        <v>0</v>
      </c>
    </row>
    <row r="665" spans="2:4" x14ac:dyDescent="0.35">
      <c r="B665" s="390"/>
      <c r="C665" s="120" t="s">
        <v>584</v>
      </c>
      <c r="D665" s="120">
        <f>IF($B$663=0,0,COUNTIFS($B$8:$B$332,"*"&amp;$B$663&amp;"*",$C$8:$C$332,C665))</f>
        <v>0</v>
      </c>
    </row>
    <row r="666" spans="2:4" x14ac:dyDescent="0.35">
      <c r="B666" s="390" t="str">
        <f>B410</f>
        <v>REQ_SYS_Comm_505</v>
      </c>
      <c r="C666" s="120" t="s">
        <v>549</v>
      </c>
      <c r="D666" s="120">
        <f>IF($B$666=0,0,COUNTIFS($B$8:$B$332,"*"&amp;$B$666&amp;"*",$C$8:$C$332,C666))</f>
        <v>19</v>
      </c>
    </row>
    <row r="667" spans="2:4" x14ac:dyDescent="0.35">
      <c r="B667" s="390"/>
      <c r="C667" s="120" t="s">
        <v>583</v>
      </c>
      <c r="D667" s="120">
        <f>IF($B$666=0,0,COUNTIFS($B$8:$B$332,"*"&amp;$B$666&amp;"*",$C$8:$C$332,C667))</f>
        <v>0</v>
      </c>
    </row>
    <row r="668" spans="2:4" x14ac:dyDescent="0.35">
      <c r="B668" s="390"/>
      <c r="C668" s="120" t="s">
        <v>584</v>
      </c>
      <c r="D668" s="120">
        <f>IF($B$666=0,0,COUNTIFS($B$8:$B$332,"*"&amp;$B$666&amp;"*",$C$8:$C$332,C668))</f>
        <v>0</v>
      </c>
    </row>
    <row r="669" spans="2:4" x14ac:dyDescent="0.35">
      <c r="B669" s="390" t="str">
        <f>B411</f>
        <v>REQ_SYS_Comm_506</v>
      </c>
      <c r="C669" s="120" t="s">
        <v>549</v>
      </c>
      <c r="D669" s="120">
        <f>IF($B$669=0,0,COUNTIFS($B$8:$B$332,"*"&amp;$B$669&amp;"*",$C$8:$C$332,C669))</f>
        <v>19</v>
      </c>
    </row>
    <row r="670" spans="2:4" x14ac:dyDescent="0.35">
      <c r="B670" s="390"/>
      <c r="C670" s="120" t="s">
        <v>583</v>
      </c>
      <c r="D670" s="120">
        <f>IF($B$669=0,0,COUNTIFS($B$8:$B$332,"*"&amp;$B$669&amp;"*",$C$8:$C$332,C670))</f>
        <v>0</v>
      </c>
    </row>
    <row r="671" spans="2:4" x14ac:dyDescent="0.35">
      <c r="B671" s="390"/>
      <c r="C671" s="120" t="s">
        <v>584</v>
      </c>
      <c r="D671" s="120">
        <f>IF($B$669=0,0,COUNTIFS($B$8:$B$332,"*"&amp;$B$669&amp;"*",$C$8:$C$332,C671))</f>
        <v>0</v>
      </c>
    </row>
    <row r="672" spans="2:4" x14ac:dyDescent="0.35">
      <c r="B672" s="390" t="str">
        <f>B412</f>
        <v>REQ_SYS_Comm_507</v>
      </c>
      <c r="C672" s="120" t="s">
        <v>549</v>
      </c>
      <c r="D672" s="120">
        <f>IF($B$672=0,0,COUNTIFS($B$8:$B$332,"*"&amp;$B$672&amp;"*",$C$8:$C$332,C672))</f>
        <v>19</v>
      </c>
    </row>
    <row r="673" spans="2:4" x14ac:dyDescent="0.35">
      <c r="B673" s="390"/>
      <c r="C673" s="120" t="s">
        <v>583</v>
      </c>
      <c r="D673" s="120">
        <f>IF($B$672=0,0,COUNTIFS($B$8:$B$332,"*"&amp;$B$672&amp;"*",$C$8:$C$332,C673))</f>
        <v>0</v>
      </c>
    </row>
    <row r="674" spans="2:4" x14ac:dyDescent="0.35">
      <c r="B674" s="390"/>
      <c r="C674" s="120" t="s">
        <v>584</v>
      </c>
      <c r="D674" s="120">
        <f>IF($B$672=0,0,COUNTIFS($B$8:$B$332,"*"&amp;$B$672&amp;"*",$C$8:$C$332,C674))</f>
        <v>0</v>
      </c>
    </row>
    <row r="675" spans="2:4" x14ac:dyDescent="0.35">
      <c r="B675" s="390" t="str">
        <f>B413</f>
        <v>REQ_SYS_Comm_508</v>
      </c>
      <c r="C675" s="120" t="s">
        <v>549</v>
      </c>
      <c r="D675" s="120">
        <f>IF($B$675=0,0,COUNTIFS($B$8:$B$332,"*"&amp;$B$675&amp;"*",$C$8:$C$332,C675))</f>
        <v>19</v>
      </c>
    </row>
    <row r="676" spans="2:4" x14ac:dyDescent="0.35">
      <c r="B676" s="390"/>
      <c r="C676" s="120" t="s">
        <v>583</v>
      </c>
      <c r="D676" s="120">
        <f>IF($B$675=0,0,COUNTIFS($B$8:$B$332,"*"&amp;$B$675&amp;"*",$C$8:$C$332,C676))</f>
        <v>0</v>
      </c>
    </row>
    <row r="677" spans="2:4" x14ac:dyDescent="0.35">
      <c r="B677" s="390"/>
      <c r="C677" s="120" t="s">
        <v>584</v>
      </c>
      <c r="D677" s="120">
        <f>IF($B$675=0,0,COUNTIFS($B$8:$B$332,"*"&amp;$B$675&amp;"*",$C$8:$C$332,C677))</f>
        <v>0</v>
      </c>
    </row>
    <row r="678" spans="2:4" x14ac:dyDescent="0.35">
      <c r="B678" s="390" t="str">
        <f>B414</f>
        <v>REQ_SYS_Comm_519</v>
      </c>
      <c r="C678" s="120" t="s">
        <v>549</v>
      </c>
      <c r="D678" s="120">
        <f>IF($B$678=0,0,COUNTIFS($B$8:$B$332,"*"&amp;$B$678&amp;"*",$C$8:$C$332,C678))</f>
        <v>18</v>
      </c>
    </row>
    <row r="679" spans="2:4" x14ac:dyDescent="0.35">
      <c r="B679" s="390"/>
      <c r="C679" s="120" t="s">
        <v>583</v>
      </c>
      <c r="D679" s="120">
        <f>IF($B$678=0,0,COUNTIFS($B$8:$B$332,"*"&amp;$B$678&amp;"*",$C$8:$C$332,C679))</f>
        <v>0</v>
      </c>
    </row>
    <row r="680" spans="2:4" x14ac:dyDescent="0.35">
      <c r="B680" s="390"/>
      <c r="C680" s="120" t="s">
        <v>584</v>
      </c>
      <c r="D680" s="120">
        <f>IF($B$678=0,0,COUNTIFS($B$8:$B$332,"*"&amp;$B$678&amp;"*",$C$8:$C$332,C680))</f>
        <v>0</v>
      </c>
    </row>
    <row r="681" spans="2:4" x14ac:dyDescent="0.35">
      <c r="B681" s="390" t="str">
        <f>B415</f>
        <v xml:space="preserve"> REQ_SYS_Comm_520</v>
      </c>
      <c r="C681" s="120" t="s">
        <v>549</v>
      </c>
      <c r="D681" s="120">
        <f>IF($B$681=0,0,COUNTIFS($B$8:$B$333,"*"&amp;$B$681&amp;"*",$C$8:$C$333,C681))</f>
        <v>18</v>
      </c>
    </row>
    <row r="682" spans="2:4" x14ac:dyDescent="0.35">
      <c r="B682" s="390"/>
      <c r="C682" s="120" t="s">
        <v>583</v>
      </c>
      <c r="D682" s="120">
        <f>IF($B$603=0,0,COUNTIFS($B$8:$B$333,"*"&amp;$B$603&amp;"*",$C$8:$C$333,C682))</f>
        <v>0</v>
      </c>
    </row>
    <row r="683" spans="2:4" x14ac:dyDescent="0.35">
      <c r="B683" s="390"/>
      <c r="C683" s="120" t="s">
        <v>584</v>
      </c>
      <c r="D683" s="120">
        <f>IF($B$603=0,0,COUNTIFS($B$8:$B$333,"*"&amp;$B$603&amp;"*",$C$8:$C$333,C683))</f>
        <v>0</v>
      </c>
    </row>
    <row r="684" spans="2:4" x14ac:dyDescent="0.35">
      <c r="B684" s="390" t="str">
        <f>B416</f>
        <v xml:space="preserve"> REQ_SYS_Comm_521 </v>
      </c>
      <c r="C684" s="120" t="s">
        <v>549</v>
      </c>
      <c r="D684" s="120">
        <f>IF($B$684=0,0,COUNTIFS($B$8:$B$333,"*"&amp;$B$684&amp;"*",$C$8:$C$333,C684))</f>
        <v>18</v>
      </c>
    </row>
    <row r="685" spans="2:4" x14ac:dyDescent="0.35">
      <c r="B685" s="390"/>
      <c r="C685" s="120" t="s">
        <v>583</v>
      </c>
      <c r="D685" s="120">
        <f>IF($B$684=0,0,COUNTIFS($B$8:$B$333,"*"&amp;$B$684&amp;"*",$C$8:$C$333,C685))</f>
        <v>0</v>
      </c>
    </row>
    <row r="686" spans="2:4" x14ac:dyDescent="0.35">
      <c r="B686" s="390"/>
      <c r="C686" s="120" t="s">
        <v>584</v>
      </c>
      <c r="D686" s="120">
        <f>IF($B$684=0,0,COUNTIFS($B$8:$B$333,"*"&amp;$B$684&amp;"*",$C$8:$C$333,C686))</f>
        <v>0</v>
      </c>
    </row>
    <row r="687" spans="2:4" x14ac:dyDescent="0.35">
      <c r="B687" s="390" t="str">
        <f>B417</f>
        <v xml:space="preserve">REQ_SYS_Comm_522 </v>
      </c>
      <c r="C687" s="120" t="s">
        <v>549</v>
      </c>
      <c r="D687" s="120">
        <f>IF($B$687=0,0,COUNTIFS($B$8:$B$333,"*"&amp;$B$687&amp;"*",$C$8:$C$333,C687))</f>
        <v>18</v>
      </c>
    </row>
    <row r="688" spans="2:4" x14ac:dyDescent="0.35">
      <c r="B688" s="390"/>
      <c r="C688" s="120" t="s">
        <v>583</v>
      </c>
      <c r="D688" s="120">
        <f>IF($B$687=0,0,COUNTIFS($B$8:$B$333,"*"&amp;$B$687&amp;"*",$C$8:$C$333,C688))</f>
        <v>0</v>
      </c>
    </row>
    <row r="689" spans="2:4" x14ac:dyDescent="0.35">
      <c r="B689" s="390"/>
      <c r="C689" s="120" t="s">
        <v>584</v>
      </c>
      <c r="D689" s="120">
        <f>IF($B$687=0,0,COUNTIFS($B$8:$B$333,"*"&amp;$B$687&amp;"*",$C$8:$C$333,C689))</f>
        <v>0</v>
      </c>
    </row>
    <row r="690" spans="2:4" x14ac:dyDescent="0.35">
      <c r="B690" s="390" t="str">
        <f>B418</f>
        <v xml:space="preserve"> REQ_SYS_Comm_523 </v>
      </c>
      <c r="C690" s="120" t="s">
        <v>549</v>
      </c>
      <c r="D690" s="120">
        <f>IF($B$690=0,0,COUNTIFS($B$8:$B$333,"*"&amp;$B$690&amp;"*",$C$8:$C$333,C690))</f>
        <v>18</v>
      </c>
    </row>
    <row r="691" spans="2:4" x14ac:dyDescent="0.35">
      <c r="B691" s="390"/>
      <c r="C691" s="120" t="s">
        <v>583</v>
      </c>
      <c r="D691" s="120">
        <f>IF($B$690=0,0,COUNTIFS($B$8:$B$333,"*"&amp;$B$690&amp;"*",$C$8:$C$333,C691))</f>
        <v>0</v>
      </c>
    </row>
    <row r="692" spans="2:4" x14ac:dyDescent="0.35">
      <c r="B692" s="390"/>
      <c r="C692" s="120" t="s">
        <v>584</v>
      </c>
      <c r="D692" s="120">
        <f>IF($B$690=0,0,COUNTIFS($B$8:$B$333,"*"&amp;$B$690&amp;"*",$C$8:$C$333,C692))</f>
        <v>0</v>
      </c>
    </row>
    <row r="693" spans="2:4" x14ac:dyDescent="0.35">
      <c r="B693" s="390" t="str">
        <f>B419</f>
        <v xml:space="preserve"> REQ_SYS_Comm_524</v>
      </c>
      <c r="C693" s="120" t="s">
        <v>549</v>
      </c>
      <c r="D693" s="120">
        <f>IF($B$693=0,0,COUNTIFS($B$8:$B$332,"*"&amp;$B$693&amp;"*",$C$8:$C$332,C693))</f>
        <v>18</v>
      </c>
    </row>
    <row r="694" spans="2:4" x14ac:dyDescent="0.35">
      <c r="B694" s="390"/>
      <c r="C694" s="120" t="s">
        <v>583</v>
      </c>
      <c r="D694" s="120">
        <f>IF($B$693=0,0,COUNTIFS($B$8:$B$332,"*"&amp;$B$693&amp;"*",$C$8:$C$332,C694))</f>
        <v>0</v>
      </c>
    </row>
    <row r="695" spans="2:4" x14ac:dyDescent="0.35">
      <c r="B695" s="390"/>
      <c r="C695" s="120" t="s">
        <v>584</v>
      </c>
      <c r="D695" s="120">
        <f>IF($B$693=0,0,COUNTIFS($B$8:$B$332,"*"&amp;$B$693&amp;"*",$C$8:$C$332,C695))</f>
        <v>0</v>
      </c>
    </row>
    <row r="696" spans="2:4" x14ac:dyDescent="0.35">
      <c r="B696" s="390" t="str">
        <f>B420</f>
        <v xml:space="preserve"> REQ_SYS_Comm_525 </v>
      </c>
      <c r="C696" s="120" t="s">
        <v>549</v>
      </c>
      <c r="D696" s="120">
        <f>IF($B$696=0,0,COUNTIFS($B$8:$B$332,"*"&amp;$B$696&amp;"*",$C$8:$C$332,C696))</f>
        <v>18</v>
      </c>
    </row>
    <row r="697" spans="2:4" x14ac:dyDescent="0.35">
      <c r="B697" s="390"/>
      <c r="C697" s="120" t="s">
        <v>583</v>
      </c>
      <c r="D697" s="120">
        <f>IF($B$696=0,0,COUNTIFS($B$8:$B$332,"*"&amp;$B$696&amp;"*",$C$8:$C$332,C697))</f>
        <v>0</v>
      </c>
    </row>
    <row r="698" spans="2:4" x14ac:dyDescent="0.35">
      <c r="B698" s="390"/>
      <c r="C698" s="120" t="s">
        <v>584</v>
      </c>
      <c r="D698" s="120">
        <f>IF($B$696=0,0,COUNTIFS($B$8:$B$332,"*"&amp;$B$696&amp;"*",$C$8:$C$332,C698))</f>
        <v>0</v>
      </c>
    </row>
    <row r="699" spans="2:4" x14ac:dyDescent="0.35">
      <c r="B699" s="390" t="str">
        <f>B421</f>
        <v xml:space="preserve">REQ_SYS_Comm_526 </v>
      </c>
      <c r="C699" s="120" t="s">
        <v>549</v>
      </c>
      <c r="D699" s="120">
        <f>IF($B$699=0,0,COUNTIFS($B$8:$B$332,"*"&amp;$B$699&amp;"*",$C$8:$C$332,C699))</f>
        <v>18</v>
      </c>
    </row>
    <row r="700" spans="2:4" x14ac:dyDescent="0.35">
      <c r="B700" s="390"/>
      <c r="C700" s="120" t="s">
        <v>583</v>
      </c>
      <c r="D700" s="120">
        <f>IF($B$699=0,0,COUNTIFS($B$8:$B$332,"*"&amp;$B$699&amp;"*",$C$8:$C$332,C700))</f>
        <v>0</v>
      </c>
    </row>
    <row r="701" spans="2:4" x14ac:dyDescent="0.35">
      <c r="B701" s="390"/>
      <c r="C701" s="120" t="s">
        <v>584</v>
      </c>
      <c r="D701" s="120">
        <f>IF($B$699=0,0,COUNTIFS($B$8:$B$332,"*"&amp;$B$699&amp;"*",$C$8:$C$332,C701))</f>
        <v>0</v>
      </c>
    </row>
    <row r="702" spans="2:4" x14ac:dyDescent="0.35">
      <c r="B702" s="390" t="str">
        <f>B422</f>
        <v xml:space="preserve"> REQ_SYS_Comm_527 </v>
      </c>
      <c r="C702" s="120" t="s">
        <v>549</v>
      </c>
      <c r="D702" s="120">
        <f>IF($B$702=0,0,COUNTIFS($B$8:$B$332,"*"&amp;$B$702&amp;"*",$C$8:$C$332,C702))</f>
        <v>18</v>
      </c>
    </row>
    <row r="703" spans="2:4" x14ac:dyDescent="0.35">
      <c r="B703" s="390"/>
      <c r="C703" s="120" t="s">
        <v>583</v>
      </c>
      <c r="D703" s="120">
        <f>IF($B$702=0,0,COUNTIFS($B$8:$B$332,"*"&amp;$B$702&amp;"*",$C$8:$C$332,C703))</f>
        <v>0</v>
      </c>
    </row>
    <row r="704" spans="2:4" x14ac:dyDescent="0.35">
      <c r="B704" s="390"/>
      <c r="C704" s="120" t="s">
        <v>584</v>
      </c>
      <c r="D704" s="120">
        <f>IF($B$702=0,0,COUNTIFS($B$8:$B$332,"*"&amp;$B$702&amp;"*",$C$8:$C$332,C704))</f>
        <v>0</v>
      </c>
    </row>
    <row r="705" spans="2:4" x14ac:dyDescent="0.35">
      <c r="B705" s="390" t="str">
        <f>B423</f>
        <v xml:space="preserve"> REQ_SYS_Comm_528 </v>
      </c>
      <c r="C705" s="120" t="s">
        <v>549</v>
      </c>
      <c r="D705" s="120">
        <f>IF($B$705=0,0,COUNTIFS($B$8:$B$332,"*"&amp;$B$705&amp;"*",$C$8:$C$332,C705))</f>
        <v>18</v>
      </c>
    </row>
    <row r="706" spans="2:4" x14ac:dyDescent="0.35">
      <c r="B706" s="390"/>
      <c r="C706" s="120" t="s">
        <v>583</v>
      </c>
      <c r="D706" s="120">
        <f>IF($B$705=0,0,COUNTIFS($B$8:$B$332,"*"&amp;$B$705&amp;"*",$C$8:$C$332,C706))</f>
        <v>0</v>
      </c>
    </row>
    <row r="707" spans="2:4" x14ac:dyDescent="0.35">
      <c r="B707" s="390"/>
      <c r="C707" s="120" t="s">
        <v>584</v>
      </c>
      <c r="D707" s="120">
        <f>IF($B$705=0,0,COUNTIFS($B$8:$B$332,"*"&amp;$B$705&amp;"*",$C$8:$C$332,C707))</f>
        <v>0</v>
      </c>
    </row>
    <row r="708" spans="2:4" x14ac:dyDescent="0.35">
      <c r="B708" s="390" t="str">
        <f>B424</f>
        <v xml:space="preserve"> REQ_SYS_Comm_529</v>
      </c>
      <c r="C708" s="120" t="s">
        <v>549</v>
      </c>
      <c r="D708" s="120">
        <f>IF($B$708=0,0,COUNTIFS($B$8:$B$332,"*"&amp;$B$708&amp;"*",$C$8:$C$332,C708))</f>
        <v>18</v>
      </c>
    </row>
    <row r="709" spans="2:4" x14ac:dyDescent="0.35">
      <c r="B709" s="390"/>
      <c r="C709" s="120" t="s">
        <v>583</v>
      </c>
      <c r="D709" s="120">
        <f>IF($B$708=0,0,COUNTIFS($B$8:$B$332,"*"&amp;$B$708&amp;"*",$C$8:$C$332,C709))</f>
        <v>0</v>
      </c>
    </row>
    <row r="710" spans="2:4" x14ac:dyDescent="0.35">
      <c r="B710" s="390"/>
      <c r="C710" s="120" t="s">
        <v>584</v>
      </c>
      <c r="D710" s="120">
        <f>IF($B$708=0,0,COUNTIFS($B$8:$B$332,"*"&amp;$B$708&amp;"*",$C$8:$C$332,C710))</f>
        <v>0</v>
      </c>
    </row>
    <row r="711" spans="2:4" x14ac:dyDescent="0.35">
      <c r="B711" s="390" t="str">
        <f>B425</f>
        <v xml:space="preserve"> REQ_SYS_Comm_530 </v>
      </c>
      <c r="C711" s="120" t="s">
        <v>549</v>
      </c>
      <c r="D711" s="120">
        <f>IF($B$711=0,0,COUNTIFS($B$8:$B$332,"*"&amp;$B$711&amp;"*",$C$8:$C$332,C711))</f>
        <v>18</v>
      </c>
    </row>
    <row r="712" spans="2:4" x14ac:dyDescent="0.35">
      <c r="B712" s="390"/>
      <c r="C712" s="120" t="s">
        <v>583</v>
      </c>
      <c r="D712" s="120">
        <f>IF($B$711=0,0,COUNTIFS($B$8:$B$332,"*"&amp;$B$711&amp;"*",$C$8:$C$332,C712))</f>
        <v>0</v>
      </c>
    </row>
    <row r="713" spans="2:4" x14ac:dyDescent="0.35">
      <c r="B713" s="390"/>
      <c r="C713" s="120" t="s">
        <v>584</v>
      </c>
      <c r="D713" s="120">
        <f>IF($B$711=0,0,COUNTIFS($B$8:$B$332,"*"&amp;$B$711&amp;"*",$C$8:$C$332,C713))</f>
        <v>0</v>
      </c>
    </row>
    <row r="714" spans="2:4" x14ac:dyDescent="0.35">
      <c r="B714" s="390" t="str">
        <f>B426</f>
        <v xml:space="preserve"> REQ_SYS_Comm_531 </v>
      </c>
      <c r="C714" s="120" t="s">
        <v>549</v>
      </c>
      <c r="D714" s="120">
        <f>IF($B$714=0,0,COUNTIFS($B$8:$B$332,"*"&amp;$B$714&amp;"*",$C$8:$C$332,C714))</f>
        <v>18</v>
      </c>
    </row>
    <row r="715" spans="2:4" x14ac:dyDescent="0.35">
      <c r="B715" s="390"/>
      <c r="C715" s="120" t="s">
        <v>583</v>
      </c>
      <c r="D715" s="120">
        <f>IF($B$714=0,0,COUNTIFS($B$8:$B$332,"*"&amp;$B$714&amp;"*",$C$8:$C$332,C715))</f>
        <v>0</v>
      </c>
    </row>
    <row r="716" spans="2:4" x14ac:dyDescent="0.35">
      <c r="B716" s="390"/>
      <c r="C716" s="120" t="s">
        <v>584</v>
      </c>
      <c r="D716" s="120">
        <f>IF($B$714=0,0,COUNTIFS($B$8:$B$332,"*"&amp;$B$714&amp;"*",$C$8:$C$332,C716))</f>
        <v>0</v>
      </c>
    </row>
    <row r="717" spans="2:4" x14ac:dyDescent="0.35">
      <c r="B717" s="390" t="str">
        <f>B427</f>
        <v xml:space="preserve">REQ_SYS_Comm_532 </v>
      </c>
      <c r="C717" s="120" t="s">
        <v>549</v>
      </c>
      <c r="D717" s="120">
        <f>IF($B$717=0,0,COUNTIFS($B$8:$B$332,"*"&amp;$B$717&amp;"*",$C$8:$C$332,C717))</f>
        <v>18</v>
      </c>
    </row>
    <row r="718" spans="2:4" x14ac:dyDescent="0.35">
      <c r="B718" s="390"/>
      <c r="C718" s="120" t="s">
        <v>583</v>
      </c>
      <c r="D718" s="120">
        <f>IF($B$717=0,0,COUNTIFS($B$8:$B$332,"*"&amp;$B$717&amp;"*",$C$8:$C$332,C718))</f>
        <v>0</v>
      </c>
    </row>
    <row r="719" spans="2:4" x14ac:dyDescent="0.35">
      <c r="B719" s="390"/>
      <c r="C719" s="120" t="s">
        <v>584</v>
      </c>
      <c r="D719" s="120">
        <f>IF($B$717=0,0,COUNTIFS($B$8:$B$332,"*"&amp;$B$717&amp;"*",$C$8:$C$332,C719))</f>
        <v>0</v>
      </c>
    </row>
    <row r="720" spans="2:4" x14ac:dyDescent="0.35">
      <c r="B720" s="390" t="str">
        <f>B428</f>
        <v xml:space="preserve"> REQ_SYS_Comm_533</v>
      </c>
      <c r="C720" s="120" t="s">
        <v>549</v>
      </c>
      <c r="D720" s="120">
        <f>IF($B$720=0,0,COUNTIFS($B$8:$B$333,"*"&amp;$B$720&amp;"*",$C$8:$C$333,C720))</f>
        <v>18</v>
      </c>
    </row>
    <row r="721" spans="2:4" x14ac:dyDescent="0.35">
      <c r="B721" s="390"/>
      <c r="C721" s="120" t="s">
        <v>583</v>
      </c>
      <c r="D721" s="120">
        <f>IF($B$720=0,0,COUNTIFS($B$8:$B$333,"*"&amp;$B$720&amp;"*",$C$8:$C$333,C721))</f>
        <v>0</v>
      </c>
    </row>
    <row r="722" spans="2:4" x14ac:dyDescent="0.35">
      <c r="B722" s="390"/>
      <c r="C722" s="120" t="s">
        <v>584</v>
      </c>
      <c r="D722" s="120">
        <f>IF($B$720=0,0,COUNTIFS($B$8:$B$333,"*"&amp;$B$720&amp;"*",$C$8:$C$333,C722))</f>
        <v>0</v>
      </c>
    </row>
    <row r="723" spans="2:4" x14ac:dyDescent="0.35">
      <c r="B723" s="390" t="str">
        <f>B429</f>
        <v xml:space="preserve"> REQ_SYS_Comm_534 </v>
      </c>
      <c r="C723" s="120" t="s">
        <v>549</v>
      </c>
      <c r="D723" s="120">
        <f>IF($B$723=0,0,COUNTIFS($B$8:$B$333,"*"&amp;$B$723&amp;"*",$C$8:$C$333,C723))</f>
        <v>18</v>
      </c>
    </row>
    <row r="724" spans="2:4" x14ac:dyDescent="0.35">
      <c r="B724" s="390"/>
      <c r="C724" s="120" t="s">
        <v>583</v>
      </c>
      <c r="D724" s="120">
        <f>IF($B$723=0,0,COUNTIFS($B$8:$B$333,"*"&amp;$B$723&amp;"*",$C$8:$C$333,C724))</f>
        <v>0</v>
      </c>
    </row>
    <row r="725" spans="2:4" x14ac:dyDescent="0.35">
      <c r="B725" s="390"/>
      <c r="C725" s="120" t="s">
        <v>584</v>
      </c>
      <c r="D725" s="120">
        <f>IF($B$723=0,0,COUNTIFS($B$8:$B$333,"*"&amp;$B$723&amp;"*",$C$8:$C$333,C725))</f>
        <v>0</v>
      </c>
    </row>
    <row r="726" spans="2:4" x14ac:dyDescent="0.35">
      <c r="B726" s="390" t="str">
        <f>B430</f>
        <v>REQ_SYS_AC-Charge_489</v>
      </c>
      <c r="C726" s="120" t="s">
        <v>549</v>
      </c>
      <c r="D726" s="120">
        <f>IF($B$726=0,0,COUNTIFS($B$8:$B$333,"*"&amp;$B$726&amp;"*",$C$8:$C$333,C726))</f>
        <v>18</v>
      </c>
    </row>
    <row r="727" spans="2:4" x14ac:dyDescent="0.35">
      <c r="B727" s="390"/>
      <c r="C727" s="120" t="s">
        <v>583</v>
      </c>
      <c r="D727" s="120">
        <f>IF($B$726=0,0,COUNTIFS($B$8:$B$333,"*"&amp;$B$726&amp;"*",$C$8:$C$333,C727))</f>
        <v>0</v>
      </c>
    </row>
    <row r="728" spans="2:4" x14ac:dyDescent="0.35">
      <c r="B728" s="390"/>
      <c r="C728" s="120" t="s">
        <v>584</v>
      </c>
      <c r="D728" s="120">
        <f>IF($B$726=0,0,COUNTIFS($B$8:$B$333,"*"&amp;$B$726&amp;"*",$C$8:$C$333,C728))</f>
        <v>0</v>
      </c>
    </row>
    <row r="729" spans="2:4" x14ac:dyDescent="0.35">
      <c r="B729" s="390" t="str">
        <f>B431</f>
        <v>REQ_SYS_AC-Charge_488</v>
      </c>
      <c r="C729" s="120" t="s">
        <v>549</v>
      </c>
      <c r="D729" s="120">
        <f>IF($B$729=0,0,COUNTIFS($B$8:$B$332,"*"&amp;$B$729&amp;"*",$C$8:$C$332,C729))</f>
        <v>18</v>
      </c>
    </row>
    <row r="730" spans="2:4" x14ac:dyDescent="0.35">
      <c r="B730" s="390"/>
      <c r="C730" s="120" t="s">
        <v>583</v>
      </c>
      <c r="D730" s="120">
        <f>IF($B$729=0,0,COUNTIFS($B$8:$B$332,"*"&amp;$B$729&amp;"*",$C$8:$C$332,C730))</f>
        <v>0</v>
      </c>
    </row>
    <row r="731" spans="2:4" x14ac:dyDescent="0.35">
      <c r="B731" s="390"/>
      <c r="C731" s="120" t="s">
        <v>584</v>
      </c>
      <c r="D731" s="120">
        <f>IF($B$729=0,0,COUNTIFS($B$8:$B$332,"*"&amp;$B$729&amp;"*",$C$8:$C$332,C731))</f>
        <v>0</v>
      </c>
    </row>
    <row r="732" spans="2:4" x14ac:dyDescent="0.35">
      <c r="B732" s="390" t="str">
        <f>B432</f>
        <v>REQ_SYS_combo-Fast-charge_459</v>
      </c>
      <c r="C732" s="120" t="s">
        <v>549</v>
      </c>
      <c r="D732" s="120">
        <f>IF($B$732=0,0,COUNTIFS($B$8:$B$332,"*"&amp;$B$732&amp;"*",$C$8:$C$332,C732))</f>
        <v>18</v>
      </c>
    </row>
    <row r="733" spans="2:4" x14ac:dyDescent="0.35">
      <c r="B733" s="390"/>
      <c r="C733" s="120" t="s">
        <v>583</v>
      </c>
      <c r="D733" s="120">
        <f>IF($B$732=0,0,COUNTIFS($B$8:$B$332,"*"&amp;$B$732&amp;"*",$C$8:$C$332,C733))</f>
        <v>0</v>
      </c>
    </row>
    <row r="734" spans="2:4" x14ac:dyDescent="0.35">
      <c r="B734" s="390"/>
      <c r="C734" s="120" t="s">
        <v>584</v>
      </c>
      <c r="D734" s="120">
        <f>IF($B$732=0,0,COUNTIFS($B$8:$B$332,"*"&amp;$B$732&amp;"*",$C$8:$C$332,C734))</f>
        <v>0</v>
      </c>
    </row>
    <row r="735" spans="2:4" x14ac:dyDescent="0.35">
      <c r="B735" s="390" t="str">
        <f>B433</f>
        <v>REQ_SYS_Comm_509</v>
      </c>
      <c r="C735" s="120" t="s">
        <v>549</v>
      </c>
      <c r="D735" s="120">
        <f>IF($B$735=0,0,COUNTIFS($B$8:$B$333,"*"&amp;$B$735&amp;"*",$C$8:$C$333,C735))</f>
        <v>19</v>
      </c>
    </row>
    <row r="736" spans="2:4" x14ac:dyDescent="0.35">
      <c r="B736" s="390"/>
      <c r="C736" s="120" t="s">
        <v>583</v>
      </c>
      <c r="D736" s="120">
        <f>IF($B$735=0,0,COUNTIFS($B$8:$B$333,"*"&amp;$B$735&amp;"*",$C$8:$C$333,C736))</f>
        <v>0</v>
      </c>
    </row>
    <row r="737" spans="2:4" x14ac:dyDescent="0.35">
      <c r="B737" s="390"/>
      <c r="C737" s="120" t="s">
        <v>584</v>
      </c>
      <c r="D737" s="120">
        <f>IF($B$735=0,0,COUNTIFS($B$8:$B$333,"*"&amp;$B$735&amp;"*",$C$8:$C$333,C737))</f>
        <v>0</v>
      </c>
    </row>
    <row r="738" spans="2:4" x14ac:dyDescent="0.35">
      <c r="B738" s="390" t="str">
        <f>B434</f>
        <v>REQ_SYS_Comm_510</v>
      </c>
      <c r="C738" s="120" t="s">
        <v>549</v>
      </c>
      <c r="D738" s="120">
        <f>IF($B$738=0,0,COUNTIFS($B$8:$B$332,"*"&amp;$B$738&amp;"*",$C$8:$C$332,C738))</f>
        <v>19</v>
      </c>
    </row>
    <row r="739" spans="2:4" x14ac:dyDescent="0.35">
      <c r="B739" s="390"/>
      <c r="C739" s="120" t="s">
        <v>583</v>
      </c>
      <c r="D739" s="120">
        <f>IF($B$738=0,0,COUNTIFS($B$8:$B$332,"*"&amp;$B$738&amp;"*",$C$8:$C$332,C739))</f>
        <v>0</v>
      </c>
    </row>
    <row r="740" spans="2:4" x14ac:dyDescent="0.35">
      <c r="B740" s="390"/>
      <c r="C740" s="120" t="s">
        <v>584</v>
      </c>
      <c r="D740" s="120">
        <f>IF($B$738=0,0,COUNTIFS($B$8:$B$332,"*"&amp;$B$738&amp;"*",$C$8:$C$332,C740))</f>
        <v>0</v>
      </c>
    </row>
    <row r="741" spans="2:4" x14ac:dyDescent="0.35">
      <c r="B741" s="390" t="str">
        <f>B435</f>
        <v>REQ_SYS_Comm_511</v>
      </c>
      <c r="C741" s="120" t="s">
        <v>549</v>
      </c>
      <c r="D741" s="120">
        <f>IF($B$741=0,0,COUNTIFS($B$8:$B$332,"*"&amp;$B$741&amp;"*",$C$8:$C$332,C741))</f>
        <v>19</v>
      </c>
    </row>
    <row r="742" spans="2:4" x14ac:dyDescent="0.35">
      <c r="B742" s="390"/>
      <c r="C742" s="120" t="s">
        <v>583</v>
      </c>
      <c r="D742" s="120">
        <f>IF($B$741=0,0,COUNTIFS($B$8:$B$332,"*"&amp;$B$741&amp;"*",$C$8:$C$332,C742))</f>
        <v>0</v>
      </c>
    </row>
    <row r="743" spans="2:4" x14ac:dyDescent="0.35">
      <c r="B743" s="390"/>
      <c r="C743" s="120" t="s">
        <v>584</v>
      </c>
      <c r="D743" s="120">
        <f>IF($B$741=0,0,COUNTIFS($B$8:$B$332,"*"&amp;$B$741&amp;"*",$C$8:$C$332,C743))</f>
        <v>0</v>
      </c>
    </row>
    <row r="744" spans="2:4" x14ac:dyDescent="0.35">
      <c r="B744" s="390" t="str">
        <f>B436</f>
        <v>REQ_SYS_Comm_512</v>
      </c>
      <c r="C744" s="120" t="s">
        <v>549</v>
      </c>
      <c r="D744" s="120">
        <f>IF($B$744=0,0,COUNTIFS($B$8:$B$333,"*"&amp;$B$744&amp;"*",$C$8:$C$333,C744))</f>
        <v>19</v>
      </c>
    </row>
    <row r="745" spans="2:4" x14ac:dyDescent="0.35">
      <c r="B745" s="390"/>
      <c r="C745" s="120" t="s">
        <v>583</v>
      </c>
      <c r="D745" s="120">
        <f>IF($B$744=0,0,COUNTIFS($B$8:$B$333,"*"&amp;$B$744&amp;"*",$C$8:$C$333,C745))</f>
        <v>0</v>
      </c>
    </row>
    <row r="746" spans="2:4" x14ac:dyDescent="0.35">
      <c r="B746" s="390"/>
      <c r="C746" s="120" t="s">
        <v>584</v>
      </c>
      <c r="D746" s="120">
        <f>IF($B$744=0,0,COUNTIFS($B$8:$B$333,"*"&amp;$B$744&amp;"*",$C$8:$C$333,C746))</f>
        <v>0</v>
      </c>
    </row>
    <row r="747" spans="2:4" x14ac:dyDescent="0.35">
      <c r="B747" s="390" t="str">
        <f>B437</f>
        <v>REQ_SYS_Comm_513</v>
      </c>
      <c r="C747" s="120" t="s">
        <v>549</v>
      </c>
      <c r="D747" s="120">
        <f>IF($B$747=0,0,COUNTIFS($B$8:$B$332,"*"&amp;$B$747&amp;"*",$C$8:$C$332,C747))</f>
        <v>19</v>
      </c>
    </row>
    <row r="748" spans="2:4" x14ac:dyDescent="0.35">
      <c r="B748" s="390"/>
      <c r="C748" s="120" t="s">
        <v>583</v>
      </c>
      <c r="D748" s="120">
        <f>IF($B$747=0,0,COUNTIFS($B$8:$B$332,"*"&amp;$B$747&amp;"*",$C$8:$C$332,C748))</f>
        <v>0</v>
      </c>
    </row>
    <row r="749" spans="2:4" x14ac:dyDescent="0.35">
      <c r="B749" s="390"/>
      <c r="C749" s="120" t="s">
        <v>584</v>
      </c>
      <c r="D749" s="120">
        <f>IF($B$747=0,0,COUNTIFS($B$8:$B$332,"*"&amp;$B$747&amp;"*",$C$8:$C$332,C749))</f>
        <v>0</v>
      </c>
    </row>
    <row r="750" spans="2:4" x14ac:dyDescent="0.35">
      <c r="B750" s="390" t="str">
        <f>B438</f>
        <v>REQ_SYS_Comm_514</v>
      </c>
      <c r="C750" s="120" t="s">
        <v>549</v>
      </c>
      <c r="D750" s="120">
        <f>IF($B$750=0,0,COUNTIFS($B$8:$B$332,"*"&amp;$B$750&amp;"*",$C$8:$C$332,C750))</f>
        <v>19</v>
      </c>
    </row>
    <row r="751" spans="2:4" x14ac:dyDescent="0.35">
      <c r="B751" s="390"/>
      <c r="C751" s="120" t="s">
        <v>583</v>
      </c>
      <c r="D751" s="120">
        <f>IF($B$750=0,0,COUNTIFS($B$8:$B$332,"*"&amp;$B$750&amp;"*",$C$8:$C$332,C751))</f>
        <v>0</v>
      </c>
    </row>
    <row r="752" spans="2:4" x14ac:dyDescent="0.35">
      <c r="B752" s="390"/>
      <c r="C752" s="120" t="s">
        <v>584</v>
      </c>
      <c r="D752" s="120">
        <f>IF($B$750=0,0,COUNTIFS($B$8:$B$332,"*"&amp;$B$750&amp;"*",$C$8:$C$332,C752))</f>
        <v>0</v>
      </c>
    </row>
    <row r="753" spans="2:4" x14ac:dyDescent="0.35">
      <c r="B753" s="390" t="str">
        <f>B439</f>
        <v>REQ_SYS_Comm_515</v>
      </c>
      <c r="C753" s="120" t="s">
        <v>549</v>
      </c>
      <c r="D753" s="120">
        <f>IF($B$753=0,0,COUNTIFS($B$8:$B$333,"*"&amp;$B$753&amp;"*",$C$8:$C$333,C753))</f>
        <v>19</v>
      </c>
    </row>
    <row r="754" spans="2:4" x14ac:dyDescent="0.35">
      <c r="B754" s="390"/>
      <c r="C754" s="120" t="s">
        <v>583</v>
      </c>
      <c r="D754" s="120">
        <f>IF($B$753=0,0,COUNTIFS($B$8:$B$333,"*"&amp;$B$753&amp;"*",$C$8:$C$333,C754))</f>
        <v>0</v>
      </c>
    </row>
    <row r="755" spans="2:4" x14ac:dyDescent="0.35">
      <c r="B755" s="390"/>
      <c r="C755" s="120" t="s">
        <v>584</v>
      </c>
      <c r="D755" s="120">
        <f>IF($B$753=0,0,COUNTIFS($B$8:$B$333,"*"&amp;$B$753&amp;"*",$C$8:$C$333,C755))</f>
        <v>0</v>
      </c>
    </row>
    <row r="756" spans="2:4" x14ac:dyDescent="0.35">
      <c r="B756" s="390" t="str">
        <f>B440</f>
        <v>REQ_SYS_Comm_516</v>
      </c>
      <c r="C756" s="120" t="s">
        <v>549</v>
      </c>
      <c r="D756" s="120">
        <f>IF($B$756=0,0,COUNTIFS($B$8:$B$332,"*"&amp;$B$756&amp;"*",$C$8:$C$332,C756))</f>
        <v>19</v>
      </c>
    </row>
    <row r="757" spans="2:4" x14ac:dyDescent="0.35">
      <c r="B757" s="390"/>
      <c r="C757" s="120" t="s">
        <v>583</v>
      </c>
      <c r="D757" s="120">
        <f>IF($B$756=0,0,COUNTIFS($B$8:$B$332,"*"&amp;$B$756&amp;"*",$C$8:$C$332,C757))</f>
        <v>0</v>
      </c>
    </row>
    <row r="758" spans="2:4" x14ac:dyDescent="0.35">
      <c r="B758" s="390"/>
      <c r="C758" s="120" t="s">
        <v>584</v>
      </c>
      <c r="D758" s="120">
        <f>IF($B$756=0,0,COUNTIFS($B$8:$B$332,"*"&amp;$B$756&amp;"*",$C$8:$C$332,C758))</f>
        <v>0</v>
      </c>
    </row>
    <row r="759" spans="2:4" x14ac:dyDescent="0.35">
      <c r="B759" s="390" t="str">
        <f>B441</f>
        <v>REQ_SYS_Comm_517</v>
      </c>
      <c r="C759" s="120" t="s">
        <v>549</v>
      </c>
      <c r="D759" s="120">
        <f>IF($B$759=0,0,COUNTIFS($B$8:$B$332,"*"&amp;$B$759&amp;"*",$C$8:$C$332,C759))</f>
        <v>19</v>
      </c>
    </row>
    <row r="760" spans="2:4" x14ac:dyDescent="0.35">
      <c r="B760" s="390"/>
      <c r="C760" s="120" t="s">
        <v>583</v>
      </c>
      <c r="D760" s="120">
        <f>IF($B$759=0,0,COUNTIFS($B$8:$B$332,"*"&amp;$B$759&amp;"*",$C$8:$C$332,C760))</f>
        <v>0</v>
      </c>
    </row>
    <row r="761" spans="2:4" x14ac:dyDescent="0.35">
      <c r="B761" s="390"/>
      <c r="C761" s="120" t="s">
        <v>584</v>
      </c>
      <c r="D761" s="120">
        <f>IF($B$759=0,0,COUNTIFS($B$8:$B$332,"*"&amp;$B$759&amp;"*",$C$8:$C$332,C761))</f>
        <v>0</v>
      </c>
    </row>
    <row r="762" spans="2:4" x14ac:dyDescent="0.35">
      <c r="B762" s="390" t="str">
        <f>B442</f>
        <v>REQ_SYS_Comm_518</v>
      </c>
      <c r="C762" s="120" t="s">
        <v>549</v>
      </c>
      <c r="D762" s="120">
        <f>IF($B$762=0,0,COUNTIFS($B$8:$B$332,"*"&amp;$B$762&amp;"*",$C$8:$C$332,C762))</f>
        <v>19</v>
      </c>
    </row>
    <row r="763" spans="2:4" x14ac:dyDescent="0.35">
      <c r="B763" s="390"/>
      <c r="C763" s="120" t="s">
        <v>583</v>
      </c>
      <c r="D763" s="120">
        <f>IF($B$762=0,0,COUNTIFS($B$8:$B$332,"*"&amp;$B$762&amp;"*",$C$8:$C$332,C763))</f>
        <v>0</v>
      </c>
    </row>
    <row r="764" spans="2:4" x14ac:dyDescent="0.35">
      <c r="B764" s="390"/>
      <c r="C764" s="120" t="s">
        <v>584</v>
      </c>
      <c r="D764" s="120">
        <f>IF($B$762=0,0,COUNTIFS($B$8:$B$332,"*"&amp;$B$762&amp;"*",$C$8:$C$332,C764))</f>
        <v>0</v>
      </c>
    </row>
  </sheetData>
  <mergeCells count="222">
    <mergeCell ref="B762:B764"/>
    <mergeCell ref="C351:F351"/>
    <mergeCell ref="C352:F352"/>
    <mergeCell ref="C353:F353"/>
    <mergeCell ref="C354:F354"/>
    <mergeCell ref="C355:F355"/>
    <mergeCell ref="C356:F356"/>
    <mergeCell ref="C357:F357"/>
    <mergeCell ref="B486:B488"/>
    <mergeCell ref="B489:B491"/>
    <mergeCell ref="B449:D449"/>
    <mergeCell ref="B450:B452"/>
    <mergeCell ref="C384:F384"/>
    <mergeCell ref="C385:F385"/>
    <mergeCell ref="C377:F377"/>
    <mergeCell ref="C378:F378"/>
    <mergeCell ref="C379:F379"/>
    <mergeCell ref="C380:F380"/>
    <mergeCell ref="C381:F381"/>
    <mergeCell ref="C391:F391"/>
    <mergeCell ref="C411:F411"/>
    <mergeCell ref="C404:F404"/>
    <mergeCell ref="C415:F415"/>
    <mergeCell ref="C420:F420"/>
    <mergeCell ref="B1:F1"/>
    <mergeCell ref="H1:S1"/>
    <mergeCell ref="C2:F2"/>
    <mergeCell ref="H2:S2"/>
    <mergeCell ref="H3:S102"/>
    <mergeCell ref="B4:F4"/>
    <mergeCell ref="C6:F6"/>
    <mergeCell ref="C7:F7"/>
    <mergeCell ref="C347:F347"/>
    <mergeCell ref="B339:F339"/>
    <mergeCell ref="C340:F340"/>
    <mergeCell ref="C341:F341"/>
    <mergeCell ref="C342:F342"/>
    <mergeCell ref="C343:F343"/>
    <mergeCell ref="C344:F344"/>
    <mergeCell ref="C345:F345"/>
    <mergeCell ref="C346:F346"/>
    <mergeCell ref="C334:F334"/>
    <mergeCell ref="C335:F335"/>
    <mergeCell ref="C436:F436"/>
    <mergeCell ref="C438:F438"/>
    <mergeCell ref="C405:F405"/>
    <mergeCell ref="C406:F406"/>
    <mergeCell ref="C392:F392"/>
    <mergeCell ref="C386:F386"/>
    <mergeCell ref="C403:F403"/>
    <mergeCell ref="C394:F394"/>
    <mergeCell ref="C395:F395"/>
    <mergeCell ref="C393:F393"/>
    <mergeCell ref="C397:F397"/>
    <mergeCell ref="C398:F398"/>
    <mergeCell ref="C399:F399"/>
    <mergeCell ref="C400:F400"/>
    <mergeCell ref="C401:F401"/>
    <mergeCell ref="C402:F402"/>
    <mergeCell ref="C390:F390"/>
    <mergeCell ref="C407:F407"/>
    <mergeCell ref="C412:F412"/>
    <mergeCell ref="C413:F413"/>
    <mergeCell ref="C348:F348"/>
    <mergeCell ref="C349:F349"/>
    <mergeCell ref="C408:F408"/>
    <mergeCell ref="C409:F409"/>
    <mergeCell ref="C410:F410"/>
    <mergeCell ref="C396:F396"/>
    <mergeCell ref="C369:F369"/>
    <mergeCell ref="C370:F370"/>
    <mergeCell ref="C371:F371"/>
    <mergeCell ref="C382:F382"/>
    <mergeCell ref="C383:F383"/>
    <mergeCell ref="C350:F350"/>
    <mergeCell ref="C358:F358"/>
    <mergeCell ref="C373:F373"/>
    <mergeCell ref="C374:F374"/>
    <mergeCell ref="C375:F375"/>
    <mergeCell ref="C376:F376"/>
    <mergeCell ref="C367:F367"/>
    <mergeCell ref="C368:F368"/>
    <mergeCell ref="C387:F387"/>
    <mergeCell ref="C388:F388"/>
    <mergeCell ref="C389:F389"/>
    <mergeCell ref="C359:F359"/>
    <mergeCell ref="C360:F360"/>
    <mergeCell ref="C361:F361"/>
    <mergeCell ref="C362:F362"/>
    <mergeCell ref="C363:F363"/>
    <mergeCell ref="C364:F364"/>
    <mergeCell ref="C365:F365"/>
    <mergeCell ref="C366:F366"/>
    <mergeCell ref="C372:F372"/>
    <mergeCell ref="B549:B551"/>
    <mergeCell ref="B522:B524"/>
    <mergeCell ref="B525:B527"/>
    <mergeCell ref="B483:B485"/>
    <mergeCell ref="B459:B461"/>
    <mergeCell ref="B453:B455"/>
    <mergeCell ref="B456:B458"/>
    <mergeCell ref="C421:F421"/>
    <mergeCell ref="C431:F431"/>
    <mergeCell ref="C434:F434"/>
    <mergeCell ref="C441:F441"/>
    <mergeCell ref="B444:F444"/>
    <mergeCell ref="D445:F445"/>
    <mergeCell ref="C435:F435"/>
    <mergeCell ref="C437:F437"/>
    <mergeCell ref="C440:F440"/>
    <mergeCell ref="C414:F414"/>
    <mergeCell ref="B579:B581"/>
    <mergeCell ref="B552:B554"/>
    <mergeCell ref="B591:B593"/>
    <mergeCell ref="B462:B464"/>
    <mergeCell ref="B465:B467"/>
    <mergeCell ref="B567:B569"/>
    <mergeCell ref="B570:B572"/>
    <mergeCell ref="B573:B575"/>
    <mergeCell ref="B501:B503"/>
    <mergeCell ref="B477:B479"/>
    <mergeCell ref="B480:B482"/>
    <mergeCell ref="B546:B548"/>
    <mergeCell ref="B537:B539"/>
    <mergeCell ref="B540:B542"/>
    <mergeCell ref="B543:B545"/>
    <mergeCell ref="B642:B644"/>
    <mergeCell ref="C416:F416"/>
    <mergeCell ref="C417:F417"/>
    <mergeCell ref="C418:F418"/>
    <mergeCell ref="C422:F422"/>
    <mergeCell ref="C423:F423"/>
    <mergeCell ref="C424:F424"/>
    <mergeCell ref="C425:F425"/>
    <mergeCell ref="C426:F426"/>
    <mergeCell ref="B495:B497"/>
    <mergeCell ref="B498:B500"/>
    <mergeCell ref="B555:B557"/>
    <mergeCell ref="B558:B560"/>
    <mergeCell ref="B561:B563"/>
    <mergeCell ref="B564:B566"/>
    <mergeCell ref="B534:B536"/>
    <mergeCell ref="B507:B509"/>
    <mergeCell ref="B510:B512"/>
    <mergeCell ref="B513:B515"/>
    <mergeCell ref="B516:B518"/>
    <mergeCell ref="B519:B521"/>
    <mergeCell ref="B594:B596"/>
    <mergeCell ref="B600:B602"/>
    <mergeCell ref="C419:F419"/>
    <mergeCell ref="B645:B647"/>
    <mergeCell ref="B648:B650"/>
    <mergeCell ref="B651:B653"/>
    <mergeCell ref="C429:F429"/>
    <mergeCell ref="C427:F427"/>
    <mergeCell ref="C428:F428"/>
    <mergeCell ref="C430:F430"/>
    <mergeCell ref="C439:F439"/>
    <mergeCell ref="C442:F442"/>
    <mergeCell ref="B633:B635"/>
    <mergeCell ref="B636:B638"/>
    <mergeCell ref="B639:B641"/>
    <mergeCell ref="B606:B608"/>
    <mergeCell ref="B609:B611"/>
    <mergeCell ref="B612:B614"/>
    <mergeCell ref="B582:B584"/>
    <mergeCell ref="B585:B587"/>
    <mergeCell ref="B588:B590"/>
    <mergeCell ref="B576:B578"/>
    <mergeCell ref="B468:B470"/>
    <mergeCell ref="B471:B473"/>
    <mergeCell ref="B474:B476"/>
    <mergeCell ref="B504:B506"/>
    <mergeCell ref="B492:B494"/>
    <mergeCell ref="B741:B743"/>
    <mergeCell ref="B744:B746"/>
    <mergeCell ref="B747:B749"/>
    <mergeCell ref="B750:B752"/>
    <mergeCell ref="B753:B755"/>
    <mergeCell ref="B756:B758"/>
    <mergeCell ref="B759:B761"/>
    <mergeCell ref="B660:B662"/>
    <mergeCell ref="B663:B665"/>
    <mergeCell ref="B666:B668"/>
    <mergeCell ref="B729:B731"/>
    <mergeCell ref="B723:B725"/>
    <mergeCell ref="B726:B728"/>
    <mergeCell ref="B714:B716"/>
    <mergeCell ref="B717:B719"/>
    <mergeCell ref="B720:B722"/>
    <mergeCell ref="B696:B698"/>
    <mergeCell ref="B699:B701"/>
    <mergeCell ref="B702:B704"/>
    <mergeCell ref="B705:B707"/>
    <mergeCell ref="B708:B710"/>
    <mergeCell ref="B711:B713"/>
    <mergeCell ref="B669:B671"/>
    <mergeCell ref="B672:B674"/>
    <mergeCell ref="B732:B734"/>
    <mergeCell ref="C432:F432"/>
    <mergeCell ref="C433:F433"/>
    <mergeCell ref="B735:B737"/>
    <mergeCell ref="B738:B740"/>
    <mergeCell ref="B615:B617"/>
    <mergeCell ref="B618:B620"/>
    <mergeCell ref="B621:B623"/>
    <mergeCell ref="B624:B626"/>
    <mergeCell ref="B627:B629"/>
    <mergeCell ref="B630:B632"/>
    <mergeCell ref="B654:B656"/>
    <mergeCell ref="B657:B659"/>
    <mergeCell ref="B675:B677"/>
    <mergeCell ref="B678:B680"/>
    <mergeCell ref="B681:B683"/>
    <mergeCell ref="B684:B686"/>
    <mergeCell ref="B687:B689"/>
    <mergeCell ref="B690:B692"/>
    <mergeCell ref="B693:B695"/>
    <mergeCell ref="B597:B599"/>
    <mergeCell ref="B603:B605"/>
    <mergeCell ref="B528:B530"/>
    <mergeCell ref="B531:B533"/>
  </mergeCells>
  <phoneticPr fontId="41" type="noConversion"/>
  <conditionalFormatting sqref="B8 B80 B26 C277:C278 C259:C260 C241:C242 C223:C224 C205:C206 C187:C188 C169:C170 C151:C152 C132:C133 C113:C114 C95:C96 C77:C78 C59:C60 C41:C42 C14:C18 C340:C349 C23:C24 C333 B765:B1048576 C358:C442">
    <cfRule type="cellIs" dxfId="1172" priority="1063" operator="equal">
      <formula>"NR"</formula>
    </cfRule>
    <cfRule type="cellIs" dxfId="1171" priority="1064" operator="equal">
      <formula>"NOK"</formula>
    </cfRule>
    <cfRule type="cellIs" dxfId="1170" priority="1065" operator="equal">
      <formula>"OK"</formula>
    </cfRule>
  </conditionalFormatting>
  <conditionalFormatting sqref="B2 B446:B448">
    <cfRule type="cellIs" dxfId="1169" priority="1084" operator="equal">
      <formula>"NR"</formula>
    </cfRule>
    <cfRule type="cellIs" dxfId="1168" priority="1085" operator="equal">
      <formula>"NOK"</formula>
    </cfRule>
    <cfRule type="cellIs" dxfId="1167" priority="1086" operator="equal">
      <formula>"OK"</formula>
    </cfRule>
  </conditionalFormatting>
  <conditionalFormatting sqref="B4">
    <cfRule type="cellIs" dxfId="1166" priority="1087" operator="equal">
      <formula>"NR"</formula>
    </cfRule>
    <cfRule type="cellIs" dxfId="1165" priority="1088" operator="equal">
      <formula>"NOK"</formula>
    </cfRule>
    <cfRule type="cellIs" dxfId="1164" priority="1089" operator="equal">
      <formula>"OK"</formula>
    </cfRule>
  </conditionalFormatting>
  <conditionalFormatting sqref="B3 B338 B5 B444">
    <cfRule type="cellIs" dxfId="1163" priority="1099" operator="equal">
      <formula>"NR"</formula>
    </cfRule>
    <cfRule type="cellIs" dxfId="1162" priority="1100" operator="equal">
      <formula>"NOK"</formula>
    </cfRule>
    <cfRule type="cellIs" dxfId="1161" priority="1101" operator="equal">
      <formula>"OK"</formula>
    </cfRule>
  </conditionalFormatting>
  <conditionalFormatting sqref="B1">
    <cfRule type="cellIs" dxfId="1160" priority="1096" operator="equal">
      <formula>"NR"</formula>
    </cfRule>
    <cfRule type="cellIs" dxfId="1159" priority="1097" operator="equal">
      <formula>"NOK"</formula>
    </cfRule>
    <cfRule type="cellIs" dxfId="1158" priority="1098" operator="equal">
      <formula>"OK"</formula>
    </cfRule>
  </conditionalFormatting>
  <conditionalFormatting sqref="B339">
    <cfRule type="cellIs" dxfId="1157" priority="1093" operator="equal">
      <formula>"NR"</formula>
    </cfRule>
    <cfRule type="cellIs" dxfId="1156" priority="1094" operator="equal">
      <formula>"NOK"</formula>
    </cfRule>
    <cfRule type="cellIs" dxfId="1155" priority="1095" operator="equal">
      <formula>"OK"</formula>
    </cfRule>
  </conditionalFormatting>
  <conditionalFormatting sqref="C443">
    <cfRule type="cellIs" dxfId="1154" priority="1090" operator="equal">
      <formula>"NR"</formula>
    </cfRule>
    <cfRule type="cellIs" dxfId="1153" priority="1091" operator="equal">
      <formula>"NOK"</formula>
    </cfRule>
    <cfRule type="cellIs" dxfId="1152" priority="1092" operator="equal">
      <formula>"OK"</formula>
    </cfRule>
  </conditionalFormatting>
  <conditionalFormatting sqref="B6:B7">
    <cfRule type="cellIs" dxfId="1151" priority="1081" operator="equal">
      <formula>"NR"</formula>
    </cfRule>
    <cfRule type="cellIs" dxfId="1150" priority="1082" operator="equal">
      <formula>"NOK"</formula>
    </cfRule>
    <cfRule type="cellIs" dxfId="1149" priority="1083" operator="equal">
      <formula>"OK"</formula>
    </cfRule>
  </conditionalFormatting>
  <conditionalFormatting sqref="C445">
    <cfRule type="cellIs" dxfId="1148" priority="1069" operator="equal">
      <formula>"NR"</formula>
    </cfRule>
    <cfRule type="cellIs" dxfId="1147" priority="1070" operator="equal">
      <formula>"NOK"</formula>
    </cfRule>
    <cfRule type="cellIs" dxfId="1146" priority="1071" operator="equal">
      <formula>"OK"</formula>
    </cfRule>
  </conditionalFormatting>
  <conditionalFormatting sqref="B445">
    <cfRule type="cellIs" dxfId="1145" priority="1072" operator="equal">
      <formula>"NR"</formula>
    </cfRule>
    <cfRule type="cellIs" dxfId="1144" priority="1073" operator="equal">
      <formula>"NOK"</formula>
    </cfRule>
    <cfRule type="cellIs" dxfId="1143" priority="1074" operator="equal">
      <formula>"OK"</formula>
    </cfRule>
  </conditionalFormatting>
  <conditionalFormatting sqref="B449:B450 B453 B456 B462 B468 B471 B477 B459 B465 B474 B480 B483 B486 B492 B489 B495 B498 B501 B504 B507 B510 B513 B516 B519 B522 B525 B528 B531 B534 B537 B540 B543 B546 B549 B552 B555 B558 B561 B564 B567 B570 B573 B576 B579 B582 B585 B588 B591 B594 B597 B603 B606 B609 B612 B615 B618 B621 B624 B627 B630 B633 B636 B639 B663 B666 B669 B672 B675 B678 B681 B684 B687 B690 B693 B696 B699 B702 B705 B708 B642 B645 B648 B651 B654 B657 B660 B711 B714 B717 B720 B723 B726 B729 B600">
    <cfRule type="cellIs" dxfId="1142" priority="1066" operator="equal">
      <formula>"NR"</formula>
    </cfRule>
    <cfRule type="cellIs" dxfId="1141" priority="1067" operator="equal">
      <formula>"NOK"</formula>
    </cfRule>
    <cfRule type="cellIs" dxfId="1140" priority="1068" operator="equal">
      <formula>"OK"</formula>
    </cfRule>
  </conditionalFormatting>
  <conditionalFormatting sqref="C9">
    <cfRule type="cellIs" dxfId="1139" priority="1042" operator="equal">
      <formula>"NR"</formula>
    </cfRule>
    <cfRule type="cellIs" dxfId="1138" priority="1043" operator="equal">
      <formula>"NOK"</formula>
    </cfRule>
    <cfRule type="cellIs" dxfId="1137" priority="1044" operator="equal">
      <formula>"OK"</formula>
    </cfRule>
  </conditionalFormatting>
  <conditionalFormatting sqref="B154">
    <cfRule type="cellIs" dxfId="1136" priority="1027" operator="equal">
      <formula>"NR"</formula>
    </cfRule>
    <cfRule type="cellIs" dxfId="1135" priority="1028" operator="equal">
      <formula>"NOK"</formula>
    </cfRule>
    <cfRule type="cellIs" dxfId="1134" priority="1029" operator="equal">
      <formula>"OK"</formula>
    </cfRule>
  </conditionalFormatting>
  <conditionalFormatting sqref="B135">
    <cfRule type="cellIs" dxfId="1133" priority="1033" operator="equal">
      <formula>"NR"</formula>
    </cfRule>
    <cfRule type="cellIs" dxfId="1132" priority="1034" operator="equal">
      <formula>"NOK"</formula>
    </cfRule>
    <cfRule type="cellIs" dxfId="1131" priority="1035" operator="equal">
      <formula>"OK"</formula>
    </cfRule>
  </conditionalFormatting>
  <conditionalFormatting sqref="B208">
    <cfRule type="cellIs" dxfId="1130" priority="886" operator="equal">
      <formula>"NR"</formula>
    </cfRule>
    <cfRule type="cellIs" dxfId="1129" priority="887" operator="equal">
      <formula>"NOK"</formula>
    </cfRule>
    <cfRule type="cellIs" dxfId="1128" priority="888" operator="equal">
      <formula>"OK"</formula>
    </cfRule>
  </conditionalFormatting>
  <conditionalFormatting sqref="C350:C357">
    <cfRule type="cellIs" dxfId="1127" priority="1021" operator="equal">
      <formula>"NR"</formula>
    </cfRule>
    <cfRule type="cellIs" dxfId="1126" priority="1022" operator="equal">
      <formula>"NOK"</formula>
    </cfRule>
    <cfRule type="cellIs" dxfId="1125" priority="1023" operator="equal">
      <formula>"OK"</formula>
    </cfRule>
  </conditionalFormatting>
  <conditionalFormatting sqref="B172">
    <cfRule type="cellIs" dxfId="1124" priority="910" operator="equal">
      <formula>"NR"</formula>
    </cfRule>
    <cfRule type="cellIs" dxfId="1123" priority="911" operator="equal">
      <formula>"NOK"</formula>
    </cfRule>
    <cfRule type="cellIs" dxfId="1122" priority="912" operator="equal">
      <formula>"OK"</formula>
    </cfRule>
  </conditionalFormatting>
  <conditionalFormatting sqref="B190">
    <cfRule type="cellIs" dxfId="1121" priority="898" operator="equal">
      <formula>"NR"</formula>
    </cfRule>
    <cfRule type="cellIs" dxfId="1120" priority="899" operator="equal">
      <formula>"NOK"</formula>
    </cfRule>
    <cfRule type="cellIs" dxfId="1119" priority="900" operator="equal">
      <formula>"OK"</formula>
    </cfRule>
  </conditionalFormatting>
  <conditionalFormatting sqref="B62">
    <cfRule type="cellIs" dxfId="1118" priority="1012" operator="equal">
      <formula>"NR"</formula>
    </cfRule>
    <cfRule type="cellIs" dxfId="1117" priority="1013" operator="equal">
      <formula>"NOK"</formula>
    </cfRule>
    <cfRule type="cellIs" dxfId="1116" priority="1014" operator="equal">
      <formula>"OK"</formula>
    </cfRule>
  </conditionalFormatting>
  <conditionalFormatting sqref="B44">
    <cfRule type="cellIs" dxfId="1115" priority="1006" operator="equal">
      <formula>"NR"</formula>
    </cfRule>
    <cfRule type="cellIs" dxfId="1114" priority="1007" operator="equal">
      <formula>"NOK"</formula>
    </cfRule>
    <cfRule type="cellIs" dxfId="1113" priority="1008" operator="equal">
      <formula>"OK"</formula>
    </cfRule>
  </conditionalFormatting>
  <conditionalFormatting sqref="B116">
    <cfRule type="cellIs" dxfId="1112" priority="997" operator="equal">
      <formula>"NR"</formula>
    </cfRule>
    <cfRule type="cellIs" dxfId="1111" priority="998" operator="equal">
      <formula>"NOK"</formula>
    </cfRule>
    <cfRule type="cellIs" dxfId="1110" priority="999" operator="equal">
      <formula>"OK"</formula>
    </cfRule>
  </conditionalFormatting>
  <conditionalFormatting sqref="B98">
    <cfRule type="cellIs" dxfId="1109" priority="976" operator="equal">
      <formula>"NR"</formula>
    </cfRule>
    <cfRule type="cellIs" dxfId="1108" priority="977" operator="equal">
      <formula>"NOK"</formula>
    </cfRule>
    <cfRule type="cellIs" dxfId="1107" priority="978" operator="equal">
      <formula>"OK"</formula>
    </cfRule>
  </conditionalFormatting>
  <conditionalFormatting sqref="B244">
    <cfRule type="cellIs" dxfId="1106" priority="862" operator="equal">
      <formula>"NR"</formula>
    </cfRule>
    <cfRule type="cellIs" dxfId="1105" priority="863" operator="equal">
      <formula>"NOK"</formula>
    </cfRule>
    <cfRule type="cellIs" dxfId="1104" priority="864" operator="equal">
      <formula>"OK"</formula>
    </cfRule>
  </conditionalFormatting>
  <conditionalFormatting sqref="B262">
    <cfRule type="cellIs" dxfId="1103" priority="850" operator="equal">
      <formula>"NR"</formula>
    </cfRule>
    <cfRule type="cellIs" dxfId="1102" priority="851" operator="equal">
      <formula>"NOK"</formula>
    </cfRule>
    <cfRule type="cellIs" dxfId="1101" priority="852" operator="equal">
      <formula>"OK"</formula>
    </cfRule>
  </conditionalFormatting>
  <conditionalFormatting sqref="B226">
    <cfRule type="cellIs" dxfId="1100" priority="874" operator="equal">
      <formula>"NR"</formula>
    </cfRule>
    <cfRule type="cellIs" dxfId="1099" priority="875" operator="equal">
      <formula>"NOK"</formula>
    </cfRule>
    <cfRule type="cellIs" dxfId="1098" priority="876" operator="equal">
      <formula>"OK"</formula>
    </cfRule>
  </conditionalFormatting>
  <conditionalFormatting sqref="C34">
    <cfRule type="cellIs" dxfId="1097" priority="838" operator="equal">
      <formula>"NR"</formula>
    </cfRule>
    <cfRule type="cellIs" dxfId="1096" priority="839" operator="equal">
      <formula>"NOK"</formula>
    </cfRule>
    <cfRule type="cellIs" dxfId="1095" priority="840" operator="equal">
      <formula>"OK"</formula>
    </cfRule>
  </conditionalFormatting>
  <conditionalFormatting sqref="C27">
    <cfRule type="cellIs" dxfId="1094" priority="835" operator="equal">
      <formula>"NR"</formula>
    </cfRule>
    <cfRule type="cellIs" dxfId="1093" priority="836" operator="equal">
      <formula>"NOK"</formula>
    </cfRule>
    <cfRule type="cellIs" dxfId="1092" priority="837" operator="equal">
      <formula>"OK"</formula>
    </cfRule>
  </conditionalFormatting>
  <conditionalFormatting sqref="C52">
    <cfRule type="cellIs" dxfId="1091" priority="829" operator="equal">
      <formula>"NR"</formula>
    </cfRule>
    <cfRule type="cellIs" dxfId="1090" priority="830" operator="equal">
      <formula>"NOK"</formula>
    </cfRule>
    <cfRule type="cellIs" dxfId="1089" priority="831" operator="equal">
      <formula>"OK"</formula>
    </cfRule>
  </conditionalFormatting>
  <conditionalFormatting sqref="C45">
    <cfRule type="cellIs" dxfId="1088" priority="826" operator="equal">
      <formula>"NR"</formula>
    </cfRule>
    <cfRule type="cellIs" dxfId="1087" priority="827" operator="equal">
      <formula>"NOK"</formula>
    </cfRule>
    <cfRule type="cellIs" dxfId="1086" priority="828" operator="equal">
      <formula>"OK"</formula>
    </cfRule>
  </conditionalFormatting>
  <conditionalFormatting sqref="C70">
    <cfRule type="cellIs" dxfId="1085" priority="820" operator="equal">
      <formula>"NR"</formula>
    </cfRule>
    <cfRule type="cellIs" dxfId="1084" priority="821" operator="equal">
      <formula>"NOK"</formula>
    </cfRule>
    <cfRule type="cellIs" dxfId="1083" priority="822" operator="equal">
      <formula>"OK"</formula>
    </cfRule>
  </conditionalFormatting>
  <conditionalFormatting sqref="C63">
    <cfRule type="cellIs" dxfId="1082" priority="817" operator="equal">
      <formula>"NR"</formula>
    </cfRule>
    <cfRule type="cellIs" dxfId="1081" priority="818" operator="equal">
      <formula>"NOK"</formula>
    </cfRule>
    <cfRule type="cellIs" dxfId="1080" priority="819" operator="equal">
      <formula>"OK"</formula>
    </cfRule>
  </conditionalFormatting>
  <conditionalFormatting sqref="C88">
    <cfRule type="cellIs" dxfId="1079" priority="811" operator="equal">
      <formula>"NR"</formula>
    </cfRule>
    <cfRule type="cellIs" dxfId="1078" priority="812" operator="equal">
      <formula>"NOK"</formula>
    </cfRule>
    <cfRule type="cellIs" dxfId="1077" priority="813" operator="equal">
      <formula>"OK"</formula>
    </cfRule>
  </conditionalFormatting>
  <conditionalFormatting sqref="C81">
    <cfRule type="cellIs" dxfId="1076" priority="808" operator="equal">
      <formula>"NR"</formula>
    </cfRule>
    <cfRule type="cellIs" dxfId="1075" priority="809" operator="equal">
      <formula>"NOK"</formula>
    </cfRule>
    <cfRule type="cellIs" dxfId="1074" priority="810" operator="equal">
      <formula>"OK"</formula>
    </cfRule>
  </conditionalFormatting>
  <conditionalFormatting sqref="C106">
    <cfRule type="cellIs" dxfId="1073" priority="802" operator="equal">
      <formula>"NR"</formula>
    </cfRule>
    <cfRule type="cellIs" dxfId="1072" priority="803" operator="equal">
      <formula>"NOK"</formula>
    </cfRule>
    <cfRule type="cellIs" dxfId="1071" priority="804" operator="equal">
      <formula>"OK"</formula>
    </cfRule>
  </conditionalFormatting>
  <conditionalFormatting sqref="C99">
    <cfRule type="cellIs" dxfId="1070" priority="799" operator="equal">
      <formula>"NR"</formula>
    </cfRule>
    <cfRule type="cellIs" dxfId="1069" priority="800" operator="equal">
      <formula>"NOK"</formula>
    </cfRule>
    <cfRule type="cellIs" dxfId="1068" priority="801" operator="equal">
      <formula>"OK"</formula>
    </cfRule>
  </conditionalFormatting>
  <conditionalFormatting sqref="C122">
    <cfRule type="cellIs" dxfId="1067" priority="787" operator="equal">
      <formula>"NR"</formula>
    </cfRule>
    <cfRule type="cellIs" dxfId="1066" priority="788" operator="equal">
      <formula>"NOK"</formula>
    </cfRule>
    <cfRule type="cellIs" dxfId="1065" priority="789" operator="equal">
      <formula>"OK"</formula>
    </cfRule>
  </conditionalFormatting>
  <conditionalFormatting sqref="C125">
    <cfRule type="cellIs" dxfId="1064" priority="793" operator="equal">
      <formula>"NR"</formula>
    </cfRule>
    <cfRule type="cellIs" dxfId="1063" priority="794" operator="equal">
      <formula>"NOK"</formula>
    </cfRule>
    <cfRule type="cellIs" dxfId="1062" priority="795" operator="equal">
      <formula>"OK"</formula>
    </cfRule>
  </conditionalFormatting>
  <conditionalFormatting sqref="C117">
    <cfRule type="cellIs" dxfId="1061" priority="790" operator="equal">
      <formula>"NR"</formula>
    </cfRule>
    <cfRule type="cellIs" dxfId="1060" priority="791" operator="equal">
      <formula>"NOK"</formula>
    </cfRule>
    <cfRule type="cellIs" dxfId="1059" priority="792" operator="equal">
      <formula>"OK"</formula>
    </cfRule>
  </conditionalFormatting>
  <conditionalFormatting sqref="C141">
    <cfRule type="cellIs" dxfId="1058" priority="778" operator="equal">
      <formula>"NR"</formula>
    </cfRule>
    <cfRule type="cellIs" dxfId="1057" priority="779" operator="equal">
      <formula>"NOK"</formula>
    </cfRule>
    <cfRule type="cellIs" dxfId="1056" priority="780" operator="equal">
      <formula>"OK"</formula>
    </cfRule>
  </conditionalFormatting>
  <conditionalFormatting sqref="C144">
    <cfRule type="cellIs" dxfId="1055" priority="784" operator="equal">
      <formula>"NR"</formula>
    </cfRule>
    <cfRule type="cellIs" dxfId="1054" priority="785" operator="equal">
      <formula>"NOK"</formula>
    </cfRule>
    <cfRule type="cellIs" dxfId="1053" priority="786" operator="equal">
      <formula>"OK"</formula>
    </cfRule>
  </conditionalFormatting>
  <conditionalFormatting sqref="C136">
    <cfRule type="cellIs" dxfId="1052" priority="781" operator="equal">
      <formula>"NR"</formula>
    </cfRule>
    <cfRule type="cellIs" dxfId="1051" priority="782" operator="equal">
      <formula>"NOK"</formula>
    </cfRule>
    <cfRule type="cellIs" dxfId="1050" priority="783" operator="equal">
      <formula>"OK"</formula>
    </cfRule>
  </conditionalFormatting>
  <conditionalFormatting sqref="C162">
    <cfRule type="cellIs" dxfId="1049" priority="775" operator="equal">
      <formula>"NR"</formula>
    </cfRule>
    <cfRule type="cellIs" dxfId="1048" priority="776" operator="equal">
      <formula>"NOK"</formula>
    </cfRule>
    <cfRule type="cellIs" dxfId="1047" priority="777" operator="equal">
      <formula>"OK"</formula>
    </cfRule>
  </conditionalFormatting>
  <conditionalFormatting sqref="C155">
    <cfRule type="cellIs" dxfId="1046" priority="772" operator="equal">
      <formula>"NR"</formula>
    </cfRule>
    <cfRule type="cellIs" dxfId="1045" priority="773" operator="equal">
      <formula>"NOK"</formula>
    </cfRule>
    <cfRule type="cellIs" dxfId="1044" priority="774" operator="equal">
      <formula>"OK"</formula>
    </cfRule>
  </conditionalFormatting>
  <conditionalFormatting sqref="C180">
    <cfRule type="cellIs" dxfId="1043" priority="766" operator="equal">
      <formula>"NR"</formula>
    </cfRule>
    <cfRule type="cellIs" dxfId="1042" priority="767" operator="equal">
      <formula>"NOK"</formula>
    </cfRule>
    <cfRule type="cellIs" dxfId="1041" priority="768" operator="equal">
      <formula>"OK"</formula>
    </cfRule>
  </conditionalFormatting>
  <conditionalFormatting sqref="C173">
    <cfRule type="cellIs" dxfId="1040" priority="763" operator="equal">
      <formula>"NR"</formula>
    </cfRule>
    <cfRule type="cellIs" dxfId="1039" priority="764" operator="equal">
      <formula>"NOK"</formula>
    </cfRule>
    <cfRule type="cellIs" dxfId="1038" priority="765" operator="equal">
      <formula>"OK"</formula>
    </cfRule>
  </conditionalFormatting>
  <conditionalFormatting sqref="C198">
    <cfRule type="cellIs" dxfId="1037" priority="757" operator="equal">
      <formula>"NR"</formula>
    </cfRule>
    <cfRule type="cellIs" dxfId="1036" priority="758" operator="equal">
      <formula>"NOK"</formula>
    </cfRule>
    <cfRule type="cellIs" dxfId="1035" priority="759" operator="equal">
      <formula>"OK"</formula>
    </cfRule>
  </conditionalFormatting>
  <conditionalFormatting sqref="C191">
    <cfRule type="cellIs" dxfId="1034" priority="754" operator="equal">
      <formula>"NR"</formula>
    </cfRule>
    <cfRule type="cellIs" dxfId="1033" priority="755" operator="equal">
      <formula>"NOK"</formula>
    </cfRule>
    <cfRule type="cellIs" dxfId="1032" priority="756" operator="equal">
      <formula>"OK"</formula>
    </cfRule>
  </conditionalFormatting>
  <conditionalFormatting sqref="C216">
    <cfRule type="cellIs" dxfId="1031" priority="748" operator="equal">
      <formula>"NR"</formula>
    </cfRule>
    <cfRule type="cellIs" dxfId="1030" priority="749" operator="equal">
      <formula>"NOK"</formula>
    </cfRule>
    <cfRule type="cellIs" dxfId="1029" priority="750" operator="equal">
      <formula>"OK"</formula>
    </cfRule>
  </conditionalFormatting>
  <conditionalFormatting sqref="C209">
    <cfRule type="cellIs" dxfId="1028" priority="745" operator="equal">
      <formula>"NR"</formula>
    </cfRule>
    <cfRule type="cellIs" dxfId="1027" priority="746" operator="equal">
      <formula>"NOK"</formula>
    </cfRule>
    <cfRule type="cellIs" dxfId="1026" priority="747" operator="equal">
      <formula>"OK"</formula>
    </cfRule>
  </conditionalFormatting>
  <conditionalFormatting sqref="C234">
    <cfRule type="cellIs" dxfId="1025" priority="739" operator="equal">
      <formula>"NR"</formula>
    </cfRule>
    <cfRule type="cellIs" dxfId="1024" priority="740" operator="equal">
      <formula>"NOK"</formula>
    </cfRule>
    <cfRule type="cellIs" dxfId="1023" priority="741" operator="equal">
      <formula>"OK"</formula>
    </cfRule>
  </conditionalFormatting>
  <conditionalFormatting sqref="C227">
    <cfRule type="cellIs" dxfId="1022" priority="736" operator="equal">
      <formula>"NR"</formula>
    </cfRule>
    <cfRule type="cellIs" dxfId="1021" priority="737" operator="equal">
      <formula>"NOK"</formula>
    </cfRule>
    <cfRule type="cellIs" dxfId="1020" priority="738" operator="equal">
      <formula>"OK"</formula>
    </cfRule>
  </conditionalFormatting>
  <conditionalFormatting sqref="C252">
    <cfRule type="cellIs" dxfId="1019" priority="730" operator="equal">
      <formula>"NR"</formula>
    </cfRule>
    <cfRule type="cellIs" dxfId="1018" priority="731" operator="equal">
      <formula>"NOK"</formula>
    </cfRule>
    <cfRule type="cellIs" dxfId="1017" priority="732" operator="equal">
      <formula>"OK"</formula>
    </cfRule>
  </conditionalFormatting>
  <conditionalFormatting sqref="C245">
    <cfRule type="cellIs" dxfId="1016" priority="727" operator="equal">
      <formula>"NR"</formula>
    </cfRule>
    <cfRule type="cellIs" dxfId="1015" priority="728" operator="equal">
      <formula>"NOK"</formula>
    </cfRule>
    <cfRule type="cellIs" dxfId="1014" priority="729" operator="equal">
      <formula>"OK"</formula>
    </cfRule>
  </conditionalFormatting>
  <conditionalFormatting sqref="C270">
    <cfRule type="cellIs" dxfId="1013" priority="721" operator="equal">
      <formula>"NR"</formula>
    </cfRule>
    <cfRule type="cellIs" dxfId="1012" priority="722" operator="equal">
      <formula>"NOK"</formula>
    </cfRule>
    <cfRule type="cellIs" dxfId="1011" priority="723" operator="equal">
      <formula>"OK"</formula>
    </cfRule>
  </conditionalFormatting>
  <conditionalFormatting sqref="C263">
    <cfRule type="cellIs" dxfId="1010" priority="718" operator="equal">
      <formula>"NR"</formula>
    </cfRule>
    <cfRule type="cellIs" dxfId="1009" priority="719" operator="equal">
      <formula>"NOK"</formula>
    </cfRule>
    <cfRule type="cellIs" dxfId="1008" priority="720" operator="equal">
      <formula>"OK"</formula>
    </cfRule>
  </conditionalFormatting>
  <conditionalFormatting sqref="C10">
    <cfRule type="cellIs" dxfId="1007" priority="664" operator="equal">
      <formula>"NR"</formula>
    </cfRule>
    <cfRule type="cellIs" dxfId="1006" priority="665" operator="equal">
      <formula>"NOK"</formula>
    </cfRule>
    <cfRule type="cellIs" dxfId="1005" priority="666" operator="equal">
      <formula>"OK"</formula>
    </cfRule>
  </conditionalFormatting>
  <conditionalFormatting sqref="C11:C13">
    <cfRule type="cellIs" dxfId="1004" priority="661" operator="equal">
      <formula>"NR"</formula>
    </cfRule>
    <cfRule type="cellIs" dxfId="1003" priority="662" operator="equal">
      <formula>"NOK"</formula>
    </cfRule>
    <cfRule type="cellIs" dxfId="1002" priority="663" operator="equal">
      <formula>"OK"</formula>
    </cfRule>
  </conditionalFormatting>
  <conditionalFormatting sqref="C28">
    <cfRule type="cellIs" dxfId="1001" priority="658" operator="equal">
      <formula>"NR"</formula>
    </cfRule>
    <cfRule type="cellIs" dxfId="1000" priority="659" operator="equal">
      <formula>"NOK"</formula>
    </cfRule>
    <cfRule type="cellIs" dxfId="999" priority="660" operator="equal">
      <formula>"OK"</formula>
    </cfRule>
  </conditionalFormatting>
  <conditionalFormatting sqref="C29:C30">
    <cfRule type="cellIs" dxfId="998" priority="655" operator="equal">
      <formula>"NR"</formula>
    </cfRule>
    <cfRule type="cellIs" dxfId="997" priority="656" operator="equal">
      <formula>"NOK"</formula>
    </cfRule>
    <cfRule type="cellIs" dxfId="996" priority="657" operator="equal">
      <formula>"OK"</formula>
    </cfRule>
  </conditionalFormatting>
  <conditionalFormatting sqref="C46">
    <cfRule type="cellIs" dxfId="995" priority="652" operator="equal">
      <formula>"NR"</formula>
    </cfRule>
    <cfRule type="cellIs" dxfId="994" priority="653" operator="equal">
      <formula>"NOK"</formula>
    </cfRule>
    <cfRule type="cellIs" dxfId="993" priority="654" operator="equal">
      <formula>"OK"</formula>
    </cfRule>
  </conditionalFormatting>
  <conditionalFormatting sqref="C47:C48">
    <cfRule type="cellIs" dxfId="992" priority="649" operator="equal">
      <formula>"NR"</formula>
    </cfRule>
    <cfRule type="cellIs" dxfId="991" priority="650" operator="equal">
      <formula>"NOK"</formula>
    </cfRule>
    <cfRule type="cellIs" dxfId="990" priority="651" operator="equal">
      <formula>"OK"</formula>
    </cfRule>
  </conditionalFormatting>
  <conditionalFormatting sqref="C64">
    <cfRule type="cellIs" dxfId="989" priority="646" operator="equal">
      <formula>"NR"</formula>
    </cfRule>
    <cfRule type="cellIs" dxfId="988" priority="647" operator="equal">
      <formula>"NOK"</formula>
    </cfRule>
    <cfRule type="cellIs" dxfId="987" priority="648" operator="equal">
      <formula>"OK"</formula>
    </cfRule>
  </conditionalFormatting>
  <conditionalFormatting sqref="C65:C66">
    <cfRule type="cellIs" dxfId="986" priority="643" operator="equal">
      <formula>"NR"</formula>
    </cfRule>
    <cfRule type="cellIs" dxfId="985" priority="644" operator="equal">
      <formula>"NOK"</formula>
    </cfRule>
    <cfRule type="cellIs" dxfId="984" priority="645" operator="equal">
      <formula>"OK"</formula>
    </cfRule>
  </conditionalFormatting>
  <conditionalFormatting sqref="C82">
    <cfRule type="cellIs" dxfId="983" priority="640" operator="equal">
      <formula>"NR"</formula>
    </cfRule>
    <cfRule type="cellIs" dxfId="982" priority="641" operator="equal">
      <formula>"NOK"</formula>
    </cfRule>
    <cfRule type="cellIs" dxfId="981" priority="642" operator="equal">
      <formula>"OK"</formula>
    </cfRule>
  </conditionalFormatting>
  <conditionalFormatting sqref="C83:C84">
    <cfRule type="cellIs" dxfId="980" priority="637" operator="equal">
      <formula>"NR"</formula>
    </cfRule>
    <cfRule type="cellIs" dxfId="979" priority="638" operator="equal">
      <formula>"NOK"</formula>
    </cfRule>
    <cfRule type="cellIs" dxfId="978" priority="639" operator="equal">
      <formula>"OK"</formula>
    </cfRule>
  </conditionalFormatting>
  <conditionalFormatting sqref="C100">
    <cfRule type="cellIs" dxfId="977" priority="634" operator="equal">
      <formula>"NR"</formula>
    </cfRule>
    <cfRule type="cellIs" dxfId="976" priority="635" operator="equal">
      <formula>"NOK"</formula>
    </cfRule>
    <cfRule type="cellIs" dxfId="975" priority="636" operator="equal">
      <formula>"OK"</formula>
    </cfRule>
  </conditionalFormatting>
  <conditionalFormatting sqref="C101:C102">
    <cfRule type="cellIs" dxfId="974" priority="631" operator="equal">
      <formula>"NR"</formula>
    </cfRule>
    <cfRule type="cellIs" dxfId="973" priority="632" operator="equal">
      <formula>"NOK"</formula>
    </cfRule>
    <cfRule type="cellIs" dxfId="972" priority="633" operator="equal">
      <formula>"OK"</formula>
    </cfRule>
  </conditionalFormatting>
  <conditionalFormatting sqref="C118">
    <cfRule type="cellIs" dxfId="971" priority="628" operator="equal">
      <formula>"NR"</formula>
    </cfRule>
    <cfRule type="cellIs" dxfId="970" priority="629" operator="equal">
      <formula>"NOK"</formula>
    </cfRule>
    <cfRule type="cellIs" dxfId="969" priority="630" operator="equal">
      <formula>"OK"</formula>
    </cfRule>
  </conditionalFormatting>
  <conditionalFormatting sqref="C119:C120">
    <cfRule type="cellIs" dxfId="968" priority="625" operator="equal">
      <formula>"NR"</formula>
    </cfRule>
    <cfRule type="cellIs" dxfId="967" priority="626" operator="equal">
      <formula>"NOK"</formula>
    </cfRule>
    <cfRule type="cellIs" dxfId="966" priority="627" operator="equal">
      <formula>"OK"</formula>
    </cfRule>
  </conditionalFormatting>
  <conditionalFormatting sqref="C137">
    <cfRule type="cellIs" dxfId="965" priority="622" operator="equal">
      <formula>"NR"</formula>
    </cfRule>
    <cfRule type="cellIs" dxfId="964" priority="623" operator="equal">
      <formula>"NOK"</formula>
    </cfRule>
    <cfRule type="cellIs" dxfId="963" priority="624" operator="equal">
      <formula>"OK"</formula>
    </cfRule>
  </conditionalFormatting>
  <conditionalFormatting sqref="C138:C139">
    <cfRule type="cellIs" dxfId="962" priority="619" operator="equal">
      <formula>"NR"</formula>
    </cfRule>
    <cfRule type="cellIs" dxfId="961" priority="620" operator="equal">
      <formula>"NOK"</formula>
    </cfRule>
    <cfRule type="cellIs" dxfId="960" priority="621" operator="equal">
      <formula>"OK"</formula>
    </cfRule>
  </conditionalFormatting>
  <conditionalFormatting sqref="C156">
    <cfRule type="cellIs" dxfId="959" priority="616" operator="equal">
      <formula>"NR"</formula>
    </cfRule>
    <cfRule type="cellIs" dxfId="958" priority="617" operator="equal">
      <formula>"NOK"</formula>
    </cfRule>
    <cfRule type="cellIs" dxfId="957" priority="618" operator="equal">
      <formula>"OK"</formula>
    </cfRule>
  </conditionalFormatting>
  <conditionalFormatting sqref="C157:C158">
    <cfRule type="cellIs" dxfId="956" priority="613" operator="equal">
      <formula>"NR"</formula>
    </cfRule>
    <cfRule type="cellIs" dxfId="955" priority="614" operator="equal">
      <formula>"NOK"</formula>
    </cfRule>
    <cfRule type="cellIs" dxfId="954" priority="615" operator="equal">
      <formula>"OK"</formula>
    </cfRule>
  </conditionalFormatting>
  <conditionalFormatting sqref="C174">
    <cfRule type="cellIs" dxfId="953" priority="610" operator="equal">
      <formula>"NR"</formula>
    </cfRule>
    <cfRule type="cellIs" dxfId="952" priority="611" operator="equal">
      <formula>"NOK"</formula>
    </cfRule>
    <cfRule type="cellIs" dxfId="951" priority="612" operator="equal">
      <formula>"OK"</formula>
    </cfRule>
  </conditionalFormatting>
  <conditionalFormatting sqref="C175:C176">
    <cfRule type="cellIs" dxfId="950" priority="607" operator="equal">
      <formula>"NR"</formula>
    </cfRule>
    <cfRule type="cellIs" dxfId="949" priority="608" operator="equal">
      <formula>"NOK"</formula>
    </cfRule>
    <cfRule type="cellIs" dxfId="948" priority="609" operator="equal">
      <formula>"OK"</formula>
    </cfRule>
  </conditionalFormatting>
  <conditionalFormatting sqref="C192">
    <cfRule type="cellIs" dxfId="947" priority="604" operator="equal">
      <formula>"NR"</formula>
    </cfRule>
    <cfRule type="cellIs" dxfId="946" priority="605" operator="equal">
      <formula>"NOK"</formula>
    </cfRule>
    <cfRule type="cellIs" dxfId="945" priority="606" operator="equal">
      <formula>"OK"</formula>
    </cfRule>
  </conditionalFormatting>
  <conditionalFormatting sqref="C193:C194">
    <cfRule type="cellIs" dxfId="944" priority="601" operator="equal">
      <formula>"NR"</formula>
    </cfRule>
    <cfRule type="cellIs" dxfId="943" priority="602" operator="equal">
      <formula>"NOK"</formula>
    </cfRule>
    <cfRule type="cellIs" dxfId="942" priority="603" operator="equal">
      <formula>"OK"</formula>
    </cfRule>
  </conditionalFormatting>
  <conditionalFormatting sqref="C210">
    <cfRule type="cellIs" dxfId="941" priority="598" operator="equal">
      <formula>"NR"</formula>
    </cfRule>
    <cfRule type="cellIs" dxfId="940" priority="599" operator="equal">
      <formula>"NOK"</formula>
    </cfRule>
    <cfRule type="cellIs" dxfId="939" priority="600" operator="equal">
      <formula>"OK"</formula>
    </cfRule>
  </conditionalFormatting>
  <conditionalFormatting sqref="C211:C212">
    <cfRule type="cellIs" dxfId="938" priority="595" operator="equal">
      <formula>"NR"</formula>
    </cfRule>
    <cfRule type="cellIs" dxfId="937" priority="596" operator="equal">
      <formula>"NOK"</formula>
    </cfRule>
    <cfRule type="cellIs" dxfId="936" priority="597" operator="equal">
      <formula>"OK"</formula>
    </cfRule>
  </conditionalFormatting>
  <conditionalFormatting sqref="C228">
    <cfRule type="cellIs" dxfId="935" priority="592" operator="equal">
      <formula>"NR"</formula>
    </cfRule>
    <cfRule type="cellIs" dxfId="934" priority="593" operator="equal">
      <formula>"NOK"</formula>
    </cfRule>
    <cfRule type="cellIs" dxfId="933" priority="594" operator="equal">
      <formula>"OK"</formula>
    </cfRule>
  </conditionalFormatting>
  <conditionalFormatting sqref="C229:C230">
    <cfRule type="cellIs" dxfId="932" priority="589" operator="equal">
      <formula>"NR"</formula>
    </cfRule>
    <cfRule type="cellIs" dxfId="931" priority="590" operator="equal">
      <formula>"NOK"</formula>
    </cfRule>
    <cfRule type="cellIs" dxfId="930" priority="591" operator="equal">
      <formula>"OK"</formula>
    </cfRule>
  </conditionalFormatting>
  <conditionalFormatting sqref="C246">
    <cfRule type="cellIs" dxfId="929" priority="586" operator="equal">
      <formula>"NR"</formula>
    </cfRule>
    <cfRule type="cellIs" dxfId="928" priority="587" operator="equal">
      <formula>"NOK"</formula>
    </cfRule>
    <cfRule type="cellIs" dxfId="927" priority="588" operator="equal">
      <formula>"OK"</formula>
    </cfRule>
  </conditionalFormatting>
  <conditionalFormatting sqref="C247:C248">
    <cfRule type="cellIs" dxfId="926" priority="583" operator="equal">
      <formula>"NR"</formula>
    </cfRule>
    <cfRule type="cellIs" dxfId="925" priority="584" operator="equal">
      <formula>"NOK"</formula>
    </cfRule>
    <cfRule type="cellIs" dxfId="924" priority="585" operator="equal">
      <formula>"OK"</formula>
    </cfRule>
  </conditionalFormatting>
  <conditionalFormatting sqref="C264">
    <cfRule type="cellIs" dxfId="923" priority="580" operator="equal">
      <formula>"NR"</formula>
    </cfRule>
    <cfRule type="cellIs" dxfId="922" priority="581" operator="equal">
      <formula>"NOK"</formula>
    </cfRule>
    <cfRule type="cellIs" dxfId="921" priority="582" operator="equal">
      <formula>"OK"</formula>
    </cfRule>
  </conditionalFormatting>
  <conditionalFormatting sqref="C265:C266">
    <cfRule type="cellIs" dxfId="920" priority="577" operator="equal">
      <formula>"NR"</formula>
    </cfRule>
    <cfRule type="cellIs" dxfId="919" priority="578" operator="equal">
      <formula>"NOK"</formula>
    </cfRule>
    <cfRule type="cellIs" dxfId="918" priority="579" operator="equal">
      <formula>"OK"</formula>
    </cfRule>
  </conditionalFormatting>
  <conditionalFormatting sqref="C31">
    <cfRule type="cellIs" dxfId="917" priority="574" operator="equal">
      <formula>"NR"</formula>
    </cfRule>
    <cfRule type="cellIs" dxfId="916" priority="575" operator="equal">
      <formula>"NOK"</formula>
    </cfRule>
    <cfRule type="cellIs" dxfId="915" priority="576" operator="equal">
      <formula>"OK"</formula>
    </cfRule>
  </conditionalFormatting>
  <conditionalFormatting sqref="C49">
    <cfRule type="cellIs" dxfId="914" priority="571" operator="equal">
      <formula>"NR"</formula>
    </cfRule>
    <cfRule type="cellIs" dxfId="913" priority="572" operator="equal">
      <formula>"NOK"</formula>
    </cfRule>
    <cfRule type="cellIs" dxfId="912" priority="573" operator="equal">
      <formula>"OK"</formula>
    </cfRule>
  </conditionalFormatting>
  <conditionalFormatting sqref="C67">
    <cfRule type="cellIs" dxfId="911" priority="568" operator="equal">
      <formula>"NR"</formula>
    </cfRule>
    <cfRule type="cellIs" dxfId="910" priority="569" operator="equal">
      <formula>"NOK"</formula>
    </cfRule>
    <cfRule type="cellIs" dxfId="909" priority="570" operator="equal">
      <formula>"OK"</formula>
    </cfRule>
  </conditionalFormatting>
  <conditionalFormatting sqref="C85">
    <cfRule type="cellIs" dxfId="908" priority="565" operator="equal">
      <formula>"NR"</formula>
    </cfRule>
    <cfRule type="cellIs" dxfId="907" priority="566" operator="equal">
      <formula>"NOK"</formula>
    </cfRule>
    <cfRule type="cellIs" dxfId="906" priority="567" operator="equal">
      <formula>"OK"</formula>
    </cfRule>
  </conditionalFormatting>
  <conditionalFormatting sqref="C103">
    <cfRule type="cellIs" dxfId="905" priority="562" operator="equal">
      <formula>"NR"</formula>
    </cfRule>
    <cfRule type="cellIs" dxfId="904" priority="563" operator="equal">
      <formula>"NOK"</formula>
    </cfRule>
    <cfRule type="cellIs" dxfId="903" priority="564" operator="equal">
      <formula>"OK"</formula>
    </cfRule>
  </conditionalFormatting>
  <conditionalFormatting sqref="C121">
    <cfRule type="cellIs" dxfId="902" priority="559" operator="equal">
      <formula>"NR"</formula>
    </cfRule>
    <cfRule type="cellIs" dxfId="901" priority="560" operator="equal">
      <formula>"NOK"</formula>
    </cfRule>
    <cfRule type="cellIs" dxfId="900" priority="561" operator="equal">
      <formula>"OK"</formula>
    </cfRule>
  </conditionalFormatting>
  <conditionalFormatting sqref="C140">
    <cfRule type="cellIs" dxfId="899" priority="556" operator="equal">
      <formula>"NR"</formula>
    </cfRule>
    <cfRule type="cellIs" dxfId="898" priority="557" operator="equal">
      <formula>"NOK"</formula>
    </cfRule>
    <cfRule type="cellIs" dxfId="897" priority="558" operator="equal">
      <formula>"OK"</formula>
    </cfRule>
  </conditionalFormatting>
  <conditionalFormatting sqref="C159">
    <cfRule type="cellIs" dxfId="896" priority="553" operator="equal">
      <formula>"NR"</formula>
    </cfRule>
    <cfRule type="cellIs" dxfId="895" priority="554" operator="equal">
      <formula>"NOK"</formula>
    </cfRule>
    <cfRule type="cellIs" dxfId="894" priority="555" operator="equal">
      <formula>"OK"</formula>
    </cfRule>
  </conditionalFormatting>
  <conditionalFormatting sqref="C177">
    <cfRule type="cellIs" dxfId="893" priority="550" operator="equal">
      <formula>"NR"</formula>
    </cfRule>
    <cfRule type="cellIs" dxfId="892" priority="551" operator="equal">
      <formula>"NOK"</formula>
    </cfRule>
    <cfRule type="cellIs" dxfId="891" priority="552" operator="equal">
      <formula>"OK"</formula>
    </cfRule>
  </conditionalFormatting>
  <conditionalFormatting sqref="C195">
    <cfRule type="cellIs" dxfId="890" priority="547" operator="equal">
      <formula>"NR"</formula>
    </cfRule>
    <cfRule type="cellIs" dxfId="889" priority="548" operator="equal">
      <formula>"NOK"</formula>
    </cfRule>
    <cfRule type="cellIs" dxfId="888" priority="549" operator="equal">
      <formula>"OK"</formula>
    </cfRule>
  </conditionalFormatting>
  <conditionalFormatting sqref="C213">
    <cfRule type="cellIs" dxfId="887" priority="544" operator="equal">
      <formula>"NR"</formula>
    </cfRule>
    <cfRule type="cellIs" dxfId="886" priority="545" operator="equal">
      <formula>"NOK"</formula>
    </cfRule>
    <cfRule type="cellIs" dxfId="885" priority="546" operator="equal">
      <formula>"OK"</formula>
    </cfRule>
  </conditionalFormatting>
  <conditionalFormatting sqref="C231">
    <cfRule type="cellIs" dxfId="884" priority="541" operator="equal">
      <formula>"NR"</formula>
    </cfRule>
    <cfRule type="cellIs" dxfId="883" priority="542" operator="equal">
      <formula>"NOK"</formula>
    </cfRule>
    <cfRule type="cellIs" dxfId="882" priority="543" operator="equal">
      <formula>"OK"</formula>
    </cfRule>
  </conditionalFormatting>
  <conditionalFormatting sqref="C249">
    <cfRule type="cellIs" dxfId="881" priority="538" operator="equal">
      <formula>"NR"</formula>
    </cfRule>
    <cfRule type="cellIs" dxfId="880" priority="539" operator="equal">
      <formula>"NOK"</formula>
    </cfRule>
    <cfRule type="cellIs" dxfId="879" priority="540" operator="equal">
      <formula>"OK"</formula>
    </cfRule>
  </conditionalFormatting>
  <conditionalFormatting sqref="C267">
    <cfRule type="cellIs" dxfId="878" priority="535" operator="equal">
      <formula>"NR"</formula>
    </cfRule>
    <cfRule type="cellIs" dxfId="877" priority="536" operator="equal">
      <formula>"NOK"</formula>
    </cfRule>
    <cfRule type="cellIs" dxfId="876" priority="537" operator="equal">
      <formula>"OK"</formula>
    </cfRule>
  </conditionalFormatting>
  <conditionalFormatting sqref="C35">
    <cfRule type="cellIs" dxfId="875" priority="532" operator="equal">
      <formula>"NR"</formula>
    </cfRule>
    <cfRule type="cellIs" dxfId="874" priority="533" operator="equal">
      <formula>"NOK"</formula>
    </cfRule>
    <cfRule type="cellIs" dxfId="873" priority="534" operator="equal">
      <formula>"OK"</formula>
    </cfRule>
  </conditionalFormatting>
  <conditionalFormatting sqref="C53">
    <cfRule type="cellIs" dxfId="872" priority="529" operator="equal">
      <formula>"NR"</formula>
    </cfRule>
    <cfRule type="cellIs" dxfId="871" priority="530" operator="equal">
      <formula>"NOK"</formula>
    </cfRule>
    <cfRule type="cellIs" dxfId="870" priority="531" operator="equal">
      <formula>"OK"</formula>
    </cfRule>
  </conditionalFormatting>
  <conditionalFormatting sqref="C71">
    <cfRule type="cellIs" dxfId="869" priority="526" operator="equal">
      <formula>"NR"</formula>
    </cfRule>
    <cfRule type="cellIs" dxfId="868" priority="527" operator="equal">
      <formula>"NOK"</formula>
    </cfRule>
    <cfRule type="cellIs" dxfId="867" priority="528" operator="equal">
      <formula>"OK"</formula>
    </cfRule>
  </conditionalFormatting>
  <conditionalFormatting sqref="C89">
    <cfRule type="cellIs" dxfId="866" priority="523" operator="equal">
      <formula>"NR"</formula>
    </cfRule>
    <cfRule type="cellIs" dxfId="865" priority="524" operator="equal">
      <formula>"NOK"</formula>
    </cfRule>
    <cfRule type="cellIs" dxfId="864" priority="525" operator="equal">
      <formula>"OK"</formula>
    </cfRule>
  </conditionalFormatting>
  <conditionalFormatting sqref="C107">
    <cfRule type="cellIs" dxfId="863" priority="520" operator="equal">
      <formula>"NR"</formula>
    </cfRule>
    <cfRule type="cellIs" dxfId="862" priority="521" operator="equal">
      <formula>"NOK"</formula>
    </cfRule>
    <cfRule type="cellIs" dxfId="861" priority="522" operator="equal">
      <formula>"OK"</formula>
    </cfRule>
  </conditionalFormatting>
  <conditionalFormatting sqref="C126">
    <cfRule type="cellIs" dxfId="860" priority="517" operator="equal">
      <formula>"NR"</formula>
    </cfRule>
    <cfRule type="cellIs" dxfId="859" priority="518" operator="equal">
      <formula>"NOK"</formula>
    </cfRule>
    <cfRule type="cellIs" dxfId="858" priority="519" operator="equal">
      <formula>"OK"</formula>
    </cfRule>
  </conditionalFormatting>
  <conditionalFormatting sqref="C145">
    <cfRule type="cellIs" dxfId="857" priority="514" operator="equal">
      <formula>"NR"</formula>
    </cfRule>
    <cfRule type="cellIs" dxfId="856" priority="515" operator="equal">
      <formula>"NOK"</formula>
    </cfRule>
    <cfRule type="cellIs" dxfId="855" priority="516" operator="equal">
      <formula>"OK"</formula>
    </cfRule>
  </conditionalFormatting>
  <conditionalFormatting sqref="C163">
    <cfRule type="cellIs" dxfId="854" priority="511" operator="equal">
      <formula>"NR"</formula>
    </cfRule>
    <cfRule type="cellIs" dxfId="853" priority="512" operator="equal">
      <formula>"NOK"</formula>
    </cfRule>
    <cfRule type="cellIs" dxfId="852" priority="513" operator="equal">
      <formula>"OK"</formula>
    </cfRule>
  </conditionalFormatting>
  <conditionalFormatting sqref="C181">
    <cfRule type="cellIs" dxfId="851" priority="508" operator="equal">
      <formula>"NR"</formula>
    </cfRule>
    <cfRule type="cellIs" dxfId="850" priority="509" operator="equal">
      <formula>"NOK"</formula>
    </cfRule>
    <cfRule type="cellIs" dxfId="849" priority="510" operator="equal">
      <formula>"OK"</formula>
    </cfRule>
  </conditionalFormatting>
  <conditionalFormatting sqref="C199">
    <cfRule type="cellIs" dxfId="848" priority="505" operator="equal">
      <formula>"NR"</formula>
    </cfRule>
    <cfRule type="cellIs" dxfId="847" priority="506" operator="equal">
      <formula>"NOK"</formula>
    </cfRule>
    <cfRule type="cellIs" dxfId="846" priority="507" operator="equal">
      <formula>"OK"</formula>
    </cfRule>
  </conditionalFormatting>
  <conditionalFormatting sqref="C217">
    <cfRule type="cellIs" dxfId="845" priority="502" operator="equal">
      <formula>"NR"</formula>
    </cfRule>
    <cfRule type="cellIs" dxfId="844" priority="503" operator="equal">
      <formula>"NOK"</formula>
    </cfRule>
    <cfRule type="cellIs" dxfId="843" priority="504" operator="equal">
      <formula>"OK"</formula>
    </cfRule>
  </conditionalFormatting>
  <conditionalFormatting sqref="C235">
    <cfRule type="cellIs" dxfId="842" priority="499" operator="equal">
      <formula>"NR"</formula>
    </cfRule>
    <cfRule type="cellIs" dxfId="841" priority="500" operator="equal">
      <formula>"NOK"</formula>
    </cfRule>
    <cfRule type="cellIs" dxfId="840" priority="501" operator="equal">
      <formula>"OK"</formula>
    </cfRule>
  </conditionalFormatting>
  <conditionalFormatting sqref="C253">
    <cfRule type="cellIs" dxfId="839" priority="496" operator="equal">
      <formula>"NR"</formula>
    </cfRule>
    <cfRule type="cellIs" dxfId="838" priority="497" operator="equal">
      <formula>"NOK"</formula>
    </cfRule>
    <cfRule type="cellIs" dxfId="837" priority="498" operator="equal">
      <formula>"OK"</formula>
    </cfRule>
  </conditionalFormatting>
  <conditionalFormatting sqref="C271">
    <cfRule type="cellIs" dxfId="836" priority="493" operator="equal">
      <formula>"NR"</formula>
    </cfRule>
    <cfRule type="cellIs" dxfId="835" priority="494" operator="equal">
      <formula>"NOK"</formula>
    </cfRule>
    <cfRule type="cellIs" dxfId="834" priority="495" operator="equal">
      <formula>"OK"</formula>
    </cfRule>
  </conditionalFormatting>
  <conditionalFormatting sqref="C32">
    <cfRule type="cellIs" dxfId="833" priority="490" operator="equal">
      <formula>"NR"</formula>
    </cfRule>
    <cfRule type="cellIs" dxfId="832" priority="491" operator="equal">
      <formula>"NOK"</formula>
    </cfRule>
    <cfRule type="cellIs" dxfId="831" priority="492" operator="equal">
      <formula>"OK"</formula>
    </cfRule>
  </conditionalFormatting>
  <conditionalFormatting sqref="C50">
    <cfRule type="cellIs" dxfId="830" priority="487" operator="equal">
      <formula>"NR"</formula>
    </cfRule>
    <cfRule type="cellIs" dxfId="829" priority="488" operator="equal">
      <formula>"NOK"</formula>
    </cfRule>
    <cfRule type="cellIs" dxfId="828" priority="489" operator="equal">
      <formula>"OK"</formula>
    </cfRule>
  </conditionalFormatting>
  <conditionalFormatting sqref="C68">
    <cfRule type="cellIs" dxfId="827" priority="484" operator="equal">
      <formula>"NR"</formula>
    </cfRule>
    <cfRule type="cellIs" dxfId="826" priority="485" operator="equal">
      <formula>"NOK"</formula>
    </cfRule>
    <cfRule type="cellIs" dxfId="825" priority="486" operator="equal">
      <formula>"OK"</formula>
    </cfRule>
  </conditionalFormatting>
  <conditionalFormatting sqref="C86">
    <cfRule type="cellIs" dxfId="824" priority="481" operator="equal">
      <formula>"NR"</formula>
    </cfRule>
    <cfRule type="cellIs" dxfId="823" priority="482" operator="equal">
      <formula>"NOK"</formula>
    </cfRule>
    <cfRule type="cellIs" dxfId="822" priority="483" operator="equal">
      <formula>"OK"</formula>
    </cfRule>
  </conditionalFormatting>
  <conditionalFormatting sqref="C104">
    <cfRule type="cellIs" dxfId="821" priority="478" operator="equal">
      <formula>"NR"</formula>
    </cfRule>
    <cfRule type="cellIs" dxfId="820" priority="479" operator="equal">
      <formula>"NOK"</formula>
    </cfRule>
    <cfRule type="cellIs" dxfId="819" priority="480" operator="equal">
      <formula>"OK"</formula>
    </cfRule>
  </conditionalFormatting>
  <conditionalFormatting sqref="C123">
    <cfRule type="cellIs" dxfId="818" priority="475" operator="equal">
      <formula>"NR"</formula>
    </cfRule>
    <cfRule type="cellIs" dxfId="817" priority="476" operator="equal">
      <formula>"NOK"</formula>
    </cfRule>
    <cfRule type="cellIs" dxfId="816" priority="477" operator="equal">
      <formula>"OK"</formula>
    </cfRule>
  </conditionalFormatting>
  <conditionalFormatting sqref="C142">
    <cfRule type="cellIs" dxfId="815" priority="472" operator="equal">
      <formula>"NR"</formula>
    </cfRule>
    <cfRule type="cellIs" dxfId="814" priority="473" operator="equal">
      <formula>"NOK"</formula>
    </cfRule>
    <cfRule type="cellIs" dxfId="813" priority="474" operator="equal">
      <formula>"OK"</formula>
    </cfRule>
  </conditionalFormatting>
  <conditionalFormatting sqref="C160">
    <cfRule type="cellIs" dxfId="812" priority="469" operator="equal">
      <formula>"NR"</formula>
    </cfRule>
    <cfRule type="cellIs" dxfId="811" priority="470" operator="equal">
      <formula>"NOK"</formula>
    </cfRule>
    <cfRule type="cellIs" dxfId="810" priority="471" operator="equal">
      <formula>"OK"</formula>
    </cfRule>
  </conditionalFormatting>
  <conditionalFormatting sqref="C178">
    <cfRule type="cellIs" dxfId="809" priority="466" operator="equal">
      <formula>"NR"</formula>
    </cfRule>
    <cfRule type="cellIs" dxfId="808" priority="467" operator="equal">
      <formula>"NOK"</formula>
    </cfRule>
    <cfRule type="cellIs" dxfId="807" priority="468" operator="equal">
      <formula>"OK"</formula>
    </cfRule>
  </conditionalFormatting>
  <conditionalFormatting sqref="C196">
    <cfRule type="cellIs" dxfId="806" priority="463" operator="equal">
      <formula>"NR"</formula>
    </cfRule>
    <cfRule type="cellIs" dxfId="805" priority="464" operator="equal">
      <formula>"NOK"</formula>
    </cfRule>
    <cfRule type="cellIs" dxfId="804" priority="465" operator="equal">
      <formula>"OK"</formula>
    </cfRule>
  </conditionalFormatting>
  <conditionalFormatting sqref="C214">
    <cfRule type="cellIs" dxfId="803" priority="460" operator="equal">
      <formula>"NR"</formula>
    </cfRule>
    <cfRule type="cellIs" dxfId="802" priority="461" operator="equal">
      <formula>"NOK"</formula>
    </cfRule>
    <cfRule type="cellIs" dxfId="801" priority="462" operator="equal">
      <formula>"OK"</formula>
    </cfRule>
  </conditionalFormatting>
  <conditionalFormatting sqref="C232">
    <cfRule type="cellIs" dxfId="800" priority="457" operator="equal">
      <formula>"NR"</formula>
    </cfRule>
    <cfRule type="cellIs" dxfId="799" priority="458" operator="equal">
      <formula>"NOK"</formula>
    </cfRule>
    <cfRule type="cellIs" dxfId="798" priority="459" operator="equal">
      <formula>"OK"</formula>
    </cfRule>
  </conditionalFormatting>
  <conditionalFormatting sqref="C250">
    <cfRule type="cellIs" dxfId="797" priority="454" operator="equal">
      <formula>"NR"</formula>
    </cfRule>
    <cfRule type="cellIs" dxfId="796" priority="455" operator="equal">
      <formula>"NOK"</formula>
    </cfRule>
    <cfRule type="cellIs" dxfId="795" priority="456" operator="equal">
      <formula>"OK"</formula>
    </cfRule>
  </conditionalFormatting>
  <conditionalFormatting sqref="C268">
    <cfRule type="cellIs" dxfId="794" priority="451" operator="equal">
      <formula>"NR"</formula>
    </cfRule>
    <cfRule type="cellIs" dxfId="793" priority="452" operator="equal">
      <formula>"NOK"</formula>
    </cfRule>
    <cfRule type="cellIs" dxfId="792" priority="453" operator="equal">
      <formula>"OK"</formula>
    </cfRule>
  </conditionalFormatting>
  <conditionalFormatting sqref="C36">
    <cfRule type="cellIs" dxfId="791" priority="448" operator="equal">
      <formula>"NR"</formula>
    </cfRule>
    <cfRule type="cellIs" dxfId="790" priority="449" operator="equal">
      <formula>"NOK"</formula>
    </cfRule>
    <cfRule type="cellIs" dxfId="789" priority="450" operator="equal">
      <formula>"OK"</formula>
    </cfRule>
  </conditionalFormatting>
  <conditionalFormatting sqref="C54">
    <cfRule type="cellIs" dxfId="788" priority="445" operator="equal">
      <formula>"NR"</formula>
    </cfRule>
    <cfRule type="cellIs" dxfId="787" priority="446" operator="equal">
      <formula>"NOK"</formula>
    </cfRule>
    <cfRule type="cellIs" dxfId="786" priority="447" operator="equal">
      <formula>"OK"</formula>
    </cfRule>
  </conditionalFormatting>
  <conditionalFormatting sqref="C72">
    <cfRule type="cellIs" dxfId="785" priority="442" operator="equal">
      <formula>"NR"</formula>
    </cfRule>
    <cfRule type="cellIs" dxfId="784" priority="443" operator="equal">
      <formula>"NOK"</formula>
    </cfRule>
    <cfRule type="cellIs" dxfId="783" priority="444" operator="equal">
      <formula>"OK"</formula>
    </cfRule>
  </conditionalFormatting>
  <conditionalFormatting sqref="C90">
    <cfRule type="cellIs" dxfId="782" priority="439" operator="equal">
      <formula>"NR"</formula>
    </cfRule>
    <cfRule type="cellIs" dxfId="781" priority="440" operator="equal">
      <formula>"NOK"</formula>
    </cfRule>
    <cfRule type="cellIs" dxfId="780" priority="441" operator="equal">
      <formula>"OK"</formula>
    </cfRule>
  </conditionalFormatting>
  <conditionalFormatting sqref="C108">
    <cfRule type="cellIs" dxfId="779" priority="436" operator="equal">
      <formula>"NR"</formula>
    </cfRule>
    <cfRule type="cellIs" dxfId="778" priority="437" operator="equal">
      <formula>"NOK"</formula>
    </cfRule>
    <cfRule type="cellIs" dxfId="777" priority="438" operator="equal">
      <formula>"OK"</formula>
    </cfRule>
  </conditionalFormatting>
  <conditionalFormatting sqref="C127">
    <cfRule type="cellIs" dxfId="776" priority="433" operator="equal">
      <formula>"NR"</formula>
    </cfRule>
    <cfRule type="cellIs" dxfId="775" priority="434" operator="equal">
      <formula>"NOK"</formula>
    </cfRule>
    <cfRule type="cellIs" dxfId="774" priority="435" operator="equal">
      <formula>"OK"</formula>
    </cfRule>
  </conditionalFormatting>
  <conditionalFormatting sqref="C146">
    <cfRule type="cellIs" dxfId="773" priority="430" operator="equal">
      <formula>"NR"</formula>
    </cfRule>
    <cfRule type="cellIs" dxfId="772" priority="431" operator="equal">
      <formula>"NOK"</formula>
    </cfRule>
    <cfRule type="cellIs" dxfId="771" priority="432" operator="equal">
      <formula>"OK"</formula>
    </cfRule>
  </conditionalFormatting>
  <conditionalFormatting sqref="C164">
    <cfRule type="cellIs" dxfId="770" priority="427" operator="equal">
      <formula>"NR"</formula>
    </cfRule>
    <cfRule type="cellIs" dxfId="769" priority="428" operator="equal">
      <formula>"NOK"</formula>
    </cfRule>
    <cfRule type="cellIs" dxfId="768" priority="429" operator="equal">
      <formula>"OK"</formula>
    </cfRule>
  </conditionalFormatting>
  <conditionalFormatting sqref="C182">
    <cfRule type="cellIs" dxfId="767" priority="424" operator="equal">
      <formula>"NR"</formula>
    </cfRule>
    <cfRule type="cellIs" dxfId="766" priority="425" operator="equal">
      <formula>"NOK"</formula>
    </cfRule>
    <cfRule type="cellIs" dxfId="765" priority="426" operator="equal">
      <formula>"OK"</formula>
    </cfRule>
  </conditionalFormatting>
  <conditionalFormatting sqref="C200">
    <cfRule type="cellIs" dxfId="764" priority="421" operator="equal">
      <formula>"NR"</formula>
    </cfRule>
    <cfRule type="cellIs" dxfId="763" priority="422" operator="equal">
      <formula>"NOK"</formula>
    </cfRule>
    <cfRule type="cellIs" dxfId="762" priority="423" operator="equal">
      <formula>"OK"</formula>
    </cfRule>
  </conditionalFormatting>
  <conditionalFormatting sqref="C218">
    <cfRule type="cellIs" dxfId="761" priority="418" operator="equal">
      <formula>"NR"</formula>
    </cfRule>
    <cfRule type="cellIs" dxfId="760" priority="419" operator="equal">
      <formula>"NOK"</formula>
    </cfRule>
    <cfRule type="cellIs" dxfId="759" priority="420" operator="equal">
      <formula>"OK"</formula>
    </cfRule>
  </conditionalFormatting>
  <conditionalFormatting sqref="C236">
    <cfRule type="cellIs" dxfId="758" priority="415" operator="equal">
      <formula>"NR"</formula>
    </cfRule>
    <cfRule type="cellIs" dxfId="757" priority="416" operator="equal">
      <formula>"NOK"</formula>
    </cfRule>
    <cfRule type="cellIs" dxfId="756" priority="417" operator="equal">
      <formula>"OK"</formula>
    </cfRule>
  </conditionalFormatting>
  <conditionalFormatting sqref="C254">
    <cfRule type="cellIs" dxfId="755" priority="412" operator="equal">
      <formula>"NR"</formula>
    </cfRule>
    <cfRule type="cellIs" dxfId="754" priority="413" operator="equal">
      <formula>"NOK"</formula>
    </cfRule>
    <cfRule type="cellIs" dxfId="753" priority="414" operator="equal">
      <formula>"OK"</formula>
    </cfRule>
  </conditionalFormatting>
  <conditionalFormatting sqref="C272">
    <cfRule type="cellIs" dxfId="752" priority="409" operator="equal">
      <formula>"NR"</formula>
    </cfRule>
    <cfRule type="cellIs" dxfId="751" priority="410" operator="equal">
      <formula>"NOK"</formula>
    </cfRule>
    <cfRule type="cellIs" dxfId="750" priority="411" operator="equal">
      <formula>"OK"</formula>
    </cfRule>
  </conditionalFormatting>
  <conditionalFormatting sqref="C33">
    <cfRule type="cellIs" dxfId="749" priority="406" operator="equal">
      <formula>"NR"</formula>
    </cfRule>
    <cfRule type="cellIs" dxfId="748" priority="407" operator="equal">
      <formula>"NOK"</formula>
    </cfRule>
    <cfRule type="cellIs" dxfId="747" priority="408" operator="equal">
      <formula>"OK"</formula>
    </cfRule>
  </conditionalFormatting>
  <conditionalFormatting sqref="C51">
    <cfRule type="cellIs" dxfId="746" priority="403" operator="equal">
      <formula>"NR"</formula>
    </cfRule>
    <cfRule type="cellIs" dxfId="745" priority="404" operator="equal">
      <formula>"NOK"</formula>
    </cfRule>
    <cfRule type="cellIs" dxfId="744" priority="405" operator="equal">
      <formula>"OK"</formula>
    </cfRule>
  </conditionalFormatting>
  <conditionalFormatting sqref="C69">
    <cfRule type="cellIs" dxfId="743" priority="400" operator="equal">
      <formula>"NR"</formula>
    </cfRule>
    <cfRule type="cellIs" dxfId="742" priority="401" operator="equal">
      <formula>"NOK"</formula>
    </cfRule>
    <cfRule type="cellIs" dxfId="741" priority="402" operator="equal">
      <formula>"OK"</formula>
    </cfRule>
  </conditionalFormatting>
  <conditionalFormatting sqref="C87">
    <cfRule type="cellIs" dxfId="740" priority="397" operator="equal">
      <formula>"NR"</formula>
    </cfRule>
    <cfRule type="cellIs" dxfId="739" priority="398" operator="equal">
      <formula>"NOK"</formula>
    </cfRule>
    <cfRule type="cellIs" dxfId="738" priority="399" operator="equal">
      <formula>"OK"</formula>
    </cfRule>
  </conditionalFormatting>
  <conditionalFormatting sqref="C105">
    <cfRule type="cellIs" dxfId="737" priority="394" operator="equal">
      <formula>"NR"</formula>
    </cfRule>
    <cfRule type="cellIs" dxfId="736" priority="395" operator="equal">
      <formula>"NOK"</formula>
    </cfRule>
    <cfRule type="cellIs" dxfId="735" priority="396" operator="equal">
      <formula>"OK"</formula>
    </cfRule>
  </conditionalFormatting>
  <conditionalFormatting sqref="C124">
    <cfRule type="cellIs" dxfId="734" priority="391" operator="equal">
      <formula>"NR"</formula>
    </cfRule>
    <cfRule type="cellIs" dxfId="733" priority="392" operator="equal">
      <formula>"NOK"</formula>
    </cfRule>
    <cfRule type="cellIs" dxfId="732" priority="393" operator="equal">
      <formula>"OK"</formula>
    </cfRule>
  </conditionalFormatting>
  <conditionalFormatting sqref="C143">
    <cfRule type="cellIs" dxfId="731" priority="388" operator="equal">
      <formula>"NR"</formula>
    </cfRule>
    <cfRule type="cellIs" dxfId="730" priority="389" operator="equal">
      <formula>"NOK"</formula>
    </cfRule>
    <cfRule type="cellIs" dxfId="729" priority="390" operator="equal">
      <formula>"OK"</formula>
    </cfRule>
  </conditionalFormatting>
  <conditionalFormatting sqref="C161">
    <cfRule type="cellIs" dxfId="728" priority="385" operator="equal">
      <formula>"NR"</formula>
    </cfRule>
    <cfRule type="cellIs" dxfId="727" priority="386" operator="equal">
      <formula>"NOK"</formula>
    </cfRule>
    <cfRule type="cellIs" dxfId="726" priority="387" operator="equal">
      <formula>"OK"</formula>
    </cfRule>
  </conditionalFormatting>
  <conditionalFormatting sqref="C179">
    <cfRule type="cellIs" dxfId="725" priority="382" operator="equal">
      <formula>"NR"</formula>
    </cfRule>
    <cfRule type="cellIs" dxfId="724" priority="383" operator="equal">
      <formula>"NOK"</formula>
    </cfRule>
    <cfRule type="cellIs" dxfId="723" priority="384" operator="equal">
      <formula>"OK"</formula>
    </cfRule>
  </conditionalFormatting>
  <conditionalFormatting sqref="C197">
    <cfRule type="cellIs" dxfId="722" priority="379" operator="equal">
      <formula>"NR"</formula>
    </cfRule>
    <cfRule type="cellIs" dxfId="721" priority="380" operator="equal">
      <formula>"NOK"</formula>
    </cfRule>
    <cfRule type="cellIs" dxfId="720" priority="381" operator="equal">
      <formula>"OK"</formula>
    </cfRule>
  </conditionalFormatting>
  <conditionalFormatting sqref="C215">
    <cfRule type="cellIs" dxfId="719" priority="376" operator="equal">
      <formula>"NR"</formula>
    </cfRule>
    <cfRule type="cellIs" dxfId="718" priority="377" operator="equal">
      <formula>"NOK"</formula>
    </cfRule>
    <cfRule type="cellIs" dxfId="717" priority="378" operator="equal">
      <formula>"OK"</formula>
    </cfRule>
  </conditionalFormatting>
  <conditionalFormatting sqref="C233">
    <cfRule type="cellIs" dxfId="716" priority="373" operator="equal">
      <formula>"NR"</formula>
    </cfRule>
    <cfRule type="cellIs" dxfId="715" priority="374" operator="equal">
      <formula>"NOK"</formula>
    </cfRule>
    <cfRule type="cellIs" dxfId="714" priority="375" operator="equal">
      <formula>"OK"</formula>
    </cfRule>
  </conditionalFormatting>
  <conditionalFormatting sqref="C251">
    <cfRule type="cellIs" dxfId="713" priority="370" operator="equal">
      <formula>"NR"</formula>
    </cfRule>
    <cfRule type="cellIs" dxfId="712" priority="371" operator="equal">
      <formula>"NOK"</formula>
    </cfRule>
    <cfRule type="cellIs" dxfId="711" priority="372" operator="equal">
      <formula>"OK"</formula>
    </cfRule>
  </conditionalFormatting>
  <conditionalFormatting sqref="C269">
    <cfRule type="cellIs" dxfId="710" priority="367" operator="equal">
      <formula>"NR"</formula>
    </cfRule>
    <cfRule type="cellIs" dxfId="709" priority="368" operator="equal">
      <formula>"NOK"</formula>
    </cfRule>
    <cfRule type="cellIs" dxfId="708" priority="369" operator="equal">
      <formula>"OK"</formula>
    </cfRule>
  </conditionalFormatting>
  <conditionalFormatting sqref="B280">
    <cfRule type="cellIs" dxfId="707" priority="364" operator="equal">
      <formula>"NR"</formula>
    </cfRule>
    <cfRule type="cellIs" dxfId="706" priority="365" operator="equal">
      <formula>"NOK"</formula>
    </cfRule>
    <cfRule type="cellIs" dxfId="705" priority="366" operator="equal">
      <formula>"OK"</formula>
    </cfRule>
  </conditionalFormatting>
  <conditionalFormatting sqref="C19:C22">
    <cfRule type="cellIs" dxfId="704" priority="358" operator="equal">
      <formula>"NR"</formula>
    </cfRule>
    <cfRule type="cellIs" dxfId="703" priority="359" operator="equal">
      <formula>"NOK"</formula>
    </cfRule>
    <cfRule type="cellIs" dxfId="702" priority="360" operator="equal">
      <formula>"OK"</formula>
    </cfRule>
  </conditionalFormatting>
  <conditionalFormatting sqref="C37:C40">
    <cfRule type="cellIs" dxfId="701" priority="355" operator="equal">
      <formula>"NR"</formula>
    </cfRule>
    <cfRule type="cellIs" dxfId="700" priority="356" operator="equal">
      <formula>"NOK"</formula>
    </cfRule>
    <cfRule type="cellIs" dxfId="699" priority="357" operator="equal">
      <formula>"OK"</formula>
    </cfRule>
  </conditionalFormatting>
  <conditionalFormatting sqref="C55:C58">
    <cfRule type="cellIs" dxfId="698" priority="352" operator="equal">
      <formula>"NR"</formula>
    </cfRule>
    <cfRule type="cellIs" dxfId="697" priority="353" operator="equal">
      <formula>"NOK"</formula>
    </cfRule>
    <cfRule type="cellIs" dxfId="696" priority="354" operator="equal">
      <formula>"OK"</formula>
    </cfRule>
  </conditionalFormatting>
  <conditionalFormatting sqref="C73:C76">
    <cfRule type="cellIs" dxfId="695" priority="349" operator="equal">
      <formula>"NR"</formula>
    </cfRule>
    <cfRule type="cellIs" dxfId="694" priority="350" operator="equal">
      <formula>"NOK"</formula>
    </cfRule>
    <cfRule type="cellIs" dxfId="693" priority="351" operator="equal">
      <formula>"OK"</formula>
    </cfRule>
  </conditionalFormatting>
  <conditionalFormatting sqref="C91:C94">
    <cfRule type="cellIs" dxfId="692" priority="346" operator="equal">
      <formula>"NR"</formula>
    </cfRule>
    <cfRule type="cellIs" dxfId="691" priority="347" operator="equal">
      <formula>"NOK"</formula>
    </cfRule>
    <cfRule type="cellIs" dxfId="690" priority="348" operator="equal">
      <formula>"OK"</formula>
    </cfRule>
  </conditionalFormatting>
  <conditionalFormatting sqref="C109:C112">
    <cfRule type="cellIs" dxfId="689" priority="343" operator="equal">
      <formula>"NR"</formula>
    </cfRule>
    <cfRule type="cellIs" dxfId="688" priority="344" operator="equal">
      <formula>"NOK"</formula>
    </cfRule>
    <cfRule type="cellIs" dxfId="687" priority="345" operator="equal">
      <formula>"OK"</formula>
    </cfRule>
  </conditionalFormatting>
  <conditionalFormatting sqref="C128:C131">
    <cfRule type="cellIs" dxfId="686" priority="340" operator="equal">
      <formula>"NR"</formula>
    </cfRule>
    <cfRule type="cellIs" dxfId="685" priority="341" operator="equal">
      <formula>"NOK"</formula>
    </cfRule>
    <cfRule type="cellIs" dxfId="684" priority="342" operator="equal">
      <formula>"OK"</formula>
    </cfRule>
  </conditionalFormatting>
  <conditionalFormatting sqref="C147:C150">
    <cfRule type="cellIs" dxfId="683" priority="337" operator="equal">
      <formula>"NR"</formula>
    </cfRule>
    <cfRule type="cellIs" dxfId="682" priority="338" operator="equal">
      <formula>"NOK"</formula>
    </cfRule>
    <cfRule type="cellIs" dxfId="681" priority="339" operator="equal">
      <formula>"OK"</formula>
    </cfRule>
  </conditionalFormatting>
  <conditionalFormatting sqref="C165:C168">
    <cfRule type="cellIs" dxfId="680" priority="334" operator="equal">
      <formula>"NR"</formula>
    </cfRule>
    <cfRule type="cellIs" dxfId="679" priority="335" operator="equal">
      <formula>"NOK"</formula>
    </cfRule>
    <cfRule type="cellIs" dxfId="678" priority="336" operator="equal">
      <formula>"OK"</formula>
    </cfRule>
  </conditionalFormatting>
  <conditionalFormatting sqref="C183:C186">
    <cfRule type="cellIs" dxfId="677" priority="331" operator="equal">
      <formula>"NR"</formula>
    </cfRule>
    <cfRule type="cellIs" dxfId="676" priority="332" operator="equal">
      <formula>"NOK"</formula>
    </cfRule>
    <cfRule type="cellIs" dxfId="675" priority="333" operator="equal">
      <formula>"OK"</formula>
    </cfRule>
  </conditionalFormatting>
  <conditionalFormatting sqref="C201:C204">
    <cfRule type="cellIs" dxfId="674" priority="328" operator="equal">
      <formula>"NR"</formula>
    </cfRule>
    <cfRule type="cellIs" dxfId="673" priority="329" operator="equal">
      <formula>"NOK"</formula>
    </cfRule>
    <cfRule type="cellIs" dxfId="672" priority="330" operator="equal">
      <formula>"OK"</formula>
    </cfRule>
  </conditionalFormatting>
  <conditionalFormatting sqref="C219:C222">
    <cfRule type="cellIs" dxfId="671" priority="325" operator="equal">
      <formula>"NR"</formula>
    </cfRule>
    <cfRule type="cellIs" dxfId="670" priority="326" operator="equal">
      <formula>"NOK"</formula>
    </cfRule>
    <cfRule type="cellIs" dxfId="669" priority="327" operator="equal">
      <formula>"OK"</formula>
    </cfRule>
  </conditionalFormatting>
  <conditionalFormatting sqref="C237:C240">
    <cfRule type="cellIs" dxfId="668" priority="322" operator="equal">
      <formula>"NR"</formula>
    </cfRule>
    <cfRule type="cellIs" dxfId="667" priority="323" operator="equal">
      <formula>"NOK"</formula>
    </cfRule>
    <cfRule type="cellIs" dxfId="666" priority="324" operator="equal">
      <formula>"OK"</formula>
    </cfRule>
  </conditionalFormatting>
  <conditionalFormatting sqref="C255:C258">
    <cfRule type="cellIs" dxfId="665" priority="319" operator="equal">
      <formula>"NR"</formula>
    </cfRule>
    <cfRule type="cellIs" dxfId="664" priority="320" operator="equal">
      <formula>"NOK"</formula>
    </cfRule>
    <cfRule type="cellIs" dxfId="663" priority="321" operator="equal">
      <formula>"OK"</formula>
    </cfRule>
  </conditionalFormatting>
  <conditionalFormatting sqref="C273:C276">
    <cfRule type="cellIs" dxfId="662" priority="316" operator="equal">
      <formula>"NR"</formula>
    </cfRule>
    <cfRule type="cellIs" dxfId="661" priority="317" operator="equal">
      <formula>"NOK"</formula>
    </cfRule>
    <cfRule type="cellIs" dxfId="660" priority="318" operator="equal">
      <formula>"OK"</formula>
    </cfRule>
  </conditionalFormatting>
  <conditionalFormatting sqref="C295:C296">
    <cfRule type="cellIs" dxfId="659" priority="292" operator="equal">
      <formula>"NR"</formula>
    </cfRule>
    <cfRule type="cellIs" dxfId="658" priority="293" operator="equal">
      <formula>"NOK"</formula>
    </cfRule>
    <cfRule type="cellIs" dxfId="657" priority="294" operator="equal">
      <formula>"OK"</formula>
    </cfRule>
  </conditionalFormatting>
  <conditionalFormatting sqref="C288">
    <cfRule type="cellIs" dxfId="656" priority="289" operator="equal">
      <formula>"NR"</formula>
    </cfRule>
    <cfRule type="cellIs" dxfId="655" priority="290" operator="equal">
      <formula>"NOK"</formula>
    </cfRule>
    <cfRule type="cellIs" dxfId="654" priority="291" operator="equal">
      <formula>"OK"</formula>
    </cfRule>
  </conditionalFormatting>
  <conditionalFormatting sqref="C281">
    <cfRule type="cellIs" dxfId="653" priority="286" operator="equal">
      <formula>"NR"</formula>
    </cfRule>
    <cfRule type="cellIs" dxfId="652" priority="287" operator="equal">
      <formula>"NOK"</formula>
    </cfRule>
    <cfRule type="cellIs" dxfId="651" priority="288" operator="equal">
      <formula>"OK"</formula>
    </cfRule>
  </conditionalFormatting>
  <conditionalFormatting sqref="C282">
    <cfRule type="cellIs" dxfId="650" priority="280" operator="equal">
      <formula>"NR"</formula>
    </cfRule>
    <cfRule type="cellIs" dxfId="649" priority="281" operator="equal">
      <formula>"NOK"</formula>
    </cfRule>
    <cfRule type="cellIs" dxfId="648" priority="282" operator="equal">
      <formula>"OK"</formula>
    </cfRule>
  </conditionalFormatting>
  <conditionalFormatting sqref="C283:C284">
    <cfRule type="cellIs" dxfId="647" priority="277" operator="equal">
      <formula>"NR"</formula>
    </cfRule>
    <cfRule type="cellIs" dxfId="646" priority="278" operator="equal">
      <formula>"NOK"</formula>
    </cfRule>
    <cfRule type="cellIs" dxfId="645" priority="279" operator="equal">
      <formula>"OK"</formula>
    </cfRule>
  </conditionalFormatting>
  <conditionalFormatting sqref="C285">
    <cfRule type="cellIs" dxfId="644" priority="274" operator="equal">
      <formula>"NR"</formula>
    </cfRule>
    <cfRule type="cellIs" dxfId="643" priority="275" operator="equal">
      <formula>"NOK"</formula>
    </cfRule>
    <cfRule type="cellIs" dxfId="642" priority="276" operator="equal">
      <formula>"OK"</formula>
    </cfRule>
  </conditionalFormatting>
  <conditionalFormatting sqref="C289">
    <cfRule type="cellIs" dxfId="641" priority="271" operator="equal">
      <formula>"NR"</formula>
    </cfRule>
    <cfRule type="cellIs" dxfId="640" priority="272" operator="equal">
      <formula>"NOK"</formula>
    </cfRule>
    <cfRule type="cellIs" dxfId="639" priority="273" operator="equal">
      <formula>"OK"</formula>
    </cfRule>
  </conditionalFormatting>
  <conditionalFormatting sqref="C286">
    <cfRule type="cellIs" dxfId="638" priority="268" operator="equal">
      <formula>"NR"</formula>
    </cfRule>
    <cfRule type="cellIs" dxfId="637" priority="269" operator="equal">
      <formula>"NOK"</formula>
    </cfRule>
    <cfRule type="cellIs" dxfId="636" priority="270" operator="equal">
      <formula>"OK"</formula>
    </cfRule>
  </conditionalFormatting>
  <conditionalFormatting sqref="C290">
    <cfRule type="cellIs" dxfId="635" priority="265" operator="equal">
      <formula>"NR"</formula>
    </cfRule>
    <cfRule type="cellIs" dxfId="634" priority="266" operator="equal">
      <formula>"NOK"</formula>
    </cfRule>
    <cfRule type="cellIs" dxfId="633" priority="267" operator="equal">
      <formula>"OK"</formula>
    </cfRule>
  </conditionalFormatting>
  <conditionalFormatting sqref="C287">
    <cfRule type="cellIs" dxfId="632" priority="262" operator="equal">
      <formula>"NR"</formula>
    </cfRule>
    <cfRule type="cellIs" dxfId="631" priority="263" operator="equal">
      <formula>"NOK"</formula>
    </cfRule>
    <cfRule type="cellIs" dxfId="630" priority="264" operator="equal">
      <formula>"OK"</formula>
    </cfRule>
  </conditionalFormatting>
  <conditionalFormatting sqref="C291:C294">
    <cfRule type="cellIs" dxfId="629" priority="259" operator="equal">
      <formula>"NR"</formula>
    </cfRule>
    <cfRule type="cellIs" dxfId="628" priority="260" operator="equal">
      <formula>"NOK"</formula>
    </cfRule>
    <cfRule type="cellIs" dxfId="627" priority="261" operator="equal">
      <formula>"OK"</formula>
    </cfRule>
  </conditionalFormatting>
  <conditionalFormatting sqref="B298">
    <cfRule type="cellIs" dxfId="626" priority="256" operator="equal">
      <formula>"NR"</formula>
    </cfRule>
    <cfRule type="cellIs" dxfId="625" priority="257" operator="equal">
      <formula>"NOK"</formula>
    </cfRule>
    <cfRule type="cellIs" dxfId="624" priority="258" operator="equal">
      <formula>"OK"</formula>
    </cfRule>
  </conditionalFormatting>
  <conditionalFormatting sqref="C313:C314">
    <cfRule type="cellIs" dxfId="623" priority="253" operator="equal">
      <formula>"NR"</formula>
    </cfRule>
    <cfRule type="cellIs" dxfId="622" priority="254" operator="equal">
      <formula>"NOK"</formula>
    </cfRule>
    <cfRule type="cellIs" dxfId="621" priority="255" operator="equal">
      <formula>"OK"</formula>
    </cfRule>
  </conditionalFormatting>
  <conditionalFormatting sqref="C306">
    <cfRule type="cellIs" dxfId="620" priority="250" operator="equal">
      <formula>"NR"</formula>
    </cfRule>
    <cfRule type="cellIs" dxfId="619" priority="251" operator="equal">
      <formula>"NOK"</formula>
    </cfRule>
    <cfRule type="cellIs" dxfId="618" priority="252" operator="equal">
      <formula>"OK"</formula>
    </cfRule>
  </conditionalFormatting>
  <conditionalFormatting sqref="C299">
    <cfRule type="cellIs" dxfId="617" priority="247" operator="equal">
      <formula>"NR"</formula>
    </cfRule>
    <cfRule type="cellIs" dxfId="616" priority="248" operator="equal">
      <formula>"NOK"</formula>
    </cfRule>
    <cfRule type="cellIs" dxfId="615" priority="249" operator="equal">
      <formula>"OK"</formula>
    </cfRule>
  </conditionalFormatting>
  <conditionalFormatting sqref="C300">
    <cfRule type="cellIs" dxfId="614" priority="241" operator="equal">
      <formula>"NR"</formula>
    </cfRule>
    <cfRule type="cellIs" dxfId="613" priority="242" operator="equal">
      <formula>"NOK"</formula>
    </cfRule>
    <cfRule type="cellIs" dxfId="612" priority="243" operator="equal">
      <formula>"OK"</formula>
    </cfRule>
  </conditionalFormatting>
  <conditionalFormatting sqref="C301:C302">
    <cfRule type="cellIs" dxfId="611" priority="238" operator="equal">
      <formula>"NR"</formula>
    </cfRule>
    <cfRule type="cellIs" dxfId="610" priority="239" operator="equal">
      <formula>"NOK"</formula>
    </cfRule>
    <cfRule type="cellIs" dxfId="609" priority="240" operator="equal">
      <formula>"OK"</formula>
    </cfRule>
  </conditionalFormatting>
  <conditionalFormatting sqref="C303">
    <cfRule type="cellIs" dxfId="608" priority="235" operator="equal">
      <formula>"NR"</formula>
    </cfRule>
    <cfRule type="cellIs" dxfId="607" priority="236" operator="equal">
      <formula>"NOK"</formula>
    </cfRule>
    <cfRule type="cellIs" dxfId="606" priority="237" operator="equal">
      <formula>"OK"</formula>
    </cfRule>
  </conditionalFormatting>
  <conditionalFormatting sqref="C307">
    <cfRule type="cellIs" dxfId="605" priority="232" operator="equal">
      <formula>"NR"</formula>
    </cfRule>
    <cfRule type="cellIs" dxfId="604" priority="233" operator="equal">
      <formula>"NOK"</formula>
    </cfRule>
    <cfRule type="cellIs" dxfId="603" priority="234" operator="equal">
      <formula>"OK"</formula>
    </cfRule>
  </conditionalFormatting>
  <conditionalFormatting sqref="C304">
    <cfRule type="cellIs" dxfId="602" priority="229" operator="equal">
      <formula>"NR"</formula>
    </cfRule>
    <cfRule type="cellIs" dxfId="601" priority="230" operator="equal">
      <formula>"NOK"</formula>
    </cfRule>
    <cfRule type="cellIs" dxfId="600" priority="231" operator="equal">
      <formula>"OK"</formula>
    </cfRule>
  </conditionalFormatting>
  <conditionalFormatting sqref="C308">
    <cfRule type="cellIs" dxfId="599" priority="226" operator="equal">
      <formula>"NR"</formula>
    </cfRule>
    <cfRule type="cellIs" dxfId="598" priority="227" operator="equal">
      <formula>"NOK"</formula>
    </cfRule>
    <cfRule type="cellIs" dxfId="597" priority="228" operator="equal">
      <formula>"OK"</formula>
    </cfRule>
  </conditionalFormatting>
  <conditionalFormatting sqref="C305">
    <cfRule type="cellIs" dxfId="596" priority="223" operator="equal">
      <formula>"NR"</formula>
    </cfRule>
    <cfRule type="cellIs" dxfId="595" priority="224" operator="equal">
      <formula>"NOK"</formula>
    </cfRule>
    <cfRule type="cellIs" dxfId="594" priority="225" operator="equal">
      <formula>"OK"</formula>
    </cfRule>
  </conditionalFormatting>
  <conditionalFormatting sqref="C309:C312">
    <cfRule type="cellIs" dxfId="593" priority="220" operator="equal">
      <formula>"NR"</formula>
    </cfRule>
    <cfRule type="cellIs" dxfId="592" priority="221" operator="equal">
      <formula>"NOK"</formula>
    </cfRule>
    <cfRule type="cellIs" dxfId="591" priority="222" operator="equal">
      <formula>"OK"</formula>
    </cfRule>
  </conditionalFormatting>
  <conditionalFormatting sqref="B316">
    <cfRule type="cellIs" dxfId="590" priority="217" operator="equal">
      <formula>"NR"</formula>
    </cfRule>
    <cfRule type="cellIs" dxfId="589" priority="218" operator="equal">
      <formula>"NOK"</formula>
    </cfRule>
    <cfRule type="cellIs" dxfId="588" priority="219" operator="equal">
      <formula>"OK"</formula>
    </cfRule>
  </conditionalFormatting>
  <conditionalFormatting sqref="C331:C332">
    <cfRule type="cellIs" dxfId="587" priority="214" operator="equal">
      <formula>"NR"</formula>
    </cfRule>
    <cfRule type="cellIs" dxfId="586" priority="215" operator="equal">
      <formula>"NOK"</formula>
    </cfRule>
    <cfRule type="cellIs" dxfId="585" priority="216" operator="equal">
      <formula>"OK"</formula>
    </cfRule>
  </conditionalFormatting>
  <conditionalFormatting sqref="C324">
    <cfRule type="cellIs" dxfId="584" priority="211" operator="equal">
      <formula>"NR"</formula>
    </cfRule>
    <cfRule type="cellIs" dxfId="583" priority="212" operator="equal">
      <formula>"NOK"</formula>
    </cfRule>
    <cfRule type="cellIs" dxfId="582" priority="213" operator="equal">
      <formula>"OK"</formula>
    </cfRule>
  </conditionalFormatting>
  <conditionalFormatting sqref="C317">
    <cfRule type="cellIs" dxfId="581" priority="208" operator="equal">
      <formula>"NR"</formula>
    </cfRule>
    <cfRule type="cellIs" dxfId="580" priority="209" operator="equal">
      <formula>"NOK"</formula>
    </cfRule>
    <cfRule type="cellIs" dxfId="579" priority="210" operator="equal">
      <formula>"OK"</formula>
    </cfRule>
  </conditionalFormatting>
  <conditionalFormatting sqref="C318">
    <cfRule type="cellIs" dxfId="578" priority="202" operator="equal">
      <formula>"NR"</formula>
    </cfRule>
    <cfRule type="cellIs" dxfId="577" priority="203" operator="equal">
      <formula>"NOK"</formula>
    </cfRule>
    <cfRule type="cellIs" dxfId="576" priority="204" operator="equal">
      <formula>"OK"</formula>
    </cfRule>
  </conditionalFormatting>
  <conditionalFormatting sqref="C319:C320">
    <cfRule type="cellIs" dxfId="575" priority="199" operator="equal">
      <formula>"NR"</formula>
    </cfRule>
    <cfRule type="cellIs" dxfId="574" priority="200" operator="equal">
      <formula>"NOK"</formula>
    </cfRule>
    <cfRule type="cellIs" dxfId="573" priority="201" operator="equal">
      <formula>"OK"</formula>
    </cfRule>
  </conditionalFormatting>
  <conditionalFormatting sqref="C321">
    <cfRule type="cellIs" dxfId="572" priority="196" operator="equal">
      <formula>"NR"</formula>
    </cfRule>
    <cfRule type="cellIs" dxfId="571" priority="197" operator="equal">
      <formula>"NOK"</formula>
    </cfRule>
    <cfRule type="cellIs" dxfId="570" priority="198" operator="equal">
      <formula>"OK"</formula>
    </cfRule>
  </conditionalFormatting>
  <conditionalFormatting sqref="C325">
    <cfRule type="cellIs" dxfId="569" priority="193" operator="equal">
      <formula>"NR"</formula>
    </cfRule>
    <cfRule type="cellIs" dxfId="568" priority="194" operator="equal">
      <formula>"NOK"</formula>
    </cfRule>
    <cfRule type="cellIs" dxfId="567" priority="195" operator="equal">
      <formula>"OK"</formula>
    </cfRule>
  </conditionalFormatting>
  <conditionalFormatting sqref="C322">
    <cfRule type="cellIs" dxfId="566" priority="190" operator="equal">
      <formula>"NR"</formula>
    </cfRule>
    <cfRule type="cellIs" dxfId="565" priority="191" operator="equal">
      <formula>"NOK"</formula>
    </cfRule>
    <cfRule type="cellIs" dxfId="564" priority="192" operator="equal">
      <formula>"OK"</formula>
    </cfRule>
  </conditionalFormatting>
  <conditionalFormatting sqref="C326">
    <cfRule type="cellIs" dxfId="563" priority="187" operator="equal">
      <formula>"NR"</formula>
    </cfRule>
    <cfRule type="cellIs" dxfId="562" priority="188" operator="equal">
      <formula>"NOK"</formula>
    </cfRule>
    <cfRule type="cellIs" dxfId="561" priority="189" operator="equal">
      <formula>"OK"</formula>
    </cfRule>
  </conditionalFormatting>
  <conditionalFormatting sqref="C323">
    <cfRule type="cellIs" dxfId="560" priority="184" operator="equal">
      <formula>"NR"</formula>
    </cfRule>
    <cfRule type="cellIs" dxfId="559" priority="185" operator="equal">
      <formula>"NOK"</formula>
    </cfRule>
    <cfRule type="cellIs" dxfId="558" priority="186" operator="equal">
      <formula>"OK"</formula>
    </cfRule>
  </conditionalFormatting>
  <conditionalFormatting sqref="C327:C330">
    <cfRule type="cellIs" dxfId="557" priority="181" operator="equal">
      <formula>"NR"</formula>
    </cfRule>
    <cfRule type="cellIs" dxfId="556" priority="182" operator="equal">
      <formula>"NOK"</formula>
    </cfRule>
    <cfRule type="cellIs" dxfId="555" priority="183" operator="equal">
      <formula>"OK"</formula>
    </cfRule>
  </conditionalFormatting>
  <conditionalFormatting sqref="C25">
    <cfRule type="cellIs" dxfId="554" priority="124" operator="equal">
      <formula>"NR"</formula>
    </cfRule>
    <cfRule type="cellIs" dxfId="553" priority="125" operator="equal">
      <formula>"NOK"</formula>
    </cfRule>
    <cfRule type="cellIs" dxfId="552" priority="126" operator="equal">
      <formula>"OK"</formula>
    </cfRule>
  </conditionalFormatting>
  <conditionalFormatting sqref="C315">
    <cfRule type="cellIs" dxfId="551" priority="118" operator="equal">
      <formula>"NR"</formula>
    </cfRule>
    <cfRule type="cellIs" dxfId="550" priority="119" operator="equal">
      <formula>"NOK"</formula>
    </cfRule>
    <cfRule type="cellIs" dxfId="549" priority="120" operator="equal">
      <formula>"OK"</formula>
    </cfRule>
  </conditionalFormatting>
  <conditionalFormatting sqref="C297">
    <cfRule type="cellIs" dxfId="548" priority="115" operator="equal">
      <formula>"NR"</formula>
    </cfRule>
    <cfRule type="cellIs" dxfId="547" priority="116" operator="equal">
      <formula>"NOK"</formula>
    </cfRule>
    <cfRule type="cellIs" dxfId="546" priority="117" operator="equal">
      <formula>"OK"</formula>
    </cfRule>
  </conditionalFormatting>
  <conditionalFormatting sqref="C279">
    <cfRule type="cellIs" dxfId="545" priority="112" operator="equal">
      <formula>"NR"</formula>
    </cfRule>
    <cfRule type="cellIs" dxfId="544" priority="113" operator="equal">
      <formula>"NOK"</formula>
    </cfRule>
    <cfRule type="cellIs" dxfId="543" priority="114" operator="equal">
      <formula>"OK"</formula>
    </cfRule>
  </conditionalFormatting>
  <conditionalFormatting sqref="C261">
    <cfRule type="cellIs" dxfId="542" priority="109" operator="equal">
      <formula>"NR"</formula>
    </cfRule>
    <cfRule type="cellIs" dxfId="541" priority="110" operator="equal">
      <formula>"NOK"</formula>
    </cfRule>
    <cfRule type="cellIs" dxfId="540" priority="111" operator="equal">
      <formula>"OK"</formula>
    </cfRule>
  </conditionalFormatting>
  <conditionalFormatting sqref="C243">
    <cfRule type="cellIs" dxfId="539" priority="106" operator="equal">
      <formula>"NR"</formula>
    </cfRule>
    <cfRule type="cellIs" dxfId="538" priority="107" operator="equal">
      <formula>"NOK"</formula>
    </cfRule>
    <cfRule type="cellIs" dxfId="537" priority="108" operator="equal">
      <formula>"OK"</formula>
    </cfRule>
  </conditionalFormatting>
  <conditionalFormatting sqref="C225">
    <cfRule type="cellIs" dxfId="536" priority="103" operator="equal">
      <formula>"NR"</formula>
    </cfRule>
    <cfRule type="cellIs" dxfId="535" priority="104" operator="equal">
      <formula>"NOK"</formula>
    </cfRule>
    <cfRule type="cellIs" dxfId="534" priority="105" operator="equal">
      <formula>"OK"</formula>
    </cfRule>
  </conditionalFormatting>
  <conditionalFormatting sqref="C207">
    <cfRule type="cellIs" dxfId="533" priority="100" operator="equal">
      <formula>"NR"</formula>
    </cfRule>
    <cfRule type="cellIs" dxfId="532" priority="101" operator="equal">
      <formula>"NOK"</formula>
    </cfRule>
    <cfRule type="cellIs" dxfId="531" priority="102" operator="equal">
      <formula>"OK"</formula>
    </cfRule>
  </conditionalFormatting>
  <conditionalFormatting sqref="C189">
    <cfRule type="cellIs" dxfId="530" priority="97" operator="equal">
      <formula>"NR"</formula>
    </cfRule>
    <cfRule type="cellIs" dxfId="529" priority="98" operator="equal">
      <formula>"NOK"</formula>
    </cfRule>
    <cfRule type="cellIs" dxfId="528" priority="99" operator="equal">
      <formula>"OK"</formula>
    </cfRule>
  </conditionalFormatting>
  <conditionalFormatting sqref="C171">
    <cfRule type="cellIs" dxfId="527" priority="94" operator="equal">
      <formula>"NR"</formula>
    </cfRule>
    <cfRule type="cellIs" dxfId="526" priority="95" operator="equal">
      <formula>"NOK"</formula>
    </cfRule>
    <cfRule type="cellIs" dxfId="525" priority="96" operator="equal">
      <formula>"OK"</formula>
    </cfRule>
  </conditionalFormatting>
  <conditionalFormatting sqref="C153">
    <cfRule type="cellIs" dxfId="524" priority="91" operator="equal">
      <formula>"NR"</formula>
    </cfRule>
    <cfRule type="cellIs" dxfId="523" priority="92" operator="equal">
      <formula>"NOK"</formula>
    </cfRule>
    <cfRule type="cellIs" dxfId="522" priority="93" operator="equal">
      <formula>"OK"</formula>
    </cfRule>
  </conditionalFormatting>
  <conditionalFormatting sqref="C134">
    <cfRule type="cellIs" dxfId="521" priority="88" operator="equal">
      <formula>"NR"</formula>
    </cfRule>
    <cfRule type="cellIs" dxfId="520" priority="89" operator="equal">
      <formula>"NOK"</formula>
    </cfRule>
    <cfRule type="cellIs" dxfId="519" priority="90" operator="equal">
      <formula>"OK"</formula>
    </cfRule>
  </conditionalFormatting>
  <conditionalFormatting sqref="C115">
    <cfRule type="cellIs" dxfId="518" priority="85" operator="equal">
      <formula>"NR"</formula>
    </cfRule>
    <cfRule type="cellIs" dxfId="517" priority="86" operator="equal">
      <formula>"NOK"</formula>
    </cfRule>
    <cfRule type="cellIs" dxfId="516" priority="87" operator="equal">
      <formula>"OK"</formula>
    </cfRule>
  </conditionalFormatting>
  <conditionalFormatting sqref="C97">
    <cfRule type="cellIs" dxfId="515" priority="82" operator="equal">
      <formula>"NR"</formula>
    </cfRule>
    <cfRule type="cellIs" dxfId="514" priority="83" operator="equal">
      <formula>"NOK"</formula>
    </cfRule>
    <cfRule type="cellIs" dxfId="513" priority="84" operator="equal">
      <formula>"OK"</formula>
    </cfRule>
  </conditionalFormatting>
  <conditionalFormatting sqref="C79">
    <cfRule type="cellIs" dxfId="512" priority="79" operator="equal">
      <formula>"NR"</formula>
    </cfRule>
    <cfRule type="cellIs" dxfId="511" priority="80" operator="equal">
      <formula>"NOK"</formula>
    </cfRule>
    <cfRule type="cellIs" dxfId="510" priority="81" operator="equal">
      <formula>"OK"</formula>
    </cfRule>
  </conditionalFormatting>
  <conditionalFormatting sqref="C61">
    <cfRule type="cellIs" dxfId="509" priority="76" operator="equal">
      <formula>"NR"</formula>
    </cfRule>
    <cfRule type="cellIs" dxfId="508" priority="77" operator="equal">
      <formula>"NOK"</formula>
    </cfRule>
    <cfRule type="cellIs" dxfId="507" priority="78" operator="equal">
      <formula>"OK"</formula>
    </cfRule>
  </conditionalFormatting>
  <conditionalFormatting sqref="C43">
    <cfRule type="cellIs" dxfId="506" priority="73" operator="equal">
      <formula>"NR"</formula>
    </cfRule>
    <cfRule type="cellIs" dxfId="505" priority="74" operator="equal">
      <formula>"NOK"</formula>
    </cfRule>
    <cfRule type="cellIs" dxfId="504" priority="75" operator="equal">
      <formula>"OK"</formula>
    </cfRule>
  </conditionalFormatting>
  <conditionalFormatting sqref="B732">
    <cfRule type="cellIs" dxfId="503" priority="34" operator="equal">
      <formula>"NR"</formula>
    </cfRule>
    <cfRule type="cellIs" dxfId="502" priority="35" operator="equal">
      <formula>"NOK"</formula>
    </cfRule>
    <cfRule type="cellIs" dxfId="501" priority="36" operator="equal">
      <formula>"OK"</formula>
    </cfRule>
  </conditionalFormatting>
  <conditionalFormatting sqref="B735 B738">
    <cfRule type="cellIs" dxfId="500" priority="31" operator="equal">
      <formula>"NR"</formula>
    </cfRule>
    <cfRule type="cellIs" dxfId="499" priority="32" operator="equal">
      <formula>"NOK"</formula>
    </cfRule>
    <cfRule type="cellIs" dxfId="498" priority="33" operator="equal">
      <formula>"OK"</formula>
    </cfRule>
  </conditionalFormatting>
  <conditionalFormatting sqref="B741">
    <cfRule type="cellIs" dxfId="497" priority="28" operator="equal">
      <formula>"NR"</formula>
    </cfRule>
    <cfRule type="cellIs" dxfId="496" priority="29" operator="equal">
      <formula>"NOK"</formula>
    </cfRule>
    <cfRule type="cellIs" dxfId="495" priority="30" operator="equal">
      <formula>"OK"</formula>
    </cfRule>
  </conditionalFormatting>
  <conditionalFormatting sqref="B744 B747">
    <cfRule type="cellIs" dxfId="494" priority="25" operator="equal">
      <formula>"NR"</formula>
    </cfRule>
    <cfRule type="cellIs" dxfId="493" priority="26" operator="equal">
      <formula>"NOK"</formula>
    </cfRule>
    <cfRule type="cellIs" dxfId="492" priority="27" operator="equal">
      <formula>"OK"</formula>
    </cfRule>
  </conditionalFormatting>
  <conditionalFormatting sqref="B750">
    <cfRule type="cellIs" dxfId="491" priority="22" operator="equal">
      <formula>"NR"</formula>
    </cfRule>
    <cfRule type="cellIs" dxfId="490" priority="23" operator="equal">
      <formula>"NOK"</formula>
    </cfRule>
    <cfRule type="cellIs" dxfId="489" priority="24" operator="equal">
      <formula>"OK"</formula>
    </cfRule>
  </conditionalFormatting>
  <conditionalFormatting sqref="B753 B756">
    <cfRule type="cellIs" dxfId="488" priority="19" operator="equal">
      <formula>"NR"</formula>
    </cfRule>
    <cfRule type="cellIs" dxfId="487" priority="20" operator="equal">
      <formula>"NOK"</formula>
    </cfRule>
    <cfRule type="cellIs" dxfId="486" priority="21" operator="equal">
      <formula>"OK"</formula>
    </cfRule>
  </conditionalFormatting>
  <conditionalFormatting sqref="B759">
    <cfRule type="cellIs" dxfId="485" priority="16" operator="equal">
      <formula>"NR"</formula>
    </cfRule>
    <cfRule type="cellIs" dxfId="484" priority="17" operator="equal">
      <formula>"NOK"</formula>
    </cfRule>
    <cfRule type="cellIs" dxfId="483" priority="18" operator="equal">
      <formula>"OK"</formula>
    </cfRule>
  </conditionalFormatting>
  <conditionalFormatting sqref="B762">
    <cfRule type="cellIs" dxfId="482" priority="13" operator="equal">
      <formula>"NR"</formula>
    </cfRule>
    <cfRule type="cellIs" dxfId="481" priority="14" operator="equal">
      <formula>"NOK"</formula>
    </cfRule>
    <cfRule type="cellIs" dxfId="480" priority="15" operator="equal">
      <formula>"OK"</formula>
    </cfRule>
  </conditionalFormatting>
  <conditionalFormatting sqref="C337">
    <cfRule type="cellIs" dxfId="479" priority="7" operator="equal">
      <formula>"NR"</formula>
    </cfRule>
    <cfRule type="cellIs" dxfId="478" priority="8" operator="equal">
      <formula>"NOK"</formula>
    </cfRule>
    <cfRule type="cellIs" dxfId="477" priority="9" operator="equal">
      <formula>"OK"</formula>
    </cfRule>
  </conditionalFormatting>
  <conditionalFormatting sqref="B334">
    <cfRule type="cellIs" dxfId="476" priority="10" operator="equal">
      <formula>"NR"</formula>
    </cfRule>
    <cfRule type="cellIs" dxfId="475" priority="11" operator="equal">
      <formula>"NOK"</formula>
    </cfRule>
    <cfRule type="cellIs" dxfId="474" priority="12" operator="equal">
      <formula>"OK"</formula>
    </cfRule>
  </conditionalFormatting>
  <conditionalFormatting sqref="B336">
    <cfRule type="cellIs" dxfId="473" priority="1" operator="equal">
      <formula>"NR"</formula>
    </cfRule>
    <cfRule type="cellIs" dxfId="472" priority="2" operator="equal">
      <formula>"NOK"</formula>
    </cfRule>
    <cfRule type="cellIs" dxfId="471" priority="3" operator="equal">
      <formula>"OK"</formula>
    </cfRule>
  </conditionalFormatting>
  <conditionalFormatting sqref="B335">
    <cfRule type="cellIs" dxfId="470" priority="4" operator="equal">
      <formula>"NR"</formula>
    </cfRule>
    <cfRule type="cellIs" dxfId="469" priority="5" operator="equal">
      <formula>"NOK"</formula>
    </cfRule>
    <cfRule type="cellIs" dxfId="468" priority="6" operator="equal">
      <formula>"OK"</formula>
    </cfRule>
  </conditionalFormatting>
  <dataValidations count="1">
    <dataValidation type="list" allowBlank="1" showInputMessage="1" showErrorMessage="1" errorTitle="Remplissage Obligatoire" error="OK -&gt; Criteria Validated_x000a_NOK -&gt; Criteria Not Validated_x000a_NR -&gt; Impossiblity to check the criteria_x000a_NA -&gt; Impossiblity to validate the criteria" prompt="NO EMPTY CELLS" sqref="C445 C117:C134 C136:C153 C155:C171 C173:C189 C191:C207 C209:C225 C227:C243 C245:C261 C263:C279 C281:C297 C299:C315 C9:C25 C27:C43 C45:C61 C63:C79 C81:C97 C99:C115 C317:C333 C337 C340:C443" xr:uid="{593791CB-588D-4DD9-983A-DCEDB8C5B9F9}">
      <formula1>"OK,NOK,NR,NA"</formula1>
    </dataValidation>
  </dataValidations>
  <pageMargins left="0.7" right="0.7" top="0.75" bottom="0.75" header="0.3" footer="0.3"/>
  <pageSetup paperSize="9" orientation="portrait" verticalDpi="598" r:id="rId1"/>
  <headerFooter>
    <oddFooter>&amp;R&amp;1#&amp;"Arial"&amp;10&amp;K000000Confidential 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B5F8C-A8BD-4FAC-BEDF-829679191625}">
  <dimension ref="A1"/>
  <sheetViews>
    <sheetView workbookViewId="0"/>
  </sheetViews>
  <sheetFormatPr baseColWidth="10" defaultRowHeight="14.5" x14ac:dyDescent="0.3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ED03D-317E-4EF4-8D94-5B38C7E248F1}">
  <sheetPr codeName="Feuil25"/>
  <dimension ref="A1:IB196"/>
  <sheetViews>
    <sheetView zoomScale="70" zoomScaleNormal="70" workbookViewId="0">
      <selection activeCell="B11" sqref="B11"/>
    </sheetView>
  </sheetViews>
  <sheetFormatPr baseColWidth="10" defaultColWidth="9.1796875" defaultRowHeight="14.5" x14ac:dyDescent="0.35"/>
  <cols>
    <col min="1" max="1" width="6.81640625" style="121" customWidth="1"/>
    <col min="2" max="2" width="38.54296875" style="122" customWidth="1"/>
    <col min="3" max="3" width="63.7265625" style="84" customWidth="1"/>
    <col min="4" max="4" width="62.1796875" style="84" customWidth="1"/>
    <col min="5" max="5" width="59.81640625" style="123" customWidth="1"/>
    <col min="6" max="6" width="50.1796875" style="152" customWidth="1"/>
    <col min="7" max="7" width="3.54296875" style="84" customWidth="1"/>
    <col min="8" max="16384" width="9.1796875" style="84"/>
  </cols>
  <sheetData>
    <row r="1" spans="1:236" ht="15" thickBot="1" x14ac:dyDescent="0.4">
      <c r="A1" s="82"/>
      <c r="B1" s="394" t="s">
        <v>938</v>
      </c>
      <c r="C1" s="395"/>
      <c r="D1" s="395"/>
      <c r="E1" s="395"/>
      <c r="F1" s="396"/>
      <c r="G1" s="83"/>
      <c r="H1" s="394" t="s">
        <v>535</v>
      </c>
      <c r="I1" s="395"/>
      <c r="J1" s="395"/>
      <c r="K1" s="395"/>
      <c r="L1" s="395"/>
      <c r="M1" s="395"/>
      <c r="N1" s="395"/>
      <c r="O1" s="395"/>
      <c r="P1" s="395"/>
      <c r="Q1" s="395"/>
      <c r="R1" s="395"/>
      <c r="S1" s="396"/>
      <c r="T1" s="88"/>
    </row>
    <row r="2" spans="1:236" ht="24" customHeight="1" thickBot="1" x14ac:dyDescent="0.4">
      <c r="A2" s="82"/>
      <c r="B2" s="85" t="s">
        <v>536</v>
      </c>
      <c r="C2" s="402"/>
      <c r="D2" s="402"/>
      <c r="E2" s="402"/>
      <c r="F2" s="403"/>
      <c r="G2" s="83"/>
      <c r="H2" s="404" t="s">
        <v>537</v>
      </c>
      <c r="I2" s="405"/>
      <c r="J2" s="405"/>
      <c r="K2" s="405"/>
      <c r="L2" s="405"/>
      <c r="M2" s="405"/>
      <c r="N2" s="405"/>
      <c r="O2" s="405"/>
      <c r="P2" s="405"/>
      <c r="Q2" s="405"/>
      <c r="R2" s="405"/>
      <c r="S2" s="406"/>
      <c r="T2" s="88"/>
    </row>
    <row r="3" spans="1:236" ht="15" thickBot="1" x14ac:dyDescent="0.4">
      <c r="A3" s="82"/>
      <c r="B3" s="83"/>
      <c r="C3" s="83"/>
      <c r="D3" s="83"/>
      <c r="E3" s="86"/>
      <c r="F3" s="149"/>
      <c r="G3" s="83"/>
      <c r="H3" s="407"/>
      <c r="I3" s="408"/>
      <c r="J3" s="408"/>
      <c r="K3" s="408"/>
      <c r="L3" s="408"/>
      <c r="M3" s="408"/>
      <c r="N3" s="408"/>
      <c r="O3" s="408"/>
      <c r="P3" s="408"/>
      <c r="Q3" s="408"/>
      <c r="R3" s="408"/>
      <c r="S3" s="409"/>
      <c r="T3" s="88"/>
    </row>
    <row r="4" spans="1:236" x14ac:dyDescent="0.35">
      <c r="A4" s="87"/>
      <c r="B4" s="404" t="s">
        <v>538</v>
      </c>
      <c r="C4" s="405"/>
      <c r="D4" s="405"/>
      <c r="E4" s="405"/>
      <c r="F4" s="406"/>
      <c r="G4" s="88"/>
      <c r="H4" s="410"/>
      <c r="I4" s="411"/>
      <c r="J4" s="411"/>
      <c r="K4" s="411"/>
      <c r="L4" s="411"/>
      <c r="M4" s="411"/>
      <c r="N4" s="411"/>
      <c r="O4" s="411"/>
      <c r="P4" s="411"/>
      <c r="Q4" s="411"/>
      <c r="R4" s="411"/>
      <c r="S4" s="412"/>
      <c r="T4" s="88"/>
    </row>
    <row r="5" spans="1:236" ht="18" customHeight="1" x14ac:dyDescent="0.35">
      <c r="A5" s="87"/>
      <c r="B5" s="89" t="s">
        <v>539</v>
      </c>
      <c r="C5" s="90" t="s">
        <v>540</v>
      </c>
      <c r="D5" s="90" t="s">
        <v>541</v>
      </c>
      <c r="E5" s="90" t="s">
        <v>542</v>
      </c>
      <c r="F5" s="148" t="s">
        <v>57</v>
      </c>
      <c r="G5" s="83"/>
      <c r="H5" s="410"/>
      <c r="I5" s="411"/>
      <c r="J5" s="411"/>
      <c r="K5" s="411"/>
      <c r="L5" s="411"/>
      <c r="M5" s="411"/>
      <c r="N5" s="411"/>
      <c r="O5" s="411"/>
      <c r="P5" s="411"/>
      <c r="Q5" s="411"/>
      <c r="R5" s="411"/>
      <c r="S5" s="412"/>
      <c r="T5" s="88"/>
    </row>
    <row r="6" spans="1:236" s="94" customFormat="1" ht="15.5" x14ac:dyDescent="0.35">
      <c r="A6" s="87"/>
      <c r="B6" s="92" t="s">
        <v>543</v>
      </c>
      <c r="C6" s="413" t="s">
        <v>939</v>
      </c>
      <c r="D6" s="414"/>
      <c r="E6" s="414"/>
      <c r="F6" s="415"/>
      <c r="G6" s="93"/>
      <c r="H6" s="410"/>
      <c r="I6" s="411"/>
      <c r="J6" s="411"/>
      <c r="K6" s="411"/>
      <c r="L6" s="411"/>
      <c r="M6" s="411"/>
      <c r="N6" s="411"/>
      <c r="O6" s="411"/>
      <c r="P6" s="411"/>
      <c r="Q6" s="411"/>
      <c r="R6" s="411"/>
      <c r="S6" s="412"/>
      <c r="T6" s="88"/>
    </row>
    <row r="7" spans="1:236" x14ac:dyDescent="0.35">
      <c r="A7" s="87"/>
      <c r="B7" s="95" t="s">
        <v>545</v>
      </c>
      <c r="C7" s="416" t="s">
        <v>940</v>
      </c>
      <c r="D7" s="417"/>
      <c r="E7" s="417"/>
      <c r="F7" s="418"/>
      <c r="G7" s="83"/>
      <c r="H7" s="410"/>
      <c r="I7" s="411"/>
      <c r="J7" s="411"/>
      <c r="K7" s="411"/>
      <c r="L7" s="411"/>
      <c r="M7" s="411"/>
      <c r="N7" s="411"/>
      <c r="O7" s="411"/>
      <c r="P7" s="411"/>
      <c r="Q7" s="411"/>
      <c r="R7" s="411"/>
      <c r="S7" s="412"/>
      <c r="T7" s="88"/>
    </row>
    <row r="8" spans="1:236" x14ac:dyDescent="0.35">
      <c r="A8" s="87"/>
      <c r="B8" s="96" t="s">
        <v>122</v>
      </c>
      <c r="C8" s="97" t="s">
        <v>941</v>
      </c>
      <c r="D8" s="98"/>
      <c r="E8" s="99"/>
      <c r="F8" s="146"/>
      <c r="G8" s="83"/>
      <c r="H8" s="410"/>
      <c r="I8" s="411"/>
      <c r="J8" s="411"/>
      <c r="K8" s="411"/>
      <c r="L8" s="411"/>
      <c r="M8" s="411"/>
      <c r="N8" s="411"/>
      <c r="O8" s="411"/>
      <c r="P8" s="411"/>
      <c r="Q8" s="411"/>
      <c r="R8" s="411"/>
      <c r="S8" s="412"/>
      <c r="T8" s="88"/>
    </row>
    <row r="9" spans="1:236" ht="29" x14ac:dyDescent="0.35">
      <c r="A9" s="87"/>
      <c r="B9" s="101" t="s">
        <v>167</v>
      </c>
      <c r="C9" s="129" t="s">
        <v>549</v>
      </c>
      <c r="D9" s="102" t="s">
        <v>942</v>
      </c>
      <c r="E9" s="103" t="s">
        <v>943</v>
      </c>
      <c r="F9" s="104"/>
      <c r="G9" s="83"/>
      <c r="H9" s="410"/>
      <c r="I9" s="411"/>
      <c r="J9" s="411"/>
      <c r="K9" s="411"/>
      <c r="L9" s="411"/>
      <c r="M9" s="411"/>
      <c r="N9" s="411"/>
      <c r="O9" s="411"/>
      <c r="P9" s="411"/>
      <c r="Q9" s="411"/>
      <c r="R9" s="411"/>
      <c r="S9" s="412"/>
      <c r="T9" s="88"/>
    </row>
    <row r="10" spans="1:236" ht="48.75" customHeight="1" x14ac:dyDescent="0.35">
      <c r="A10" s="87"/>
      <c r="B10" s="137" t="s">
        <v>552</v>
      </c>
      <c r="C10" s="138" t="s">
        <v>944</v>
      </c>
      <c r="D10" s="139"/>
      <c r="E10" s="139"/>
      <c r="F10" s="146" t="s">
        <v>945</v>
      </c>
      <c r="G10" s="83"/>
      <c r="H10" s="410"/>
      <c r="I10" s="411"/>
      <c r="J10" s="411"/>
      <c r="K10" s="411"/>
      <c r="L10" s="411"/>
      <c r="M10" s="411"/>
      <c r="N10" s="411"/>
      <c r="O10" s="411"/>
      <c r="P10" s="411"/>
      <c r="Q10" s="411"/>
      <c r="R10" s="411"/>
      <c r="S10" s="412"/>
      <c r="T10" s="88"/>
    </row>
    <row r="11" spans="1:236" s="136" customFormat="1" ht="76.5" customHeight="1" x14ac:dyDescent="0.35">
      <c r="A11" s="87"/>
      <c r="B11" s="101" t="s">
        <v>167</v>
      </c>
      <c r="C11" s="129" t="s">
        <v>549</v>
      </c>
      <c r="D11" s="102" t="s">
        <v>946</v>
      </c>
      <c r="E11" s="103" t="s">
        <v>947</v>
      </c>
      <c r="F11" s="104"/>
      <c r="G11" s="83"/>
      <c r="H11" s="410"/>
      <c r="I11" s="411"/>
      <c r="J11" s="411"/>
      <c r="K11" s="411"/>
      <c r="L11" s="411"/>
      <c r="M11" s="411"/>
      <c r="N11" s="411"/>
      <c r="O11" s="411"/>
      <c r="P11" s="411"/>
      <c r="Q11" s="411"/>
      <c r="R11" s="411"/>
      <c r="S11" s="412"/>
      <c r="T11" s="88"/>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c r="BG11" s="84"/>
      <c r="BH11" s="84"/>
      <c r="BI11" s="84"/>
      <c r="BJ11" s="84"/>
      <c r="BK11" s="84"/>
      <c r="BL11" s="84"/>
      <c r="BM11" s="84"/>
      <c r="BN11" s="84"/>
      <c r="BO11" s="84"/>
      <c r="BP11" s="84"/>
      <c r="BQ11" s="84"/>
      <c r="BR11" s="84"/>
      <c r="BS11" s="84"/>
      <c r="BT11" s="84"/>
      <c r="BU11" s="84"/>
      <c r="BV11" s="84"/>
      <c r="BW11" s="84"/>
      <c r="BX11" s="84"/>
      <c r="BY11" s="84"/>
      <c r="BZ11" s="84"/>
      <c r="CA11" s="84"/>
      <c r="CB11" s="84"/>
      <c r="CC11" s="84"/>
      <c r="CD11" s="84"/>
      <c r="CE11" s="84"/>
      <c r="CF11" s="84"/>
      <c r="CG11" s="84"/>
      <c r="CH11" s="84"/>
      <c r="CI11" s="84"/>
      <c r="CJ11" s="84"/>
      <c r="CK11" s="84"/>
      <c r="CL11" s="84"/>
      <c r="CM11" s="84"/>
      <c r="CN11" s="84"/>
      <c r="CO11" s="84"/>
      <c r="CP11" s="84"/>
      <c r="CQ11" s="84"/>
      <c r="CR11" s="84"/>
      <c r="CS11" s="84"/>
      <c r="CT11" s="84"/>
      <c r="CU11" s="84"/>
      <c r="CV11" s="84"/>
      <c r="CW11" s="84"/>
      <c r="CX11" s="84"/>
      <c r="CY11" s="84"/>
      <c r="CZ11" s="84"/>
      <c r="DA11" s="84"/>
      <c r="DB11" s="84"/>
      <c r="DC11" s="84"/>
      <c r="DD11" s="84"/>
      <c r="DE11" s="84"/>
      <c r="DF11" s="84"/>
      <c r="DG11" s="84"/>
      <c r="DH11" s="84"/>
      <c r="DI11" s="84"/>
      <c r="DJ11" s="84"/>
      <c r="DK11" s="84"/>
      <c r="DL11" s="84"/>
      <c r="DM11" s="84"/>
      <c r="DN11" s="84"/>
      <c r="DO11" s="84"/>
      <c r="DP11" s="84"/>
      <c r="DQ11" s="84"/>
      <c r="DR11" s="84"/>
      <c r="DS11" s="84"/>
      <c r="DT11" s="84"/>
      <c r="DU11" s="84"/>
      <c r="DV11" s="84"/>
      <c r="DW11" s="84"/>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c r="FP11" s="84"/>
      <c r="FQ11" s="84"/>
      <c r="FR11" s="84"/>
      <c r="FS11" s="84"/>
      <c r="FT11" s="84"/>
      <c r="FU11" s="84"/>
      <c r="FV11" s="84"/>
      <c r="FW11" s="84"/>
      <c r="FX11" s="84"/>
      <c r="FY11" s="84"/>
      <c r="FZ11" s="84"/>
      <c r="GA11" s="84"/>
      <c r="GB11" s="84"/>
      <c r="GC11" s="84"/>
      <c r="GD11" s="84"/>
      <c r="GE11" s="84"/>
      <c r="GF11" s="84"/>
      <c r="GG11" s="84"/>
      <c r="GH11" s="84"/>
      <c r="GI11" s="84"/>
      <c r="GJ11" s="84"/>
      <c r="GK11" s="84"/>
      <c r="GL11" s="84"/>
      <c r="GM11" s="84"/>
      <c r="GN11" s="84"/>
      <c r="GO11" s="84"/>
      <c r="GP11" s="84"/>
      <c r="GQ11" s="84"/>
      <c r="GR11" s="84"/>
      <c r="GS11" s="84"/>
      <c r="GT11" s="84"/>
      <c r="GU11" s="84"/>
      <c r="GV11" s="84"/>
      <c r="GW11" s="84"/>
      <c r="GX11" s="84"/>
      <c r="GY11" s="84"/>
      <c r="GZ11" s="84"/>
      <c r="HA11" s="84"/>
      <c r="HB11" s="84"/>
      <c r="HC11" s="84"/>
      <c r="HD11" s="84"/>
      <c r="HE11" s="84"/>
      <c r="HF11" s="84"/>
      <c r="HG11" s="84"/>
      <c r="HH11" s="84"/>
      <c r="HI11" s="84"/>
      <c r="HJ11" s="84"/>
      <c r="HK11" s="84"/>
      <c r="HL11" s="84"/>
      <c r="HM11" s="84"/>
      <c r="HN11" s="84"/>
      <c r="HO11" s="84"/>
      <c r="HP11" s="84"/>
      <c r="HQ11" s="84"/>
      <c r="HR11" s="84"/>
      <c r="HS11" s="84"/>
      <c r="HT11" s="84"/>
      <c r="HU11" s="84"/>
      <c r="HV11" s="84"/>
      <c r="HW11" s="84"/>
      <c r="HX11" s="84"/>
      <c r="HY11" s="84"/>
      <c r="HZ11" s="84"/>
      <c r="IA11" s="84"/>
      <c r="IB11" s="84"/>
    </row>
    <row r="12" spans="1:236" s="136" customFormat="1" ht="43.5" x14ac:dyDescent="0.35">
      <c r="A12" s="87"/>
      <c r="B12" s="137" t="s">
        <v>559</v>
      </c>
      <c r="C12" s="138" t="s">
        <v>948</v>
      </c>
      <c r="D12" s="139"/>
      <c r="E12" s="139"/>
      <c r="F12" s="146" t="s">
        <v>949</v>
      </c>
      <c r="G12" s="83"/>
      <c r="H12" s="410"/>
      <c r="I12" s="411"/>
      <c r="J12" s="411"/>
      <c r="K12" s="411"/>
      <c r="L12" s="411"/>
      <c r="M12" s="411"/>
      <c r="N12" s="411"/>
      <c r="O12" s="411"/>
      <c r="P12" s="411"/>
      <c r="Q12" s="411"/>
      <c r="R12" s="411"/>
      <c r="S12" s="412"/>
      <c r="T12" s="88"/>
      <c r="U12" s="84"/>
      <c r="V12" s="84"/>
      <c r="W12" s="84"/>
      <c r="X12" s="84"/>
      <c r="Y12" s="84"/>
      <c r="Z12" s="84"/>
      <c r="AA12" s="84"/>
      <c r="AB12" s="84"/>
      <c r="AC12" s="84"/>
      <c r="AD12" s="84"/>
      <c r="AE12" s="84"/>
      <c r="AF12" s="84"/>
      <c r="AG12" s="84"/>
      <c r="AH12" s="84"/>
      <c r="AI12" s="84"/>
      <c r="AJ12" s="84"/>
      <c r="AK12" s="84"/>
      <c r="AL12" s="84"/>
      <c r="AM12" s="84"/>
      <c r="AN12" s="84"/>
      <c r="AO12" s="84"/>
      <c r="AP12" s="84"/>
      <c r="AQ12" s="84"/>
      <c r="AR12" s="84"/>
      <c r="AS12" s="84"/>
      <c r="AT12" s="84"/>
      <c r="AU12" s="84"/>
      <c r="AV12" s="84"/>
      <c r="AW12" s="84"/>
      <c r="AX12" s="84"/>
      <c r="AY12" s="84"/>
      <c r="AZ12" s="84"/>
      <c r="BA12" s="84"/>
      <c r="BB12" s="84"/>
      <c r="BC12" s="84"/>
      <c r="BD12" s="84"/>
      <c r="BE12" s="84"/>
      <c r="BF12" s="84"/>
      <c r="BG12" s="84"/>
      <c r="BH12" s="84"/>
      <c r="BI12" s="84"/>
      <c r="BJ12" s="84"/>
      <c r="BK12" s="84"/>
      <c r="BL12" s="84"/>
      <c r="BM12" s="84"/>
      <c r="BN12" s="84"/>
      <c r="BO12" s="84"/>
      <c r="BP12" s="84"/>
      <c r="BQ12" s="84"/>
      <c r="BR12" s="84"/>
      <c r="BS12" s="84"/>
      <c r="BT12" s="84"/>
      <c r="BU12" s="84"/>
      <c r="BV12" s="84"/>
      <c r="BW12" s="84"/>
      <c r="BX12" s="84"/>
      <c r="BY12" s="84"/>
      <c r="BZ12" s="84"/>
      <c r="CA12" s="84"/>
      <c r="CB12" s="84"/>
      <c r="CC12" s="84"/>
      <c r="CD12" s="84"/>
      <c r="CE12" s="84"/>
      <c r="CF12" s="84"/>
      <c r="CG12" s="84"/>
      <c r="CH12" s="84"/>
      <c r="CI12" s="84"/>
      <c r="CJ12" s="84"/>
      <c r="CK12" s="84"/>
      <c r="CL12" s="84"/>
      <c r="CM12" s="84"/>
      <c r="CN12" s="84"/>
      <c r="CO12" s="84"/>
      <c r="CP12" s="84"/>
      <c r="CQ12" s="84"/>
      <c r="CR12" s="84"/>
      <c r="CS12" s="84"/>
      <c r="CT12" s="84"/>
      <c r="CU12" s="84"/>
      <c r="CV12" s="84"/>
      <c r="CW12" s="84"/>
      <c r="CX12" s="84"/>
      <c r="CY12" s="84"/>
      <c r="CZ12" s="84"/>
      <c r="DA12" s="84"/>
      <c r="DB12" s="84"/>
      <c r="DC12" s="84"/>
      <c r="DD12" s="84"/>
      <c r="DE12" s="84"/>
      <c r="DF12" s="84"/>
      <c r="DG12" s="84"/>
      <c r="DH12" s="84"/>
      <c r="DI12" s="84"/>
      <c r="DJ12" s="84"/>
      <c r="DK12" s="84"/>
      <c r="DL12" s="84"/>
      <c r="DM12" s="84"/>
      <c r="DN12" s="84"/>
      <c r="DO12" s="84"/>
      <c r="DP12" s="84"/>
      <c r="DQ12" s="84"/>
      <c r="DR12" s="84"/>
      <c r="DS12" s="84"/>
      <c r="DT12" s="84"/>
      <c r="DU12" s="84"/>
      <c r="DV12" s="84"/>
      <c r="DW12" s="84"/>
      <c r="DX12" s="84"/>
      <c r="DY12" s="84"/>
      <c r="DZ12" s="84"/>
      <c r="EA12" s="84"/>
      <c r="EB12" s="84"/>
      <c r="EC12" s="84"/>
      <c r="ED12" s="84"/>
      <c r="EE12" s="84"/>
      <c r="EF12" s="84"/>
      <c r="EG12" s="84"/>
      <c r="EH12" s="84"/>
      <c r="EI12" s="84"/>
      <c r="EJ12" s="84"/>
      <c r="EK12" s="84"/>
      <c r="EL12" s="84"/>
      <c r="EM12" s="84"/>
      <c r="EN12" s="84"/>
      <c r="EO12" s="84"/>
      <c r="EP12" s="84"/>
      <c r="EQ12" s="84"/>
      <c r="ER12" s="84"/>
      <c r="ES12" s="84"/>
      <c r="ET12" s="84"/>
      <c r="EU12" s="84"/>
      <c r="EV12" s="84"/>
      <c r="EW12" s="84"/>
      <c r="EX12" s="84"/>
      <c r="EY12" s="84"/>
      <c r="EZ12" s="84"/>
      <c r="FA12" s="84"/>
      <c r="FB12" s="84"/>
      <c r="FC12" s="84"/>
      <c r="FD12" s="84"/>
      <c r="FE12" s="84"/>
      <c r="FF12" s="84"/>
      <c r="FG12" s="84"/>
      <c r="FH12" s="84"/>
      <c r="FI12" s="84"/>
      <c r="FJ12" s="84"/>
      <c r="FK12" s="84"/>
      <c r="FL12" s="84"/>
      <c r="FM12" s="84"/>
      <c r="FN12" s="84"/>
      <c r="FO12" s="84"/>
      <c r="FP12" s="84"/>
      <c r="FQ12" s="84"/>
      <c r="FR12" s="84"/>
      <c r="FS12" s="84"/>
      <c r="FT12" s="84"/>
      <c r="FU12" s="84"/>
      <c r="FV12" s="84"/>
      <c r="FW12" s="84"/>
      <c r="FX12" s="84"/>
      <c r="FY12" s="84"/>
      <c r="FZ12" s="84"/>
      <c r="GA12" s="84"/>
      <c r="GB12" s="84"/>
      <c r="GC12" s="84"/>
      <c r="GD12" s="84"/>
      <c r="GE12" s="84"/>
      <c r="GF12" s="84"/>
      <c r="GG12" s="84"/>
      <c r="GH12" s="84"/>
      <c r="GI12" s="84"/>
      <c r="GJ12" s="84"/>
      <c r="GK12" s="84"/>
      <c r="GL12" s="84"/>
      <c r="GM12" s="84"/>
      <c r="GN12" s="84"/>
      <c r="GO12" s="84"/>
      <c r="GP12" s="84"/>
      <c r="GQ12" s="84"/>
      <c r="GR12" s="84"/>
      <c r="GS12" s="84"/>
      <c r="GT12" s="84"/>
      <c r="GU12" s="84"/>
      <c r="GV12" s="84"/>
      <c r="GW12" s="84"/>
      <c r="GX12" s="84"/>
      <c r="GY12" s="84"/>
      <c r="GZ12" s="84"/>
      <c r="HA12" s="84"/>
      <c r="HB12" s="84"/>
      <c r="HC12" s="84"/>
      <c r="HD12" s="84"/>
      <c r="HE12" s="84"/>
      <c r="HF12" s="84"/>
      <c r="HG12" s="84"/>
      <c r="HH12" s="84"/>
      <c r="HI12" s="84"/>
      <c r="HJ12" s="84"/>
      <c r="HK12" s="84"/>
      <c r="HL12" s="84"/>
      <c r="HM12" s="84"/>
      <c r="HN12" s="84"/>
      <c r="HO12" s="84"/>
      <c r="HP12" s="84"/>
      <c r="HQ12" s="84"/>
      <c r="HR12" s="84"/>
      <c r="HS12" s="84"/>
      <c r="HT12" s="84"/>
      <c r="HU12" s="84"/>
      <c r="HV12" s="84"/>
      <c r="HW12" s="84"/>
      <c r="HX12" s="84"/>
      <c r="HY12" s="84"/>
      <c r="HZ12" s="84"/>
      <c r="IA12" s="84"/>
      <c r="IB12" s="84"/>
    </row>
    <row r="13" spans="1:236" s="136" customFormat="1" ht="29" x14ac:dyDescent="0.35">
      <c r="A13" s="87"/>
      <c r="B13" s="101" t="s">
        <v>167</v>
      </c>
      <c r="C13" s="129" t="s">
        <v>549</v>
      </c>
      <c r="D13" s="102" t="s">
        <v>950</v>
      </c>
      <c r="E13" s="103" t="s">
        <v>951</v>
      </c>
      <c r="F13" s="104"/>
      <c r="G13" s="83"/>
      <c r="H13" s="410"/>
      <c r="I13" s="411"/>
      <c r="J13" s="411"/>
      <c r="K13" s="411"/>
      <c r="L13" s="411"/>
      <c r="M13" s="411"/>
      <c r="N13" s="411"/>
      <c r="O13" s="411"/>
      <c r="P13" s="411"/>
      <c r="Q13" s="411"/>
      <c r="R13" s="411"/>
      <c r="S13" s="412"/>
      <c r="T13" s="88"/>
      <c r="U13" s="84"/>
      <c r="V13" s="84"/>
      <c r="W13" s="84"/>
      <c r="X13" s="84"/>
      <c r="Y13" s="84"/>
      <c r="Z13" s="84"/>
      <c r="AA13" s="84"/>
      <c r="AB13" s="84"/>
      <c r="AC13" s="84"/>
      <c r="AD13" s="84"/>
      <c r="AE13" s="84"/>
      <c r="AF13" s="84"/>
      <c r="AG13" s="84"/>
      <c r="AH13" s="84"/>
      <c r="AI13" s="84"/>
      <c r="AJ13" s="84"/>
      <c r="AK13" s="84"/>
      <c r="AL13" s="84"/>
      <c r="AM13" s="84"/>
      <c r="AN13" s="84"/>
      <c r="AO13" s="84"/>
      <c r="AP13" s="84"/>
      <c r="AQ13" s="84"/>
      <c r="AR13" s="84"/>
      <c r="AS13" s="84"/>
      <c r="AT13" s="84"/>
      <c r="AU13" s="84"/>
      <c r="AV13" s="84"/>
      <c r="AW13" s="84"/>
      <c r="AX13" s="84"/>
      <c r="AY13" s="84"/>
      <c r="AZ13" s="84"/>
      <c r="BA13" s="84"/>
      <c r="BB13" s="84"/>
      <c r="BC13" s="84"/>
      <c r="BD13" s="84"/>
      <c r="BE13" s="84"/>
      <c r="BF13" s="84"/>
      <c r="BG13" s="84"/>
      <c r="BH13" s="84"/>
      <c r="BI13" s="84"/>
      <c r="BJ13" s="84"/>
      <c r="BK13" s="84"/>
      <c r="BL13" s="84"/>
      <c r="BM13" s="84"/>
      <c r="BN13" s="84"/>
      <c r="BO13" s="84"/>
      <c r="BP13" s="84"/>
      <c r="BQ13" s="84"/>
      <c r="BR13" s="84"/>
      <c r="BS13" s="84"/>
      <c r="BT13" s="84"/>
      <c r="BU13" s="84"/>
      <c r="BV13" s="84"/>
      <c r="BW13" s="84"/>
      <c r="BX13" s="84"/>
      <c r="BY13" s="84"/>
      <c r="BZ13" s="84"/>
      <c r="CA13" s="84"/>
      <c r="CB13" s="84"/>
      <c r="CC13" s="84"/>
      <c r="CD13" s="84"/>
      <c r="CE13" s="84"/>
      <c r="CF13" s="84"/>
      <c r="CG13" s="84"/>
      <c r="CH13" s="84"/>
      <c r="CI13" s="84"/>
      <c r="CJ13" s="84"/>
      <c r="CK13" s="84"/>
      <c r="CL13" s="84"/>
      <c r="CM13" s="84"/>
      <c r="CN13" s="84"/>
      <c r="CO13" s="84"/>
      <c r="CP13" s="84"/>
      <c r="CQ13" s="84"/>
      <c r="CR13" s="84"/>
      <c r="CS13" s="84"/>
      <c r="CT13" s="84"/>
      <c r="CU13" s="84"/>
      <c r="CV13" s="84"/>
      <c r="CW13" s="84"/>
      <c r="CX13" s="84"/>
      <c r="CY13" s="84"/>
      <c r="CZ13" s="84"/>
      <c r="DA13" s="84"/>
      <c r="DB13" s="84"/>
      <c r="DC13" s="84"/>
      <c r="DD13" s="84"/>
      <c r="DE13" s="84"/>
      <c r="DF13" s="84"/>
      <c r="DG13" s="84"/>
      <c r="DH13" s="84"/>
      <c r="DI13" s="84"/>
      <c r="DJ13" s="84"/>
      <c r="DK13" s="84"/>
      <c r="DL13" s="84"/>
      <c r="DM13" s="84"/>
      <c r="DN13" s="84"/>
      <c r="DO13" s="84"/>
      <c r="DP13" s="84"/>
      <c r="DQ13" s="84"/>
      <c r="DR13" s="84"/>
      <c r="DS13" s="84"/>
      <c r="DT13" s="84"/>
      <c r="DU13" s="84"/>
      <c r="DV13" s="84"/>
      <c r="DW13" s="84"/>
      <c r="DX13" s="84"/>
      <c r="DY13" s="84"/>
      <c r="DZ13" s="84"/>
      <c r="EA13" s="84"/>
      <c r="EB13" s="84"/>
      <c r="EC13" s="84"/>
      <c r="ED13" s="84"/>
      <c r="EE13" s="84"/>
      <c r="EF13" s="84"/>
      <c r="EG13" s="84"/>
      <c r="EH13" s="84"/>
      <c r="EI13" s="84"/>
      <c r="EJ13" s="84"/>
      <c r="EK13" s="84"/>
      <c r="EL13" s="84"/>
      <c r="EM13" s="84"/>
      <c r="EN13" s="84"/>
      <c r="EO13" s="84"/>
      <c r="EP13" s="84"/>
      <c r="EQ13" s="84"/>
      <c r="ER13" s="84"/>
      <c r="ES13" s="84"/>
      <c r="ET13" s="84"/>
      <c r="EU13" s="84"/>
      <c r="EV13" s="84"/>
      <c r="EW13" s="84"/>
      <c r="EX13" s="84"/>
      <c r="EY13" s="84"/>
      <c r="EZ13" s="84"/>
      <c r="FA13" s="84"/>
      <c r="FB13" s="84"/>
      <c r="FC13" s="84"/>
      <c r="FD13" s="84"/>
      <c r="FE13" s="84"/>
      <c r="FF13" s="84"/>
      <c r="FG13" s="84"/>
      <c r="FH13" s="84"/>
      <c r="FI13" s="84"/>
      <c r="FJ13" s="84"/>
      <c r="FK13" s="84"/>
      <c r="FL13" s="84"/>
      <c r="FM13" s="84"/>
      <c r="FN13" s="84"/>
      <c r="FO13" s="84"/>
      <c r="FP13" s="84"/>
      <c r="FQ13" s="84"/>
      <c r="FR13" s="84"/>
      <c r="FS13" s="84"/>
      <c r="FT13" s="84"/>
      <c r="FU13" s="84"/>
      <c r="FV13" s="84"/>
      <c r="FW13" s="84"/>
      <c r="FX13" s="84"/>
      <c r="FY13" s="84"/>
      <c r="FZ13" s="84"/>
      <c r="GA13" s="84"/>
      <c r="GB13" s="84"/>
      <c r="GC13" s="84"/>
      <c r="GD13" s="84"/>
      <c r="GE13" s="84"/>
      <c r="GF13" s="84"/>
      <c r="GG13" s="84"/>
      <c r="GH13" s="84"/>
      <c r="GI13" s="84"/>
      <c r="GJ13" s="84"/>
      <c r="GK13" s="84"/>
      <c r="GL13" s="84"/>
      <c r="GM13" s="84"/>
      <c r="GN13" s="84"/>
      <c r="GO13" s="84"/>
      <c r="GP13" s="84"/>
      <c r="GQ13" s="84"/>
      <c r="GR13" s="84"/>
      <c r="GS13" s="84"/>
      <c r="GT13" s="84"/>
      <c r="GU13" s="84"/>
      <c r="GV13" s="84"/>
      <c r="GW13" s="84"/>
      <c r="GX13" s="84"/>
      <c r="GY13" s="84"/>
      <c r="GZ13" s="84"/>
      <c r="HA13" s="84"/>
      <c r="HB13" s="84"/>
      <c r="HC13" s="84"/>
      <c r="HD13" s="84"/>
      <c r="HE13" s="84"/>
      <c r="HF13" s="84"/>
      <c r="HG13" s="84"/>
      <c r="HH13" s="84"/>
      <c r="HI13" s="84"/>
      <c r="HJ13" s="84"/>
      <c r="HK13" s="84"/>
      <c r="HL13" s="84"/>
      <c r="HM13" s="84"/>
      <c r="HN13" s="84"/>
      <c r="HO13" s="84"/>
      <c r="HP13" s="84"/>
      <c r="HQ13" s="84"/>
      <c r="HR13" s="84"/>
      <c r="HS13" s="84"/>
      <c r="HT13" s="84"/>
      <c r="HU13" s="84"/>
      <c r="HV13" s="84"/>
      <c r="HW13" s="84"/>
      <c r="HX13" s="84"/>
      <c r="HY13" s="84"/>
      <c r="HZ13" s="84"/>
      <c r="IA13" s="84"/>
      <c r="IB13" s="84"/>
    </row>
    <row r="14" spans="1:236" s="136" customFormat="1" ht="29" x14ac:dyDescent="0.35">
      <c r="A14" s="87"/>
      <c r="B14" s="101" t="s">
        <v>167</v>
      </c>
      <c r="C14" s="129" t="s">
        <v>549</v>
      </c>
      <c r="D14" s="102" t="s">
        <v>952</v>
      </c>
      <c r="E14" s="103" t="s">
        <v>953</v>
      </c>
      <c r="F14" s="104"/>
      <c r="G14" s="83"/>
      <c r="H14" s="410"/>
      <c r="I14" s="411"/>
      <c r="J14" s="411"/>
      <c r="K14" s="411"/>
      <c r="L14" s="411"/>
      <c r="M14" s="411"/>
      <c r="N14" s="411"/>
      <c r="O14" s="411"/>
      <c r="P14" s="411"/>
      <c r="Q14" s="411"/>
      <c r="R14" s="411"/>
      <c r="S14" s="412"/>
      <c r="T14" s="88"/>
      <c r="U14" s="84"/>
      <c r="V14" s="84"/>
      <c r="W14" s="84"/>
      <c r="X14" s="84"/>
      <c r="Y14" s="84"/>
      <c r="Z14" s="84"/>
      <c r="AA14" s="84"/>
      <c r="AB14" s="84"/>
      <c r="AC14" s="84"/>
      <c r="AD14" s="84"/>
      <c r="AE14" s="84"/>
      <c r="AF14" s="84"/>
      <c r="AG14" s="84"/>
      <c r="AH14" s="84"/>
      <c r="AI14" s="84"/>
      <c r="AJ14" s="84"/>
      <c r="AK14" s="84"/>
      <c r="AL14" s="84"/>
      <c r="AM14" s="84"/>
      <c r="AN14" s="84"/>
      <c r="AO14" s="84"/>
      <c r="AP14" s="84"/>
      <c r="AQ14" s="84"/>
      <c r="AR14" s="84"/>
      <c r="AS14" s="84"/>
      <c r="AT14" s="84"/>
      <c r="AU14" s="84"/>
      <c r="AV14" s="84"/>
      <c r="AW14" s="84"/>
      <c r="AX14" s="84"/>
      <c r="AY14" s="84"/>
      <c r="AZ14" s="84"/>
      <c r="BA14" s="84"/>
      <c r="BB14" s="84"/>
      <c r="BC14" s="84"/>
      <c r="BD14" s="84"/>
      <c r="BE14" s="84"/>
      <c r="BF14" s="84"/>
      <c r="BG14" s="84"/>
      <c r="BH14" s="84"/>
      <c r="BI14" s="84"/>
      <c r="BJ14" s="84"/>
      <c r="BK14" s="84"/>
      <c r="BL14" s="84"/>
      <c r="BM14" s="84"/>
      <c r="BN14" s="84"/>
      <c r="BO14" s="84"/>
      <c r="BP14" s="84"/>
      <c r="BQ14" s="84"/>
      <c r="BR14" s="84"/>
      <c r="BS14" s="84"/>
      <c r="BT14" s="84"/>
      <c r="BU14" s="84"/>
      <c r="BV14" s="84"/>
      <c r="BW14" s="84"/>
      <c r="BX14" s="84"/>
      <c r="BY14" s="84"/>
      <c r="BZ14" s="84"/>
      <c r="CA14" s="84"/>
      <c r="CB14" s="84"/>
      <c r="CC14" s="84"/>
      <c r="CD14" s="84"/>
      <c r="CE14" s="84"/>
      <c r="CF14" s="84"/>
      <c r="CG14" s="84"/>
      <c r="CH14" s="84"/>
      <c r="CI14" s="84"/>
      <c r="CJ14" s="84"/>
      <c r="CK14" s="84"/>
      <c r="CL14" s="84"/>
      <c r="CM14" s="84"/>
      <c r="CN14" s="84"/>
      <c r="CO14" s="84"/>
      <c r="CP14" s="84"/>
      <c r="CQ14" s="84"/>
      <c r="CR14" s="84"/>
      <c r="CS14" s="84"/>
      <c r="CT14" s="84"/>
      <c r="CU14" s="84"/>
      <c r="CV14" s="84"/>
      <c r="CW14" s="84"/>
      <c r="CX14" s="84"/>
      <c r="CY14" s="84"/>
      <c r="CZ14" s="84"/>
      <c r="DA14" s="84"/>
      <c r="DB14" s="84"/>
      <c r="DC14" s="84"/>
      <c r="DD14" s="84"/>
      <c r="DE14" s="84"/>
      <c r="DF14" s="84"/>
      <c r="DG14" s="84"/>
      <c r="DH14" s="84"/>
      <c r="DI14" s="84"/>
      <c r="DJ14" s="84"/>
      <c r="DK14" s="84"/>
      <c r="DL14" s="84"/>
      <c r="DM14" s="84"/>
      <c r="DN14" s="84"/>
      <c r="DO14" s="84"/>
      <c r="DP14" s="84"/>
      <c r="DQ14" s="84"/>
      <c r="DR14" s="84"/>
      <c r="DS14" s="84"/>
      <c r="DT14" s="84"/>
      <c r="DU14" s="84"/>
      <c r="DV14" s="84"/>
      <c r="DW14" s="84"/>
      <c r="DX14" s="84"/>
      <c r="DY14" s="84"/>
      <c r="DZ14" s="84"/>
      <c r="EA14" s="84"/>
      <c r="EB14" s="84"/>
      <c r="EC14" s="84"/>
      <c r="ED14" s="84"/>
      <c r="EE14" s="84"/>
      <c r="EF14" s="84"/>
      <c r="EG14" s="84"/>
      <c r="EH14" s="84"/>
      <c r="EI14" s="84"/>
      <c r="EJ14" s="84"/>
      <c r="EK14" s="84"/>
      <c r="EL14" s="84"/>
      <c r="EM14" s="84"/>
      <c r="EN14" s="84"/>
      <c r="EO14" s="84"/>
      <c r="EP14" s="84"/>
      <c r="EQ14" s="84"/>
      <c r="ER14" s="84"/>
      <c r="ES14" s="84"/>
      <c r="ET14" s="84"/>
      <c r="EU14" s="84"/>
      <c r="EV14" s="84"/>
      <c r="EW14" s="84"/>
      <c r="EX14" s="84"/>
      <c r="EY14" s="84"/>
      <c r="EZ14" s="84"/>
      <c r="FA14" s="84"/>
      <c r="FB14" s="84"/>
      <c r="FC14" s="84"/>
      <c r="FD14" s="84"/>
      <c r="FE14" s="84"/>
      <c r="FF14" s="84"/>
      <c r="FG14" s="84"/>
      <c r="FH14" s="84"/>
      <c r="FI14" s="84"/>
      <c r="FJ14" s="84"/>
      <c r="FK14" s="84"/>
      <c r="FL14" s="84"/>
      <c r="FM14" s="84"/>
      <c r="FN14" s="84"/>
      <c r="FO14" s="84"/>
      <c r="FP14" s="84"/>
      <c r="FQ14" s="84"/>
      <c r="FR14" s="84"/>
      <c r="FS14" s="84"/>
      <c r="FT14" s="84"/>
      <c r="FU14" s="84"/>
      <c r="FV14" s="84"/>
      <c r="FW14" s="84"/>
      <c r="FX14" s="84"/>
      <c r="FY14" s="84"/>
      <c r="FZ14" s="84"/>
      <c r="GA14" s="84"/>
      <c r="GB14" s="84"/>
      <c r="GC14" s="84"/>
      <c r="GD14" s="84"/>
      <c r="GE14" s="84"/>
      <c r="GF14" s="84"/>
      <c r="GG14" s="84"/>
      <c r="GH14" s="84"/>
      <c r="GI14" s="84"/>
      <c r="GJ14" s="84"/>
      <c r="GK14" s="84"/>
      <c r="GL14" s="84"/>
      <c r="GM14" s="84"/>
      <c r="GN14" s="84"/>
      <c r="GO14" s="84"/>
      <c r="GP14" s="84"/>
      <c r="GQ14" s="84"/>
      <c r="GR14" s="84"/>
      <c r="GS14" s="84"/>
      <c r="GT14" s="84"/>
      <c r="GU14" s="84"/>
      <c r="GV14" s="84"/>
      <c r="GW14" s="84"/>
      <c r="GX14" s="84"/>
      <c r="GY14" s="84"/>
      <c r="GZ14" s="84"/>
      <c r="HA14" s="84"/>
      <c r="HB14" s="84"/>
      <c r="HC14" s="84"/>
      <c r="HD14" s="84"/>
      <c r="HE14" s="84"/>
      <c r="HF14" s="84"/>
      <c r="HG14" s="84"/>
      <c r="HH14" s="84"/>
      <c r="HI14" s="84"/>
      <c r="HJ14" s="84"/>
      <c r="HK14" s="84"/>
      <c r="HL14" s="84"/>
      <c r="HM14" s="84"/>
      <c r="HN14" s="84"/>
      <c r="HO14" s="84"/>
      <c r="HP14" s="84"/>
      <c r="HQ14" s="84"/>
      <c r="HR14" s="84"/>
      <c r="HS14" s="84"/>
      <c r="HT14" s="84"/>
      <c r="HU14" s="84"/>
      <c r="HV14" s="84"/>
      <c r="HW14" s="84"/>
      <c r="HX14" s="84"/>
      <c r="HY14" s="84"/>
      <c r="HZ14" s="84"/>
      <c r="IA14" s="84"/>
      <c r="IB14" s="84"/>
    </row>
    <row r="15" spans="1:236" s="136" customFormat="1" x14ac:dyDescent="0.35">
      <c r="A15" s="87"/>
      <c r="B15" s="101" t="s">
        <v>167</v>
      </c>
      <c r="C15" s="129" t="s">
        <v>549</v>
      </c>
      <c r="D15" s="102" t="s">
        <v>954</v>
      </c>
      <c r="E15" s="103" t="s">
        <v>955</v>
      </c>
      <c r="F15" s="104"/>
      <c r="G15" s="83"/>
      <c r="H15" s="410"/>
      <c r="I15" s="411"/>
      <c r="J15" s="411"/>
      <c r="K15" s="411"/>
      <c r="L15" s="411"/>
      <c r="M15" s="411"/>
      <c r="N15" s="411"/>
      <c r="O15" s="411"/>
      <c r="P15" s="411"/>
      <c r="Q15" s="411"/>
      <c r="R15" s="411"/>
      <c r="S15" s="412"/>
      <c r="T15" s="88"/>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84"/>
      <c r="AW15" s="84"/>
      <c r="AX15" s="84"/>
      <c r="AY15" s="84"/>
      <c r="AZ15" s="84"/>
      <c r="BA15" s="84"/>
      <c r="BB15" s="84"/>
      <c r="BC15" s="84"/>
      <c r="BD15" s="84"/>
      <c r="BE15" s="84"/>
      <c r="BF15" s="84"/>
      <c r="BG15" s="84"/>
      <c r="BH15" s="84"/>
      <c r="BI15" s="84"/>
      <c r="BJ15" s="84"/>
      <c r="BK15" s="84"/>
      <c r="BL15" s="84"/>
      <c r="BM15" s="84"/>
      <c r="BN15" s="84"/>
      <c r="BO15" s="84"/>
      <c r="BP15" s="84"/>
      <c r="BQ15" s="84"/>
      <c r="BR15" s="84"/>
      <c r="BS15" s="84"/>
      <c r="BT15" s="84"/>
      <c r="BU15" s="84"/>
      <c r="BV15" s="84"/>
      <c r="BW15" s="84"/>
      <c r="BX15" s="84"/>
      <c r="BY15" s="84"/>
      <c r="BZ15" s="84"/>
      <c r="CA15" s="84"/>
      <c r="CB15" s="84"/>
      <c r="CC15" s="84"/>
      <c r="CD15" s="84"/>
      <c r="CE15" s="84"/>
      <c r="CF15" s="84"/>
      <c r="CG15" s="84"/>
      <c r="CH15" s="84"/>
      <c r="CI15" s="84"/>
      <c r="CJ15" s="84"/>
      <c r="CK15" s="84"/>
      <c r="CL15" s="84"/>
      <c r="CM15" s="84"/>
      <c r="CN15" s="84"/>
      <c r="CO15" s="84"/>
      <c r="CP15" s="84"/>
      <c r="CQ15" s="84"/>
      <c r="CR15" s="84"/>
      <c r="CS15" s="84"/>
      <c r="CT15" s="84"/>
      <c r="CU15" s="84"/>
      <c r="CV15" s="84"/>
      <c r="CW15" s="84"/>
      <c r="CX15" s="84"/>
      <c r="CY15" s="84"/>
      <c r="CZ15" s="84"/>
      <c r="DA15" s="84"/>
      <c r="DB15" s="84"/>
      <c r="DC15" s="84"/>
      <c r="DD15" s="84"/>
      <c r="DE15" s="84"/>
      <c r="DF15" s="84"/>
      <c r="DG15" s="84"/>
      <c r="DH15" s="84"/>
      <c r="DI15" s="84"/>
      <c r="DJ15" s="84"/>
      <c r="DK15" s="84"/>
      <c r="DL15" s="84"/>
      <c r="DM15" s="84"/>
      <c r="DN15" s="84"/>
      <c r="DO15" s="84"/>
      <c r="DP15" s="84"/>
      <c r="DQ15" s="84"/>
      <c r="DR15" s="84"/>
      <c r="DS15" s="84"/>
      <c r="DT15" s="84"/>
      <c r="DU15" s="84"/>
      <c r="DV15" s="84"/>
      <c r="DW15" s="84"/>
      <c r="DX15" s="84"/>
      <c r="DY15" s="84"/>
      <c r="DZ15" s="84"/>
      <c r="EA15" s="84"/>
      <c r="EB15" s="84"/>
      <c r="EC15" s="84"/>
      <c r="ED15" s="84"/>
      <c r="EE15" s="84"/>
      <c r="EF15" s="84"/>
      <c r="EG15" s="84"/>
      <c r="EH15" s="84"/>
      <c r="EI15" s="84"/>
      <c r="EJ15" s="84"/>
      <c r="EK15" s="84"/>
      <c r="EL15" s="84"/>
      <c r="EM15" s="84"/>
      <c r="EN15" s="84"/>
      <c r="EO15" s="84"/>
      <c r="EP15" s="84"/>
      <c r="EQ15" s="84"/>
      <c r="ER15" s="84"/>
      <c r="ES15" s="84"/>
      <c r="ET15" s="84"/>
      <c r="EU15" s="84"/>
      <c r="EV15" s="84"/>
      <c r="EW15" s="84"/>
      <c r="EX15" s="84"/>
      <c r="EY15" s="84"/>
      <c r="EZ15" s="84"/>
      <c r="FA15" s="84"/>
      <c r="FB15" s="84"/>
      <c r="FC15" s="84"/>
      <c r="FD15" s="84"/>
      <c r="FE15" s="84"/>
      <c r="FF15" s="84"/>
      <c r="FG15" s="84"/>
      <c r="FH15" s="84"/>
      <c r="FI15" s="84"/>
      <c r="FJ15" s="84"/>
      <c r="FK15" s="84"/>
      <c r="FL15" s="84"/>
      <c r="FM15" s="84"/>
      <c r="FN15" s="84"/>
      <c r="FO15" s="84"/>
      <c r="FP15" s="84"/>
      <c r="FQ15" s="84"/>
      <c r="FR15" s="84"/>
      <c r="FS15" s="84"/>
      <c r="FT15" s="84"/>
      <c r="FU15" s="84"/>
      <c r="FV15" s="84"/>
      <c r="FW15" s="84"/>
      <c r="FX15" s="84"/>
      <c r="FY15" s="84"/>
      <c r="FZ15" s="84"/>
      <c r="GA15" s="84"/>
      <c r="GB15" s="84"/>
      <c r="GC15" s="84"/>
      <c r="GD15" s="84"/>
      <c r="GE15" s="84"/>
      <c r="GF15" s="84"/>
      <c r="GG15" s="84"/>
      <c r="GH15" s="84"/>
      <c r="GI15" s="84"/>
      <c r="GJ15" s="84"/>
      <c r="GK15" s="84"/>
      <c r="GL15" s="84"/>
      <c r="GM15" s="84"/>
      <c r="GN15" s="84"/>
      <c r="GO15" s="84"/>
      <c r="GP15" s="84"/>
      <c r="GQ15" s="84"/>
      <c r="GR15" s="84"/>
      <c r="GS15" s="84"/>
      <c r="GT15" s="84"/>
      <c r="GU15" s="84"/>
      <c r="GV15" s="84"/>
      <c r="GW15" s="84"/>
      <c r="GX15" s="84"/>
      <c r="GY15" s="84"/>
      <c r="GZ15" s="84"/>
      <c r="HA15" s="84"/>
      <c r="HB15" s="84"/>
      <c r="HC15" s="84"/>
      <c r="HD15" s="84"/>
      <c r="HE15" s="84"/>
      <c r="HF15" s="84"/>
      <c r="HG15" s="84"/>
      <c r="HH15" s="84"/>
      <c r="HI15" s="84"/>
      <c r="HJ15" s="84"/>
      <c r="HK15" s="84"/>
      <c r="HL15" s="84"/>
      <c r="HM15" s="84"/>
      <c r="HN15" s="84"/>
      <c r="HO15" s="84"/>
      <c r="HP15" s="84"/>
      <c r="HQ15" s="84"/>
      <c r="HR15" s="84"/>
      <c r="HS15" s="84"/>
      <c r="HT15" s="84"/>
      <c r="HU15" s="84"/>
      <c r="HV15" s="84"/>
      <c r="HW15" s="84"/>
      <c r="HX15" s="84"/>
      <c r="HY15" s="84"/>
      <c r="HZ15" s="84"/>
      <c r="IA15" s="84"/>
      <c r="IB15" s="84"/>
    </row>
    <row r="16" spans="1:236" s="136" customFormat="1" x14ac:dyDescent="0.35">
      <c r="A16" s="87"/>
      <c r="B16" s="101" t="s">
        <v>167</v>
      </c>
      <c r="C16" s="129" t="s">
        <v>549</v>
      </c>
      <c r="D16" s="102" t="s">
        <v>956</v>
      </c>
      <c r="E16" s="103" t="s">
        <v>957</v>
      </c>
      <c r="F16" s="104"/>
      <c r="G16" s="83"/>
      <c r="H16" s="410"/>
      <c r="I16" s="411"/>
      <c r="J16" s="411"/>
      <c r="K16" s="411"/>
      <c r="L16" s="411"/>
      <c r="M16" s="411"/>
      <c r="N16" s="411"/>
      <c r="O16" s="411"/>
      <c r="P16" s="411"/>
      <c r="Q16" s="411"/>
      <c r="R16" s="411"/>
      <c r="S16" s="412"/>
      <c r="T16" s="88"/>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84"/>
      <c r="AW16" s="84"/>
      <c r="AX16" s="84"/>
      <c r="AY16" s="84"/>
      <c r="AZ16" s="84"/>
      <c r="BA16" s="84"/>
      <c r="BB16" s="84"/>
      <c r="BC16" s="84"/>
      <c r="BD16" s="84"/>
      <c r="BE16" s="84"/>
      <c r="BF16" s="84"/>
      <c r="BG16" s="84"/>
      <c r="BH16" s="84"/>
      <c r="BI16" s="84"/>
      <c r="BJ16" s="84"/>
      <c r="BK16" s="84"/>
      <c r="BL16" s="84"/>
      <c r="BM16" s="84"/>
      <c r="BN16" s="84"/>
      <c r="BO16" s="84"/>
      <c r="BP16" s="84"/>
      <c r="BQ16" s="84"/>
      <c r="BR16" s="84"/>
      <c r="BS16" s="84"/>
      <c r="BT16" s="84"/>
      <c r="BU16" s="84"/>
      <c r="BV16" s="84"/>
      <c r="BW16" s="84"/>
      <c r="BX16" s="84"/>
      <c r="BY16" s="84"/>
      <c r="BZ16" s="84"/>
      <c r="CA16" s="84"/>
      <c r="CB16" s="84"/>
      <c r="CC16" s="84"/>
      <c r="CD16" s="84"/>
      <c r="CE16" s="84"/>
      <c r="CF16" s="84"/>
      <c r="CG16" s="84"/>
      <c r="CH16" s="84"/>
      <c r="CI16" s="84"/>
      <c r="CJ16" s="84"/>
      <c r="CK16" s="84"/>
      <c r="CL16" s="84"/>
      <c r="CM16" s="84"/>
      <c r="CN16" s="84"/>
      <c r="CO16" s="84"/>
      <c r="CP16" s="84"/>
      <c r="CQ16" s="84"/>
      <c r="CR16" s="84"/>
      <c r="CS16" s="84"/>
      <c r="CT16" s="84"/>
      <c r="CU16" s="84"/>
      <c r="CV16" s="84"/>
      <c r="CW16" s="84"/>
      <c r="CX16" s="84"/>
      <c r="CY16" s="84"/>
      <c r="CZ16" s="84"/>
      <c r="DA16" s="84"/>
      <c r="DB16" s="84"/>
      <c r="DC16" s="84"/>
      <c r="DD16" s="84"/>
      <c r="DE16" s="84"/>
      <c r="DF16" s="84"/>
      <c r="DG16" s="84"/>
      <c r="DH16" s="84"/>
      <c r="DI16" s="84"/>
      <c r="DJ16" s="84"/>
      <c r="DK16" s="84"/>
      <c r="DL16" s="84"/>
      <c r="DM16" s="84"/>
      <c r="DN16" s="84"/>
      <c r="DO16" s="84"/>
      <c r="DP16" s="84"/>
      <c r="DQ16" s="84"/>
      <c r="DR16" s="84"/>
      <c r="DS16" s="84"/>
      <c r="DT16" s="84"/>
      <c r="DU16" s="84"/>
      <c r="DV16" s="84"/>
      <c r="DW16" s="84"/>
      <c r="DX16" s="84"/>
      <c r="DY16" s="84"/>
      <c r="DZ16" s="84"/>
      <c r="EA16" s="84"/>
      <c r="EB16" s="84"/>
      <c r="EC16" s="84"/>
      <c r="ED16" s="84"/>
      <c r="EE16" s="84"/>
      <c r="EF16" s="84"/>
      <c r="EG16" s="84"/>
      <c r="EH16" s="84"/>
      <c r="EI16" s="84"/>
      <c r="EJ16" s="84"/>
      <c r="EK16" s="84"/>
      <c r="EL16" s="84"/>
      <c r="EM16" s="84"/>
      <c r="EN16" s="84"/>
      <c r="EO16" s="84"/>
      <c r="EP16" s="84"/>
      <c r="EQ16" s="84"/>
      <c r="ER16" s="84"/>
      <c r="ES16" s="84"/>
      <c r="ET16" s="84"/>
      <c r="EU16" s="84"/>
      <c r="EV16" s="84"/>
      <c r="EW16" s="84"/>
      <c r="EX16" s="84"/>
      <c r="EY16" s="84"/>
      <c r="EZ16" s="84"/>
      <c r="FA16" s="84"/>
      <c r="FB16" s="84"/>
      <c r="FC16" s="84"/>
      <c r="FD16" s="84"/>
      <c r="FE16" s="84"/>
      <c r="FF16" s="84"/>
      <c r="FG16" s="84"/>
      <c r="FH16" s="84"/>
      <c r="FI16" s="84"/>
      <c r="FJ16" s="84"/>
      <c r="FK16" s="84"/>
      <c r="FL16" s="84"/>
      <c r="FM16" s="84"/>
      <c r="FN16" s="84"/>
      <c r="FO16" s="84"/>
      <c r="FP16" s="84"/>
      <c r="FQ16" s="84"/>
      <c r="FR16" s="84"/>
      <c r="FS16" s="84"/>
      <c r="FT16" s="84"/>
      <c r="FU16" s="84"/>
      <c r="FV16" s="84"/>
      <c r="FW16" s="84"/>
      <c r="FX16" s="84"/>
      <c r="FY16" s="84"/>
      <c r="FZ16" s="84"/>
      <c r="GA16" s="84"/>
      <c r="GB16" s="84"/>
      <c r="GC16" s="84"/>
      <c r="GD16" s="84"/>
      <c r="GE16" s="84"/>
      <c r="GF16" s="84"/>
      <c r="GG16" s="84"/>
      <c r="GH16" s="84"/>
      <c r="GI16" s="84"/>
      <c r="GJ16" s="84"/>
      <c r="GK16" s="84"/>
      <c r="GL16" s="84"/>
      <c r="GM16" s="84"/>
      <c r="GN16" s="84"/>
      <c r="GO16" s="84"/>
      <c r="GP16" s="84"/>
      <c r="GQ16" s="84"/>
      <c r="GR16" s="84"/>
      <c r="GS16" s="84"/>
      <c r="GT16" s="84"/>
      <c r="GU16" s="84"/>
      <c r="GV16" s="84"/>
      <c r="GW16" s="84"/>
      <c r="GX16" s="84"/>
      <c r="GY16" s="84"/>
      <c r="GZ16" s="84"/>
      <c r="HA16" s="84"/>
      <c r="HB16" s="84"/>
      <c r="HC16" s="84"/>
      <c r="HD16" s="84"/>
      <c r="HE16" s="84"/>
      <c r="HF16" s="84"/>
      <c r="HG16" s="84"/>
      <c r="HH16" s="84"/>
      <c r="HI16" s="84"/>
      <c r="HJ16" s="84"/>
      <c r="HK16" s="84"/>
      <c r="HL16" s="84"/>
      <c r="HM16" s="84"/>
      <c r="HN16" s="84"/>
      <c r="HO16" s="84"/>
      <c r="HP16" s="84"/>
      <c r="HQ16" s="84"/>
      <c r="HR16" s="84"/>
      <c r="HS16" s="84"/>
      <c r="HT16" s="84"/>
      <c r="HU16" s="84"/>
      <c r="HV16" s="84"/>
      <c r="HW16" s="84"/>
      <c r="HX16" s="84"/>
      <c r="HY16" s="84"/>
      <c r="HZ16" s="84"/>
      <c r="IA16" s="84"/>
      <c r="IB16" s="84"/>
    </row>
    <row r="17" spans="1:236" s="157" customFormat="1" ht="29" x14ac:dyDescent="0.35">
      <c r="A17" s="87"/>
      <c r="B17" s="101" t="s">
        <v>167</v>
      </c>
      <c r="C17" s="147" t="s">
        <v>549</v>
      </c>
      <c r="D17" s="102" t="s">
        <v>958</v>
      </c>
      <c r="E17" s="103" t="s">
        <v>959</v>
      </c>
      <c r="F17" s="104"/>
      <c r="G17" s="83"/>
      <c r="H17" s="410"/>
      <c r="I17" s="411"/>
      <c r="J17" s="411"/>
      <c r="K17" s="411"/>
      <c r="L17" s="411"/>
      <c r="M17" s="411"/>
      <c r="N17" s="411"/>
      <c r="O17" s="411"/>
      <c r="P17" s="411"/>
      <c r="Q17" s="411"/>
      <c r="R17" s="411"/>
      <c r="S17" s="412"/>
      <c r="T17" s="88"/>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84"/>
      <c r="AW17" s="84"/>
      <c r="AX17" s="84"/>
      <c r="AY17" s="84"/>
      <c r="AZ17" s="84"/>
      <c r="BA17" s="84"/>
      <c r="BB17" s="84"/>
      <c r="BC17" s="84"/>
      <c r="BD17" s="84"/>
      <c r="BE17" s="84"/>
      <c r="BF17" s="84"/>
      <c r="BG17" s="84"/>
      <c r="BH17" s="84"/>
      <c r="BI17" s="84"/>
      <c r="BJ17" s="84"/>
      <c r="BK17" s="84"/>
      <c r="BL17" s="84"/>
      <c r="BM17" s="84"/>
      <c r="BN17" s="84"/>
      <c r="BO17" s="84"/>
      <c r="BP17" s="84"/>
      <c r="BQ17" s="84"/>
      <c r="BR17" s="84"/>
      <c r="BS17" s="84"/>
      <c r="BT17" s="84"/>
      <c r="BU17" s="84"/>
      <c r="BV17" s="84"/>
      <c r="BW17" s="84"/>
      <c r="BX17" s="84"/>
      <c r="BY17" s="84"/>
      <c r="BZ17" s="84"/>
      <c r="CA17" s="84"/>
      <c r="CB17" s="84"/>
      <c r="CC17" s="84"/>
      <c r="CD17" s="84"/>
      <c r="CE17" s="84"/>
      <c r="CF17" s="84"/>
      <c r="CG17" s="84"/>
      <c r="CH17" s="84"/>
      <c r="CI17" s="84"/>
      <c r="CJ17" s="84"/>
      <c r="CK17" s="84"/>
      <c r="CL17" s="84"/>
      <c r="CM17" s="84"/>
      <c r="CN17" s="84"/>
      <c r="CO17" s="84"/>
      <c r="CP17" s="84"/>
      <c r="CQ17" s="84"/>
      <c r="CR17" s="84"/>
      <c r="CS17" s="84"/>
      <c r="CT17" s="84"/>
      <c r="CU17" s="84"/>
      <c r="CV17" s="84"/>
      <c r="CW17" s="84"/>
      <c r="CX17" s="84"/>
      <c r="CY17" s="84"/>
      <c r="CZ17" s="84"/>
      <c r="DA17" s="84"/>
      <c r="DB17" s="84"/>
      <c r="DC17" s="84"/>
      <c r="DD17" s="84"/>
      <c r="DE17" s="84"/>
      <c r="DF17" s="84"/>
      <c r="DG17" s="84"/>
      <c r="DH17" s="84"/>
      <c r="DI17" s="84"/>
      <c r="DJ17" s="84"/>
      <c r="DK17" s="84"/>
      <c r="DL17" s="84"/>
      <c r="DM17" s="84"/>
      <c r="DN17" s="84"/>
      <c r="DO17" s="84"/>
      <c r="DP17" s="84"/>
      <c r="DQ17" s="84"/>
      <c r="DR17" s="84"/>
      <c r="DS17" s="84"/>
      <c r="DT17" s="84"/>
      <c r="DU17" s="84"/>
      <c r="DV17" s="84"/>
      <c r="DW17" s="84"/>
      <c r="DX17" s="84"/>
      <c r="DY17" s="84"/>
      <c r="DZ17" s="84"/>
      <c r="EA17" s="84"/>
      <c r="EB17" s="84"/>
      <c r="EC17" s="84"/>
      <c r="ED17" s="84"/>
      <c r="EE17" s="84"/>
      <c r="EF17" s="84"/>
      <c r="EG17" s="84"/>
      <c r="EH17" s="84"/>
      <c r="EI17" s="84"/>
      <c r="EJ17" s="84"/>
      <c r="EK17" s="84"/>
      <c r="EL17" s="84"/>
      <c r="EM17" s="84"/>
      <c r="EN17" s="84"/>
      <c r="EO17" s="84"/>
      <c r="EP17" s="84"/>
      <c r="EQ17" s="84"/>
      <c r="ER17" s="84"/>
      <c r="ES17" s="84"/>
      <c r="ET17" s="84"/>
      <c r="EU17" s="84"/>
      <c r="EV17" s="84"/>
      <c r="EW17" s="84"/>
      <c r="EX17" s="84"/>
      <c r="EY17" s="84"/>
      <c r="EZ17" s="84"/>
      <c r="FA17" s="84"/>
      <c r="FB17" s="84"/>
      <c r="FC17" s="84"/>
      <c r="FD17" s="84"/>
      <c r="FE17" s="84"/>
      <c r="FF17" s="84"/>
      <c r="FG17" s="84"/>
      <c r="FH17" s="84"/>
      <c r="FI17" s="84"/>
      <c r="FJ17" s="84"/>
      <c r="FK17" s="84"/>
      <c r="FL17" s="84"/>
      <c r="FM17" s="84"/>
      <c r="FN17" s="84"/>
      <c r="FO17" s="84"/>
      <c r="FP17" s="84"/>
      <c r="FQ17" s="84"/>
      <c r="FR17" s="84"/>
      <c r="FS17" s="84"/>
      <c r="FT17" s="84"/>
      <c r="FU17" s="84"/>
      <c r="FV17" s="84"/>
      <c r="FW17" s="84"/>
      <c r="FX17" s="84"/>
      <c r="FY17" s="84"/>
      <c r="FZ17" s="84"/>
      <c r="GA17" s="84"/>
      <c r="GB17" s="84"/>
      <c r="GC17" s="84"/>
      <c r="GD17" s="84"/>
      <c r="GE17" s="84"/>
      <c r="GF17" s="84"/>
      <c r="GG17" s="84"/>
      <c r="GH17" s="84"/>
      <c r="GI17" s="84"/>
      <c r="GJ17" s="84"/>
      <c r="GK17" s="84"/>
      <c r="GL17" s="84"/>
      <c r="GM17" s="84"/>
      <c r="GN17" s="84"/>
      <c r="GO17" s="84"/>
      <c r="GP17" s="84"/>
      <c r="GQ17" s="84"/>
      <c r="GR17" s="84"/>
      <c r="GS17" s="84"/>
      <c r="GT17" s="84"/>
      <c r="GU17" s="84"/>
      <c r="GV17" s="84"/>
      <c r="GW17" s="84"/>
      <c r="GX17" s="84"/>
      <c r="GY17" s="84"/>
      <c r="GZ17" s="84"/>
      <c r="HA17" s="84"/>
      <c r="HB17" s="84"/>
      <c r="HC17" s="84"/>
      <c r="HD17" s="84"/>
      <c r="HE17" s="84"/>
      <c r="HF17" s="84"/>
      <c r="HG17" s="84"/>
      <c r="HH17" s="84"/>
      <c r="HI17" s="84"/>
      <c r="HJ17" s="84"/>
      <c r="HK17" s="84"/>
      <c r="HL17" s="84"/>
      <c r="HM17" s="84"/>
      <c r="HN17" s="84"/>
      <c r="HO17" s="84"/>
      <c r="HP17" s="84"/>
      <c r="HQ17" s="84"/>
      <c r="HR17" s="84"/>
      <c r="HS17" s="84"/>
      <c r="HT17" s="84"/>
      <c r="HU17" s="84"/>
      <c r="HV17" s="84"/>
      <c r="HW17" s="84"/>
      <c r="HX17" s="84"/>
      <c r="HY17" s="84"/>
      <c r="HZ17" s="84"/>
      <c r="IA17" s="84"/>
      <c r="IB17" s="84"/>
    </row>
    <row r="18" spans="1:236" s="136" customFormat="1" x14ac:dyDescent="0.35">
      <c r="A18" s="87"/>
      <c r="B18" s="137" t="s">
        <v>560</v>
      </c>
      <c r="C18" s="138" t="s">
        <v>960</v>
      </c>
      <c r="D18" s="139"/>
      <c r="E18" s="139"/>
      <c r="F18" s="146"/>
      <c r="G18" s="83"/>
      <c r="H18" s="410"/>
      <c r="I18" s="411"/>
      <c r="J18" s="411"/>
      <c r="K18" s="411"/>
      <c r="L18" s="411"/>
      <c r="M18" s="411"/>
      <c r="N18" s="411"/>
      <c r="O18" s="411"/>
      <c r="P18" s="411"/>
      <c r="Q18" s="411"/>
      <c r="R18" s="411"/>
      <c r="S18" s="412"/>
      <c r="T18" s="88"/>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84"/>
      <c r="AW18" s="84"/>
      <c r="AX18" s="84"/>
      <c r="AY18" s="84"/>
      <c r="AZ18" s="84"/>
      <c r="BA18" s="84"/>
      <c r="BB18" s="84"/>
      <c r="BC18" s="84"/>
      <c r="BD18" s="84"/>
      <c r="BE18" s="84"/>
      <c r="BF18" s="84"/>
      <c r="BG18" s="84"/>
      <c r="BH18" s="84"/>
      <c r="BI18" s="84"/>
      <c r="BJ18" s="84"/>
      <c r="BK18" s="84"/>
      <c r="BL18" s="84"/>
      <c r="BM18" s="84"/>
      <c r="BN18" s="84"/>
      <c r="BO18" s="84"/>
      <c r="BP18" s="84"/>
      <c r="BQ18" s="84"/>
      <c r="BR18" s="84"/>
      <c r="BS18" s="84"/>
      <c r="BT18" s="84"/>
      <c r="BU18" s="84"/>
      <c r="BV18" s="84"/>
      <c r="BW18" s="84"/>
      <c r="BX18" s="84"/>
      <c r="BY18" s="84"/>
      <c r="BZ18" s="84"/>
      <c r="CA18" s="84"/>
      <c r="CB18" s="84"/>
      <c r="CC18" s="84"/>
      <c r="CD18" s="84"/>
      <c r="CE18" s="84"/>
      <c r="CF18" s="84"/>
      <c r="CG18" s="84"/>
      <c r="CH18" s="84"/>
      <c r="CI18" s="84"/>
      <c r="CJ18" s="84"/>
      <c r="CK18" s="84"/>
      <c r="CL18" s="84"/>
      <c r="CM18" s="84"/>
      <c r="CN18" s="84"/>
      <c r="CO18" s="84"/>
      <c r="CP18" s="84"/>
      <c r="CQ18" s="84"/>
      <c r="CR18" s="84"/>
      <c r="CS18" s="84"/>
      <c r="CT18" s="84"/>
      <c r="CU18" s="84"/>
      <c r="CV18" s="84"/>
      <c r="CW18" s="84"/>
      <c r="CX18" s="84"/>
      <c r="CY18" s="84"/>
      <c r="CZ18" s="84"/>
      <c r="DA18" s="84"/>
      <c r="DB18" s="84"/>
      <c r="DC18" s="84"/>
      <c r="DD18" s="84"/>
      <c r="DE18" s="84"/>
      <c r="DF18" s="84"/>
      <c r="DG18" s="84"/>
      <c r="DH18" s="84"/>
      <c r="DI18" s="84"/>
      <c r="DJ18" s="84"/>
      <c r="DK18" s="84"/>
      <c r="DL18" s="84"/>
      <c r="DM18" s="84"/>
      <c r="DN18" s="84"/>
      <c r="DO18" s="84"/>
      <c r="DP18" s="84"/>
      <c r="DQ18" s="84"/>
      <c r="DR18" s="84"/>
      <c r="DS18" s="84"/>
      <c r="DT18" s="84"/>
      <c r="DU18" s="84"/>
      <c r="DV18" s="84"/>
      <c r="DW18" s="84"/>
      <c r="DX18" s="84"/>
      <c r="DY18" s="84"/>
      <c r="DZ18" s="84"/>
      <c r="EA18" s="84"/>
      <c r="EB18" s="84"/>
      <c r="EC18" s="84"/>
      <c r="ED18" s="84"/>
      <c r="EE18" s="84"/>
      <c r="EF18" s="84"/>
      <c r="EG18" s="84"/>
      <c r="EH18" s="84"/>
      <c r="EI18" s="84"/>
      <c r="EJ18" s="84"/>
      <c r="EK18" s="84"/>
      <c r="EL18" s="84"/>
      <c r="EM18" s="84"/>
      <c r="EN18" s="84"/>
      <c r="EO18" s="84"/>
      <c r="EP18" s="84"/>
      <c r="EQ18" s="84"/>
      <c r="ER18" s="84"/>
      <c r="ES18" s="84"/>
      <c r="ET18" s="84"/>
      <c r="EU18" s="84"/>
      <c r="EV18" s="84"/>
      <c r="EW18" s="84"/>
      <c r="EX18" s="84"/>
      <c r="EY18" s="84"/>
      <c r="EZ18" s="84"/>
      <c r="FA18" s="84"/>
      <c r="FB18" s="84"/>
      <c r="FC18" s="84"/>
      <c r="FD18" s="84"/>
      <c r="FE18" s="84"/>
      <c r="FF18" s="84"/>
      <c r="FG18" s="84"/>
      <c r="FH18" s="84"/>
      <c r="FI18" s="84"/>
      <c r="FJ18" s="84"/>
      <c r="FK18" s="84"/>
      <c r="FL18" s="84"/>
      <c r="FM18" s="84"/>
      <c r="FN18" s="84"/>
      <c r="FO18" s="84"/>
      <c r="FP18" s="84"/>
      <c r="FQ18" s="84"/>
      <c r="FR18" s="84"/>
      <c r="FS18" s="84"/>
      <c r="FT18" s="84"/>
      <c r="FU18" s="84"/>
      <c r="FV18" s="84"/>
      <c r="FW18" s="84"/>
      <c r="FX18" s="84"/>
      <c r="FY18" s="84"/>
      <c r="FZ18" s="84"/>
      <c r="GA18" s="84"/>
      <c r="GB18" s="84"/>
      <c r="GC18" s="84"/>
      <c r="GD18" s="84"/>
      <c r="GE18" s="84"/>
      <c r="GF18" s="84"/>
      <c r="GG18" s="84"/>
      <c r="GH18" s="84"/>
      <c r="GI18" s="84"/>
      <c r="GJ18" s="84"/>
      <c r="GK18" s="84"/>
      <c r="GL18" s="84"/>
      <c r="GM18" s="84"/>
      <c r="GN18" s="84"/>
      <c r="GO18" s="84"/>
      <c r="GP18" s="84"/>
      <c r="GQ18" s="84"/>
      <c r="GR18" s="84"/>
      <c r="GS18" s="84"/>
      <c r="GT18" s="84"/>
      <c r="GU18" s="84"/>
      <c r="GV18" s="84"/>
      <c r="GW18" s="84"/>
      <c r="GX18" s="84"/>
      <c r="GY18" s="84"/>
      <c r="GZ18" s="84"/>
      <c r="HA18" s="84"/>
      <c r="HB18" s="84"/>
      <c r="HC18" s="84"/>
      <c r="HD18" s="84"/>
      <c r="HE18" s="84"/>
      <c r="HF18" s="84"/>
      <c r="HG18" s="84"/>
      <c r="HH18" s="84"/>
      <c r="HI18" s="84"/>
      <c r="HJ18" s="84"/>
      <c r="HK18" s="84"/>
      <c r="HL18" s="84"/>
      <c r="HM18" s="84"/>
      <c r="HN18" s="84"/>
      <c r="HO18" s="84"/>
      <c r="HP18" s="84"/>
      <c r="HQ18" s="84"/>
      <c r="HR18" s="84"/>
      <c r="HS18" s="84"/>
      <c r="HT18" s="84"/>
      <c r="HU18" s="84"/>
      <c r="HV18" s="84"/>
      <c r="HW18" s="84"/>
      <c r="HX18" s="84"/>
      <c r="HY18" s="84"/>
      <c r="HZ18" s="84"/>
      <c r="IA18" s="84"/>
      <c r="IB18" s="84"/>
    </row>
    <row r="19" spans="1:236" s="136" customFormat="1" x14ac:dyDescent="0.35">
      <c r="A19" s="87"/>
      <c r="B19" s="137" t="s">
        <v>562</v>
      </c>
      <c r="C19" s="138" t="s">
        <v>961</v>
      </c>
      <c r="D19" s="139"/>
      <c r="E19" s="139"/>
      <c r="F19" s="146"/>
      <c r="G19" s="83"/>
      <c r="H19" s="410"/>
      <c r="I19" s="411"/>
      <c r="J19" s="411"/>
      <c r="K19" s="411"/>
      <c r="L19" s="411"/>
      <c r="M19" s="411"/>
      <c r="N19" s="411"/>
      <c r="O19" s="411"/>
      <c r="P19" s="411"/>
      <c r="Q19" s="411"/>
      <c r="R19" s="411"/>
      <c r="S19" s="412"/>
      <c r="T19" s="88"/>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84"/>
      <c r="AW19" s="84"/>
      <c r="AX19" s="84"/>
      <c r="AY19" s="84"/>
      <c r="AZ19" s="84"/>
      <c r="BA19" s="84"/>
      <c r="BB19" s="84"/>
      <c r="BC19" s="84"/>
      <c r="BD19" s="84"/>
      <c r="BE19" s="84"/>
      <c r="BF19" s="84"/>
      <c r="BG19" s="84"/>
      <c r="BH19" s="84"/>
      <c r="BI19" s="84"/>
      <c r="BJ19" s="84"/>
      <c r="BK19" s="84"/>
      <c r="BL19" s="84"/>
      <c r="BM19" s="84"/>
      <c r="BN19" s="84"/>
      <c r="BO19" s="84"/>
      <c r="BP19" s="84"/>
      <c r="BQ19" s="84"/>
      <c r="BR19" s="84"/>
      <c r="BS19" s="84"/>
      <c r="BT19" s="84"/>
      <c r="BU19" s="84"/>
      <c r="BV19" s="84"/>
      <c r="BW19" s="84"/>
      <c r="BX19" s="84"/>
      <c r="BY19" s="84"/>
      <c r="BZ19" s="84"/>
      <c r="CA19" s="84"/>
      <c r="CB19" s="84"/>
      <c r="CC19" s="84"/>
      <c r="CD19" s="84"/>
      <c r="CE19" s="84"/>
      <c r="CF19" s="84"/>
      <c r="CG19" s="84"/>
      <c r="CH19" s="84"/>
      <c r="CI19" s="84"/>
      <c r="CJ19" s="84"/>
      <c r="CK19" s="84"/>
      <c r="CL19" s="84"/>
      <c r="CM19" s="84"/>
      <c r="CN19" s="84"/>
      <c r="CO19" s="84"/>
      <c r="CP19" s="84"/>
      <c r="CQ19" s="84"/>
      <c r="CR19" s="84"/>
      <c r="CS19" s="84"/>
      <c r="CT19" s="84"/>
      <c r="CU19" s="84"/>
      <c r="CV19" s="84"/>
      <c r="CW19" s="84"/>
      <c r="CX19" s="84"/>
      <c r="CY19" s="84"/>
      <c r="CZ19" s="84"/>
      <c r="DA19" s="84"/>
      <c r="DB19" s="84"/>
      <c r="DC19" s="84"/>
      <c r="DD19" s="84"/>
      <c r="DE19" s="84"/>
      <c r="DF19" s="84"/>
      <c r="DG19" s="84"/>
      <c r="DH19" s="84"/>
      <c r="DI19" s="84"/>
      <c r="DJ19" s="84"/>
      <c r="DK19" s="84"/>
      <c r="DL19" s="84"/>
      <c r="DM19" s="84"/>
      <c r="DN19" s="84"/>
      <c r="DO19" s="84"/>
      <c r="DP19" s="84"/>
      <c r="DQ19" s="84"/>
      <c r="DR19" s="84"/>
      <c r="DS19" s="84"/>
      <c r="DT19" s="84"/>
      <c r="DU19" s="84"/>
      <c r="DV19" s="84"/>
      <c r="DW19" s="84"/>
      <c r="DX19" s="84"/>
      <c r="DY19" s="84"/>
      <c r="DZ19" s="84"/>
      <c r="EA19" s="84"/>
      <c r="EB19" s="84"/>
      <c r="EC19" s="84"/>
      <c r="ED19" s="84"/>
      <c r="EE19" s="84"/>
      <c r="EF19" s="84"/>
      <c r="EG19" s="84"/>
      <c r="EH19" s="84"/>
      <c r="EI19" s="84"/>
      <c r="EJ19" s="84"/>
      <c r="EK19" s="84"/>
      <c r="EL19" s="84"/>
      <c r="EM19" s="84"/>
      <c r="EN19" s="84"/>
      <c r="EO19" s="84"/>
      <c r="EP19" s="84"/>
      <c r="EQ19" s="84"/>
      <c r="ER19" s="84"/>
      <c r="ES19" s="84"/>
      <c r="ET19" s="84"/>
      <c r="EU19" s="84"/>
      <c r="EV19" s="84"/>
      <c r="EW19" s="84"/>
      <c r="EX19" s="84"/>
      <c r="EY19" s="84"/>
      <c r="EZ19" s="84"/>
      <c r="FA19" s="84"/>
      <c r="FB19" s="84"/>
      <c r="FC19" s="84"/>
      <c r="FD19" s="84"/>
      <c r="FE19" s="84"/>
      <c r="FF19" s="84"/>
      <c r="FG19" s="84"/>
      <c r="FH19" s="84"/>
      <c r="FI19" s="84"/>
      <c r="FJ19" s="84"/>
      <c r="FK19" s="84"/>
      <c r="FL19" s="84"/>
      <c r="FM19" s="84"/>
      <c r="FN19" s="84"/>
      <c r="FO19" s="84"/>
      <c r="FP19" s="84"/>
      <c r="FQ19" s="84"/>
      <c r="FR19" s="84"/>
      <c r="FS19" s="84"/>
      <c r="FT19" s="84"/>
      <c r="FU19" s="84"/>
      <c r="FV19" s="84"/>
      <c r="FW19" s="84"/>
      <c r="FX19" s="84"/>
      <c r="FY19" s="84"/>
      <c r="FZ19" s="84"/>
      <c r="GA19" s="84"/>
      <c r="GB19" s="84"/>
      <c r="GC19" s="84"/>
      <c r="GD19" s="84"/>
      <c r="GE19" s="84"/>
      <c r="GF19" s="84"/>
      <c r="GG19" s="84"/>
      <c r="GH19" s="84"/>
      <c r="GI19" s="84"/>
      <c r="GJ19" s="84"/>
      <c r="GK19" s="84"/>
      <c r="GL19" s="84"/>
      <c r="GM19" s="84"/>
      <c r="GN19" s="84"/>
      <c r="GO19" s="84"/>
      <c r="GP19" s="84"/>
      <c r="GQ19" s="84"/>
      <c r="GR19" s="84"/>
      <c r="GS19" s="84"/>
      <c r="GT19" s="84"/>
      <c r="GU19" s="84"/>
      <c r="GV19" s="84"/>
      <c r="GW19" s="84"/>
      <c r="GX19" s="84"/>
      <c r="GY19" s="84"/>
      <c r="GZ19" s="84"/>
      <c r="HA19" s="84"/>
      <c r="HB19" s="84"/>
      <c r="HC19" s="84"/>
      <c r="HD19" s="84"/>
      <c r="HE19" s="84"/>
      <c r="HF19" s="84"/>
      <c r="HG19" s="84"/>
      <c r="HH19" s="84"/>
      <c r="HI19" s="84"/>
      <c r="HJ19" s="84"/>
      <c r="HK19" s="84"/>
      <c r="HL19" s="84"/>
      <c r="HM19" s="84"/>
      <c r="HN19" s="84"/>
      <c r="HO19" s="84"/>
      <c r="HP19" s="84"/>
      <c r="HQ19" s="84"/>
      <c r="HR19" s="84"/>
      <c r="HS19" s="84"/>
      <c r="HT19" s="84"/>
      <c r="HU19" s="84"/>
      <c r="HV19" s="84"/>
      <c r="HW19" s="84"/>
      <c r="HX19" s="84"/>
      <c r="HY19" s="84"/>
      <c r="HZ19" s="84"/>
      <c r="IA19" s="84"/>
      <c r="IB19" s="84"/>
    </row>
    <row r="20" spans="1:236" s="136" customFormat="1" ht="76.5" customHeight="1" x14ac:dyDescent="0.35">
      <c r="A20" s="87"/>
      <c r="B20" s="101" t="s">
        <v>167</v>
      </c>
      <c r="C20" s="129" t="s">
        <v>549</v>
      </c>
      <c r="D20" s="102" t="s">
        <v>962</v>
      </c>
      <c r="E20" s="103" t="s">
        <v>947</v>
      </c>
      <c r="F20" s="104"/>
      <c r="G20" s="83"/>
      <c r="H20" s="410"/>
      <c r="I20" s="411"/>
      <c r="J20" s="411"/>
      <c r="K20" s="411"/>
      <c r="L20" s="411"/>
      <c r="M20" s="411"/>
      <c r="N20" s="411"/>
      <c r="O20" s="411"/>
      <c r="P20" s="411"/>
      <c r="Q20" s="411"/>
      <c r="R20" s="411"/>
      <c r="S20" s="412"/>
      <c r="T20" s="88"/>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84"/>
      <c r="AW20" s="84"/>
      <c r="AX20" s="84"/>
      <c r="AY20" s="84"/>
      <c r="AZ20" s="84"/>
      <c r="BA20" s="84"/>
      <c r="BB20" s="84"/>
      <c r="BC20" s="84"/>
      <c r="BD20" s="84"/>
      <c r="BE20" s="84"/>
      <c r="BF20" s="84"/>
      <c r="BG20" s="84"/>
      <c r="BH20" s="84"/>
      <c r="BI20" s="84"/>
      <c r="BJ20" s="84"/>
      <c r="BK20" s="84"/>
      <c r="BL20" s="84"/>
      <c r="BM20" s="84"/>
      <c r="BN20" s="84"/>
      <c r="BO20" s="84"/>
      <c r="BP20" s="84"/>
      <c r="BQ20" s="84"/>
      <c r="BR20" s="84"/>
      <c r="BS20" s="84"/>
      <c r="BT20" s="84"/>
      <c r="BU20" s="84"/>
      <c r="BV20" s="84"/>
      <c r="BW20" s="84"/>
      <c r="BX20" s="84"/>
      <c r="BY20" s="84"/>
      <c r="BZ20" s="84"/>
      <c r="CA20" s="84"/>
      <c r="CB20" s="84"/>
      <c r="CC20" s="84"/>
      <c r="CD20" s="84"/>
      <c r="CE20" s="84"/>
      <c r="CF20" s="84"/>
      <c r="CG20" s="84"/>
      <c r="CH20" s="84"/>
      <c r="CI20" s="84"/>
      <c r="CJ20" s="84"/>
      <c r="CK20" s="84"/>
      <c r="CL20" s="84"/>
      <c r="CM20" s="84"/>
      <c r="CN20" s="84"/>
      <c r="CO20" s="84"/>
      <c r="CP20" s="84"/>
      <c r="CQ20" s="84"/>
      <c r="CR20" s="84"/>
      <c r="CS20" s="84"/>
      <c r="CT20" s="84"/>
      <c r="CU20" s="84"/>
      <c r="CV20" s="84"/>
      <c r="CW20" s="84"/>
      <c r="CX20" s="84"/>
      <c r="CY20" s="84"/>
      <c r="CZ20" s="84"/>
      <c r="DA20" s="84"/>
      <c r="DB20" s="84"/>
      <c r="DC20" s="84"/>
      <c r="DD20" s="84"/>
      <c r="DE20" s="84"/>
      <c r="DF20" s="84"/>
      <c r="DG20" s="84"/>
      <c r="DH20" s="84"/>
      <c r="DI20" s="84"/>
      <c r="DJ20" s="84"/>
      <c r="DK20" s="84"/>
      <c r="DL20" s="84"/>
      <c r="DM20" s="84"/>
      <c r="DN20" s="84"/>
      <c r="DO20" s="84"/>
      <c r="DP20" s="84"/>
      <c r="DQ20" s="84"/>
      <c r="DR20" s="84"/>
      <c r="DS20" s="84"/>
      <c r="DT20" s="84"/>
      <c r="DU20" s="84"/>
      <c r="DV20" s="84"/>
      <c r="DW20" s="84"/>
      <c r="DX20" s="84"/>
      <c r="DY20" s="84"/>
      <c r="DZ20" s="84"/>
      <c r="EA20" s="84"/>
      <c r="EB20" s="84"/>
      <c r="EC20" s="84"/>
      <c r="ED20" s="84"/>
      <c r="EE20" s="84"/>
      <c r="EF20" s="84"/>
      <c r="EG20" s="84"/>
      <c r="EH20" s="84"/>
      <c r="EI20" s="84"/>
      <c r="EJ20" s="84"/>
      <c r="EK20" s="84"/>
      <c r="EL20" s="84"/>
      <c r="EM20" s="84"/>
      <c r="EN20" s="84"/>
      <c r="EO20" s="84"/>
      <c r="EP20" s="84"/>
      <c r="EQ20" s="84"/>
      <c r="ER20" s="84"/>
      <c r="ES20" s="84"/>
      <c r="ET20" s="84"/>
      <c r="EU20" s="84"/>
      <c r="EV20" s="84"/>
      <c r="EW20" s="84"/>
      <c r="EX20" s="84"/>
      <c r="EY20" s="84"/>
      <c r="EZ20" s="84"/>
      <c r="FA20" s="84"/>
      <c r="FB20" s="84"/>
      <c r="FC20" s="84"/>
      <c r="FD20" s="84"/>
      <c r="FE20" s="84"/>
      <c r="FF20" s="84"/>
      <c r="FG20" s="84"/>
      <c r="FH20" s="84"/>
      <c r="FI20" s="84"/>
      <c r="FJ20" s="84"/>
      <c r="FK20" s="84"/>
      <c r="FL20" s="84"/>
      <c r="FM20" s="84"/>
      <c r="FN20" s="84"/>
      <c r="FO20" s="84"/>
      <c r="FP20" s="84"/>
      <c r="FQ20" s="84"/>
      <c r="FR20" s="84"/>
      <c r="FS20" s="84"/>
      <c r="FT20" s="84"/>
      <c r="FU20" s="84"/>
      <c r="FV20" s="84"/>
      <c r="FW20" s="84"/>
      <c r="FX20" s="84"/>
      <c r="FY20" s="84"/>
      <c r="FZ20" s="84"/>
      <c r="GA20" s="84"/>
      <c r="GB20" s="84"/>
      <c r="GC20" s="84"/>
      <c r="GD20" s="84"/>
      <c r="GE20" s="84"/>
      <c r="GF20" s="84"/>
      <c r="GG20" s="84"/>
      <c r="GH20" s="84"/>
      <c r="GI20" s="84"/>
      <c r="GJ20" s="84"/>
      <c r="GK20" s="84"/>
      <c r="GL20" s="84"/>
      <c r="GM20" s="84"/>
      <c r="GN20" s="84"/>
      <c r="GO20" s="84"/>
      <c r="GP20" s="84"/>
      <c r="GQ20" s="84"/>
      <c r="GR20" s="84"/>
      <c r="GS20" s="84"/>
      <c r="GT20" s="84"/>
      <c r="GU20" s="84"/>
      <c r="GV20" s="84"/>
      <c r="GW20" s="84"/>
      <c r="GX20" s="84"/>
      <c r="GY20" s="84"/>
      <c r="GZ20" s="84"/>
      <c r="HA20" s="84"/>
      <c r="HB20" s="84"/>
      <c r="HC20" s="84"/>
      <c r="HD20" s="84"/>
      <c r="HE20" s="84"/>
      <c r="HF20" s="84"/>
      <c r="HG20" s="84"/>
      <c r="HH20" s="84"/>
      <c r="HI20" s="84"/>
      <c r="HJ20" s="84"/>
      <c r="HK20" s="84"/>
      <c r="HL20" s="84"/>
      <c r="HM20" s="84"/>
      <c r="HN20" s="84"/>
      <c r="HO20" s="84"/>
      <c r="HP20" s="84"/>
      <c r="HQ20" s="84"/>
      <c r="HR20" s="84"/>
      <c r="HS20" s="84"/>
      <c r="HT20" s="84"/>
      <c r="HU20" s="84"/>
      <c r="HV20" s="84"/>
      <c r="HW20" s="84"/>
      <c r="HX20" s="84"/>
      <c r="HY20" s="84"/>
      <c r="HZ20" s="84"/>
      <c r="IA20" s="84"/>
      <c r="IB20" s="84"/>
    </row>
    <row r="21" spans="1:236" s="136" customFormat="1" ht="29" x14ac:dyDescent="0.35">
      <c r="A21" s="87"/>
      <c r="B21" s="101" t="s">
        <v>167</v>
      </c>
      <c r="C21" s="129" t="s">
        <v>549</v>
      </c>
      <c r="D21" s="102" t="s">
        <v>950</v>
      </c>
      <c r="E21" s="103" t="s">
        <v>963</v>
      </c>
      <c r="F21" s="104"/>
      <c r="G21" s="83"/>
      <c r="H21" s="410"/>
      <c r="I21" s="411"/>
      <c r="J21" s="411"/>
      <c r="K21" s="411"/>
      <c r="L21" s="411"/>
      <c r="M21" s="411"/>
      <c r="N21" s="411"/>
      <c r="O21" s="411"/>
      <c r="P21" s="411"/>
      <c r="Q21" s="411"/>
      <c r="R21" s="411"/>
      <c r="S21" s="412"/>
      <c r="T21" s="88"/>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84"/>
      <c r="AW21" s="84"/>
      <c r="AX21" s="84"/>
      <c r="AY21" s="84"/>
      <c r="AZ21" s="84"/>
      <c r="BA21" s="84"/>
      <c r="BB21" s="84"/>
      <c r="BC21" s="84"/>
      <c r="BD21" s="84"/>
      <c r="BE21" s="84"/>
      <c r="BF21" s="84"/>
      <c r="BG21" s="84"/>
      <c r="BH21" s="84"/>
      <c r="BI21" s="84"/>
      <c r="BJ21" s="84"/>
      <c r="BK21" s="84"/>
      <c r="BL21" s="84"/>
      <c r="BM21" s="84"/>
      <c r="BN21" s="84"/>
      <c r="BO21" s="84"/>
      <c r="BP21" s="84"/>
      <c r="BQ21" s="84"/>
      <c r="BR21" s="84"/>
      <c r="BS21" s="84"/>
      <c r="BT21" s="84"/>
      <c r="BU21" s="84"/>
      <c r="BV21" s="84"/>
      <c r="BW21" s="84"/>
      <c r="BX21" s="84"/>
      <c r="BY21" s="84"/>
      <c r="BZ21" s="84"/>
      <c r="CA21" s="84"/>
      <c r="CB21" s="84"/>
      <c r="CC21" s="84"/>
      <c r="CD21" s="84"/>
      <c r="CE21" s="84"/>
      <c r="CF21" s="84"/>
      <c r="CG21" s="84"/>
      <c r="CH21" s="84"/>
      <c r="CI21" s="84"/>
      <c r="CJ21" s="84"/>
      <c r="CK21" s="84"/>
      <c r="CL21" s="84"/>
      <c r="CM21" s="84"/>
      <c r="CN21" s="84"/>
      <c r="CO21" s="84"/>
      <c r="CP21" s="84"/>
      <c r="CQ21" s="84"/>
      <c r="CR21" s="84"/>
      <c r="CS21" s="84"/>
      <c r="CT21" s="84"/>
      <c r="CU21" s="84"/>
      <c r="CV21" s="84"/>
      <c r="CW21" s="84"/>
      <c r="CX21" s="84"/>
      <c r="CY21" s="84"/>
      <c r="CZ21" s="84"/>
      <c r="DA21" s="84"/>
      <c r="DB21" s="84"/>
      <c r="DC21" s="84"/>
      <c r="DD21" s="84"/>
      <c r="DE21" s="84"/>
      <c r="DF21" s="84"/>
      <c r="DG21" s="84"/>
      <c r="DH21" s="84"/>
      <c r="DI21" s="84"/>
      <c r="DJ21" s="84"/>
      <c r="DK21" s="84"/>
      <c r="DL21" s="84"/>
      <c r="DM21" s="84"/>
      <c r="DN21" s="84"/>
      <c r="DO21" s="84"/>
      <c r="DP21" s="84"/>
      <c r="DQ21" s="84"/>
      <c r="DR21" s="84"/>
      <c r="DS21" s="84"/>
      <c r="DT21" s="84"/>
      <c r="DU21" s="84"/>
      <c r="DV21" s="84"/>
      <c r="DW21" s="84"/>
      <c r="DX21" s="84"/>
      <c r="DY21" s="84"/>
      <c r="DZ21" s="84"/>
      <c r="EA21" s="84"/>
      <c r="EB21" s="84"/>
      <c r="EC21" s="84"/>
      <c r="ED21" s="84"/>
      <c r="EE21" s="84"/>
      <c r="EF21" s="84"/>
      <c r="EG21" s="84"/>
      <c r="EH21" s="84"/>
      <c r="EI21" s="84"/>
      <c r="EJ21" s="84"/>
      <c r="EK21" s="84"/>
      <c r="EL21" s="84"/>
      <c r="EM21" s="84"/>
      <c r="EN21" s="84"/>
      <c r="EO21" s="84"/>
      <c r="EP21" s="84"/>
      <c r="EQ21" s="84"/>
      <c r="ER21" s="84"/>
      <c r="ES21" s="84"/>
      <c r="ET21" s="84"/>
      <c r="EU21" s="84"/>
      <c r="EV21" s="84"/>
      <c r="EW21" s="84"/>
      <c r="EX21" s="84"/>
      <c r="EY21" s="84"/>
      <c r="EZ21" s="84"/>
      <c r="FA21" s="84"/>
      <c r="FB21" s="84"/>
      <c r="FC21" s="84"/>
      <c r="FD21" s="84"/>
      <c r="FE21" s="84"/>
      <c r="FF21" s="84"/>
      <c r="FG21" s="84"/>
      <c r="FH21" s="84"/>
      <c r="FI21" s="84"/>
      <c r="FJ21" s="84"/>
      <c r="FK21" s="84"/>
      <c r="FL21" s="84"/>
      <c r="FM21" s="84"/>
      <c r="FN21" s="84"/>
      <c r="FO21" s="84"/>
      <c r="FP21" s="84"/>
      <c r="FQ21" s="84"/>
      <c r="FR21" s="84"/>
      <c r="FS21" s="84"/>
      <c r="FT21" s="84"/>
      <c r="FU21" s="84"/>
      <c r="FV21" s="84"/>
      <c r="FW21" s="84"/>
      <c r="FX21" s="84"/>
      <c r="FY21" s="84"/>
      <c r="FZ21" s="84"/>
      <c r="GA21" s="84"/>
      <c r="GB21" s="84"/>
      <c r="GC21" s="84"/>
      <c r="GD21" s="84"/>
      <c r="GE21" s="84"/>
      <c r="GF21" s="84"/>
      <c r="GG21" s="84"/>
      <c r="GH21" s="84"/>
      <c r="GI21" s="84"/>
      <c r="GJ21" s="84"/>
      <c r="GK21" s="84"/>
      <c r="GL21" s="84"/>
      <c r="GM21" s="84"/>
      <c r="GN21" s="84"/>
      <c r="GO21" s="84"/>
      <c r="GP21" s="84"/>
      <c r="GQ21" s="84"/>
      <c r="GR21" s="84"/>
      <c r="GS21" s="84"/>
      <c r="GT21" s="84"/>
      <c r="GU21" s="84"/>
      <c r="GV21" s="84"/>
      <c r="GW21" s="84"/>
      <c r="GX21" s="84"/>
      <c r="GY21" s="84"/>
      <c r="GZ21" s="84"/>
      <c r="HA21" s="84"/>
      <c r="HB21" s="84"/>
      <c r="HC21" s="84"/>
      <c r="HD21" s="84"/>
      <c r="HE21" s="84"/>
      <c r="HF21" s="84"/>
      <c r="HG21" s="84"/>
      <c r="HH21" s="84"/>
      <c r="HI21" s="84"/>
      <c r="HJ21" s="84"/>
      <c r="HK21" s="84"/>
      <c r="HL21" s="84"/>
      <c r="HM21" s="84"/>
      <c r="HN21" s="84"/>
      <c r="HO21" s="84"/>
      <c r="HP21" s="84"/>
      <c r="HQ21" s="84"/>
      <c r="HR21" s="84"/>
      <c r="HS21" s="84"/>
      <c r="HT21" s="84"/>
      <c r="HU21" s="84"/>
      <c r="HV21" s="84"/>
      <c r="HW21" s="84"/>
      <c r="HX21" s="84"/>
      <c r="HY21" s="84"/>
      <c r="HZ21" s="84"/>
      <c r="IA21" s="84"/>
      <c r="IB21" s="84"/>
    </row>
    <row r="22" spans="1:236" s="157" customFormat="1" ht="29" x14ac:dyDescent="0.35">
      <c r="A22" s="87"/>
      <c r="B22" s="101" t="s">
        <v>167</v>
      </c>
      <c r="C22" s="147" t="s">
        <v>549</v>
      </c>
      <c r="D22" s="102" t="s">
        <v>958</v>
      </c>
      <c r="E22" s="103" t="s">
        <v>964</v>
      </c>
      <c r="F22" s="104"/>
      <c r="G22" s="83"/>
      <c r="H22" s="410"/>
      <c r="I22" s="411"/>
      <c r="J22" s="411"/>
      <c r="K22" s="411"/>
      <c r="L22" s="411"/>
      <c r="M22" s="411"/>
      <c r="N22" s="411"/>
      <c r="O22" s="411"/>
      <c r="P22" s="411"/>
      <c r="Q22" s="411"/>
      <c r="R22" s="411"/>
      <c r="S22" s="412"/>
      <c r="T22" s="88"/>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84"/>
      <c r="AW22" s="84"/>
      <c r="AX22" s="84"/>
      <c r="AY22" s="84"/>
      <c r="AZ22" s="84"/>
      <c r="BA22" s="84"/>
      <c r="BB22" s="84"/>
      <c r="BC22" s="84"/>
      <c r="BD22" s="84"/>
      <c r="BE22" s="84"/>
      <c r="BF22" s="84"/>
      <c r="BG22" s="84"/>
      <c r="BH22" s="84"/>
      <c r="BI22" s="84"/>
      <c r="BJ22" s="84"/>
      <c r="BK22" s="84"/>
      <c r="BL22" s="84"/>
      <c r="BM22" s="84"/>
      <c r="BN22" s="84"/>
      <c r="BO22" s="84"/>
      <c r="BP22" s="84"/>
      <c r="BQ22" s="84"/>
      <c r="BR22" s="84"/>
      <c r="BS22" s="84"/>
      <c r="BT22" s="84"/>
      <c r="BU22" s="84"/>
      <c r="BV22" s="84"/>
      <c r="BW22" s="84"/>
      <c r="BX22" s="84"/>
      <c r="BY22" s="84"/>
      <c r="BZ22" s="84"/>
      <c r="CA22" s="84"/>
      <c r="CB22" s="84"/>
      <c r="CC22" s="84"/>
      <c r="CD22" s="84"/>
      <c r="CE22" s="84"/>
      <c r="CF22" s="84"/>
      <c r="CG22" s="84"/>
      <c r="CH22" s="84"/>
      <c r="CI22" s="84"/>
      <c r="CJ22" s="84"/>
      <c r="CK22" s="84"/>
      <c r="CL22" s="84"/>
      <c r="CM22" s="84"/>
      <c r="CN22" s="84"/>
      <c r="CO22" s="84"/>
      <c r="CP22" s="84"/>
      <c r="CQ22" s="84"/>
      <c r="CR22" s="84"/>
      <c r="CS22" s="84"/>
      <c r="CT22" s="84"/>
      <c r="CU22" s="84"/>
      <c r="CV22" s="84"/>
      <c r="CW22" s="84"/>
      <c r="CX22" s="84"/>
      <c r="CY22" s="84"/>
      <c r="CZ22" s="84"/>
      <c r="DA22" s="84"/>
      <c r="DB22" s="84"/>
      <c r="DC22" s="84"/>
      <c r="DD22" s="84"/>
      <c r="DE22" s="84"/>
      <c r="DF22" s="84"/>
      <c r="DG22" s="84"/>
      <c r="DH22" s="84"/>
      <c r="DI22" s="84"/>
      <c r="DJ22" s="84"/>
      <c r="DK22" s="84"/>
      <c r="DL22" s="84"/>
      <c r="DM22" s="84"/>
      <c r="DN22" s="84"/>
      <c r="DO22" s="84"/>
      <c r="DP22" s="84"/>
      <c r="DQ22" s="84"/>
      <c r="DR22" s="84"/>
      <c r="DS22" s="84"/>
      <c r="DT22" s="84"/>
      <c r="DU22" s="84"/>
      <c r="DV22" s="84"/>
      <c r="DW22" s="84"/>
      <c r="DX22" s="84"/>
      <c r="DY22" s="84"/>
      <c r="DZ22" s="84"/>
      <c r="EA22" s="84"/>
      <c r="EB22" s="84"/>
      <c r="EC22" s="84"/>
      <c r="ED22" s="84"/>
      <c r="EE22" s="84"/>
      <c r="EF22" s="84"/>
      <c r="EG22" s="84"/>
      <c r="EH22" s="84"/>
      <c r="EI22" s="84"/>
      <c r="EJ22" s="84"/>
      <c r="EK22" s="84"/>
      <c r="EL22" s="84"/>
      <c r="EM22" s="84"/>
      <c r="EN22" s="84"/>
      <c r="EO22" s="84"/>
      <c r="EP22" s="84"/>
      <c r="EQ22" s="84"/>
      <c r="ER22" s="84"/>
      <c r="ES22" s="84"/>
      <c r="ET22" s="84"/>
      <c r="EU22" s="84"/>
      <c r="EV22" s="84"/>
      <c r="EW22" s="84"/>
      <c r="EX22" s="84"/>
      <c r="EY22" s="84"/>
      <c r="EZ22" s="84"/>
      <c r="FA22" s="84"/>
      <c r="FB22" s="84"/>
      <c r="FC22" s="84"/>
      <c r="FD22" s="84"/>
      <c r="FE22" s="84"/>
      <c r="FF22" s="84"/>
      <c r="FG22" s="84"/>
      <c r="FH22" s="84"/>
      <c r="FI22" s="84"/>
      <c r="FJ22" s="84"/>
      <c r="FK22" s="84"/>
      <c r="FL22" s="84"/>
      <c r="FM22" s="84"/>
      <c r="FN22" s="84"/>
      <c r="FO22" s="84"/>
      <c r="FP22" s="84"/>
      <c r="FQ22" s="84"/>
      <c r="FR22" s="84"/>
      <c r="FS22" s="84"/>
      <c r="FT22" s="84"/>
      <c r="FU22" s="84"/>
      <c r="FV22" s="84"/>
      <c r="FW22" s="84"/>
      <c r="FX22" s="84"/>
      <c r="FY22" s="84"/>
      <c r="FZ22" s="84"/>
      <c r="GA22" s="84"/>
      <c r="GB22" s="84"/>
      <c r="GC22" s="84"/>
      <c r="GD22" s="84"/>
      <c r="GE22" s="84"/>
      <c r="GF22" s="84"/>
      <c r="GG22" s="84"/>
      <c r="GH22" s="84"/>
      <c r="GI22" s="84"/>
      <c r="GJ22" s="84"/>
      <c r="GK22" s="84"/>
      <c r="GL22" s="84"/>
      <c r="GM22" s="84"/>
      <c r="GN22" s="84"/>
      <c r="GO22" s="84"/>
      <c r="GP22" s="84"/>
      <c r="GQ22" s="84"/>
      <c r="GR22" s="84"/>
      <c r="GS22" s="84"/>
      <c r="GT22" s="84"/>
      <c r="GU22" s="84"/>
      <c r="GV22" s="84"/>
      <c r="GW22" s="84"/>
      <c r="GX22" s="84"/>
      <c r="GY22" s="84"/>
      <c r="GZ22" s="84"/>
      <c r="HA22" s="84"/>
      <c r="HB22" s="84"/>
      <c r="HC22" s="84"/>
      <c r="HD22" s="84"/>
      <c r="HE22" s="84"/>
      <c r="HF22" s="84"/>
      <c r="HG22" s="84"/>
      <c r="HH22" s="84"/>
      <c r="HI22" s="84"/>
      <c r="HJ22" s="84"/>
      <c r="HK22" s="84"/>
      <c r="HL22" s="84"/>
      <c r="HM22" s="84"/>
      <c r="HN22" s="84"/>
      <c r="HO22" s="84"/>
      <c r="HP22" s="84"/>
      <c r="HQ22" s="84"/>
      <c r="HR22" s="84"/>
      <c r="HS22" s="84"/>
      <c r="HT22" s="84"/>
      <c r="HU22" s="84"/>
      <c r="HV22" s="84"/>
      <c r="HW22" s="84"/>
      <c r="HX22" s="84"/>
      <c r="HY22" s="84"/>
      <c r="HZ22" s="84"/>
      <c r="IA22" s="84"/>
      <c r="IB22" s="84"/>
    </row>
    <row r="23" spans="1:236" ht="15.5" x14ac:dyDescent="0.35">
      <c r="A23" s="87"/>
      <c r="B23" s="126" t="s">
        <v>565</v>
      </c>
      <c r="C23" s="428" t="s">
        <v>965</v>
      </c>
      <c r="D23" s="429"/>
      <c r="E23" s="429"/>
      <c r="F23" s="430"/>
      <c r="G23" s="83"/>
      <c r="H23" s="410"/>
      <c r="I23" s="411"/>
      <c r="J23" s="411"/>
      <c r="K23" s="411"/>
      <c r="L23" s="411"/>
      <c r="M23" s="411"/>
      <c r="N23" s="411"/>
      <c r="O23" s="411"/>
      <c r="P23" s="411"/>
      <c r="Q23" s="411"/>
      <c r="R23" s="411"/>
      <c r="S23" s="412"/>
      <c r="T23" s="88"/>
    </row>
    <row r="24" spans="1:236" x14ac:dyDescent="0.35">
      <c r="A24" s="87"/>
      <c r="B24" s="95" t="s">
        <v>545</v>
      </c>
      <c r="C24" s="416" t="s">
        <v>966</v>
      </c>
      <c r="D24" s="417"/>
      <c r="E24" s="417"/>
      <c r="F24" s="418"/>
      <c r="G24" s="83"/>
      <c r="H24" s="410"/>
      <c r="I24" s="411"/>
      <c r="J24" s="411"/>
      <c r="K24" s="411"/>
      <c r="L24" s="411"/>
      <c r="M24" s="411"/>
      <c r="N24" s="411"/>
      <c r="O24" s="411"/>
      <c r="P24" s="411"/>
      <c r="Q24" s="411"/>
      <c r="R24" s="411"/>
      <c r="S24" s="412"/>
      <c r="T24" s="88"/>
    </row>
    <row r="25" spans="1:236" x14ac:dyDescent="0.35">
      <c r="A25" s="87"/>
      <c r="B25" s="96" t="s">
        <v>568</v>
      </c>
      <c r="C25" s="97" t="s">
        <v>967</v>
      </c>
      <c r="D25" s="98"/>
      <c r="E25" s="99"/>
      <c r="F25" s="145"/>
      <c r="G25" s="83"/>
      <c r="H25" s="410"/>
      <c r="I25" s="411"/>
      <c r="J25" s="411"/>
      <c r="K25" s="411"/>
      <c r="L25" s="411"/>
      <c r="M25" s="411"/>
      <c r="N25" s="411"/>
      <c r="O25" s="411"/>
      <c r="P25" s="411"/>
      <c r="Q25" s="411"/>
      <c r="R25" s="411"/>
      <c r="S25" s="412"/>
      <c r="T25" s="88"/>
    </row>
    <row r="26" spans="1:236" x14ac:dyDescent="0.35">
      <c r="A26" s="87"/>
      <c r="B26" s="101" t="s">
        <v>167</v>
      </c>
      <c r="C26" s="129" t="s">
        <v>549</v>
      </c>
      <c r="D26" s="102" t="s">
        <v>968</v>
      </c>
      <c r="E26" s="103" t="s">
        <v>969</v>
      </c>
      <c r="F26" s="104"/>
      <c r="G26" s="83"/>
      <c r="H26" s="410"/>
      <c r="I26" s="411"/>
      <c r="J26" s="411"/>
      <c r="K26" s="411"/>
      <c r="L26" s="411"/>
      <c r="M26" s="411"/>
      <c r="N26" s="411"/>
      <c r="O26" s="411"/>
      <c r="P26" s="411"/>
      <c r="Q26" s="411"/>
      <c r="R26" s="411"/>
      <c r="S26" s="412"/>
      <c r="T26" s="88"/>
    </row>
    <row r="27" spans="1:236" ht="29" x14ac:dyDescent="0.35">
      <c r="A27" s="87"/>
      <c r="B27" s="101" t="s">
        <v>167</v>
      </c>
      <c r="C27" s="129" t="s">
        <v>549</v>
      </c>
      <c r="D27" s="102" t="s">
        <v>970</v>
      </c>
      <c r="E27" s="103" t="s">
        <v>971</v>
      </c>
      <c r="F27" s="104" t="s">
        <v>972</v>
      </c>
      <c r="G27" s="83"/>
      <c r="H27" s="410"/>
      <c r="I27" s="411"/>
      <c r="J27" s="411"/>
      <c r="K27" s="411"/>
      <c r="L27" s="411"/>
      <c r="M27" s="411"/>
      <c r="N27" s="411"/>
      <c r="O27" s="411"/>
      <c r="P27" s="411"/>
      <c r="Q27" s="411"/>
      <c r="R27" s="411"/>
      <c r="S27" s="412"/>
      <c r="T27" s="88"/>
    </row>
    <row r="28" spans="1:236" ht="29" x14ac:dyDescent="0.35">
      <c r="A28" s="87"/>
      <c r="B28" s="101" t="s">
        <v>167</v>
      </c>
      <c r="C28" s="129" t="s">
        <v>549</v>
      </c>
      <c r="D28" s="102" t="s">
        <v>973</v>
      </c>
      <c r="E28" s="103" t="s">
        <v>974</v>
      </c>
      <c r="F28" s="104" t="s">
        <v>975</v>
      </c>
      <c r="G28" s="83"/>
      <c r="H28" s="410"/>
      <c r="I28" s="411"/>
      <c r="J28" s="411"/>
      <c r="K28" s="411"/>
      <c r="L28" s="411"/>
      <c r="M28" s="411"/>
      <c r="N28" s="411"/>
      <c r="O28" s="411"/>
      <c r="P28" s="411"/>
      <c r="Q28" s="411"/>
      <c r="R28" s="411"/>
      <c r="S28" s="412"/>
      <c r="T28" s="88"/>
    </row>
    <row r="29" spans="1:236" s="157" customFormat="1" x14ac:dyDescent="0.35">
      <c r="A29" s="87"/>
      <c r="B29" s="101" t="s">
        <v>167</v>
      </c>
      <c r="C29" s="147" t="s">
        <v>549</v>
      </c>
      <c r="D29" s="102" t="s">
        <v>976</v>
      </c>
      <c r="E29" s="103" t="s">
        <v>977</v>
      </c>
      <c r="F29" s="104"/>
      <c r="G29" s="83"/>
      <c r="H29" s="410"/>
      <c r="I29" s="411"/>
      <c r="J29" s="411"/>
      <c r="K29" s="411"/>
      <c r="L29" s="411"/>
      <c r="M29" s="411"/>
      <c r="N29" s="411"/>
      <c r="O29" s="411"/>
      <c r="P29" s="411"/>
      <c r="Q29" s="411"/>
      <c r="R29" s="411"/>
      <c r="S29" s="412"/>
      <c r="T29" s="88"/>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84"/>
      <c r="AW29" s="84"/>
      <c r="AX29" s="84"/>
      <c r="AY29" s="84"/>
      <c r="AZ29" s="84"/>
      <c r="BA29" s="84"/>
      <c r="BB29" s="84"/>
      <c r="BC29" s="84"/>
      <c r="BD29" s="84"/>
      <c r="BE29" s="84"/>
      <c r="BF29" s="84"/>
      <c r="BG29" s="84"/>
      <c r="BH29" s="84"/>
      <c r="BI29" s="84"/>
      <c r="BJ29" s="84"/>
      <c r="BK29" s="84"/>
      <c r="BL29" s="84"/>
      <c r="BM29" s="84"/>
      <c r="BN29" s="84"/>
      <c r="BO29" s="84"/>
      <c r="BP29" s="84"/>
      <c r="BQ29" s="84"/>
      <c r="BR29" s="84"/>
      <c r="BS29" s="84"/>
      <c r="BT29" s="84"/>
      <c r="BU29" s="84"/>
      <c r="BV29" s="84"/>
      <c r="BW29" s="84"/>
      <c r="BX29" s="84"/>
      <c r="BY29" s="84"/>
      <c r="BZ29" s="84"/>
      <c r="CA29" s="84"/>
      <c r="CB29" s="84"/>
      <c r="CC29" s="84"/>
      <c r="CD29" s="84"/>
      <c r="CE29" s="84"/>
      <c r="CF29" s="84"/>
      <c r="CG29" s="84"/>
      <c r="CH29" s="84"/>
      <c r="CI29" s="84"/>
      <c r="CJ29" s="84"/>
      <c r="CK29" s="84"/>
      <c r="CL29" s="84"/>
      <c r="CM29" s="84"/>
      <c r="CN29" s="84"/>
      <c r="CO29" s="84"/>
      <c r="CP29" s="84"/>
      <c r="CQ29" s="84"/>
      <c r="CR29" s="84"/>
      <c r="CS29" s="84"/>
      <c r="CT29" s="84"/>
      <c r="CU29" s="84"/>
      <c r="CV29" s="84"/>
      <c r="CW29" s="84"/>
      <c r="CX29" s="84"/>
      <c r="CY29" s="84"/>
      <c r="CZ29" s="84"/>
      <c r="DA29" s="84"/>
      <c r="DB29" s="84"/>
      <c r="DC29" s="84"/>
      <c r="DD29" s="84"/>
      <c r="DE29" s="84"/>
      <c r="DF29" s="84"/>
      <c r="DG29" s="84"/>
      <c r="DH29" s="84"/>
      <c r="DI29" s="84"/>
      <c r="DJ29" s="84"/>
      <c r="DK29" s="84"/>
      <c r="DL29" s="84"/>
      <c r="DM29" s="84"/>
      <c r="DN29" s="84"/>
      <c r="DO29" s="84"/>
      <c r="DP29" s="84"/>
      <c r="DQ29" s="84"/>
      <c r="DR29" s="84"/>
      <c r="DS29" s="84"/>
      <c r="DT29" s="84"/>
      <c r="DU29" s="84"/>
      <c r="DV29" s="84"/>
      <c r="DW29" s="84"/>
      <c r="DX29" s="84"/>
      <c r="DY29" s="84"/>
      <c r="DZ29" s="84"/>
      <c r="EA29" s="84"/>
      <c r="EB29" s="84"/>
      <c r="EC29" s="84"/>
      <c r="ED29" s="84"/>
      <c r="EE29" s="84"/>
      <c r="EF29" s="84"/>
      <c r="EG29" s="84"/>
      <c r="EH29" s="84"/>
      <c r="EI29" s="84"/>
      <c r="EJ29" s="84"/>
      <c r="EK29" s="84"/>
      <c r="EL29" s="84"/>
      <c r="EM29" s="84"/>
      <c r="EN29" s="84"/>
      <c r="EO29" s="84"/>
      <c r="EP29" s="84"/>
      <c r="EQ29" s="84"/>
      <c r="ER29" s="84"/>
      <c r="ES29" s="84"/>
      <c r="ET29" s="84"/>
      <c r="EU29" s="84"/>
      <c r="EV29" s="84"/>
      <c r="EW29" s="84"/>
      <c r="EX29" s="84"/>
      <c r="EY29" s="84"/>
      <c r="EZ29" s="84"/>
      <c r="FA29" s="84"/>
      <c r="FB29" s="84"/>
      <c r="FC29" s="84"/>
      <c r="FD29" s="84"/>
      <c r="FE29" s="84"/>
      <c r="FF29" s="84"/>
      <c r="FG29" s="84"/>
      <c r="FH29" s="84"/>
      <c r="FI29" s="84"/>
      <c r="FJ29" s="84"/>
      <c r="FK29" s="84"/>
      <c r="FL29" s="84"/>
      <c r="FM29" s="84"/>
      <c r="FN29" s="84"/>
      <c r="FO29" s="84"/>
      <c r="FP29" s="84"/>
      <c r="FQ29" s="84"/>
      <c r="FR29" s="84"/>
      <c r="FS29" s="84"/>
      <c r="FT29" s="84"/>
      <c r="FU29" s="84"/>
      <c r="FV29" s="84"/>
      <c r="FW29" s="84"/>
      <c r="FX29" s="84"/>
      <c r="FY29" s="84"/>
      <c r="FZ29" s="84"/>
      <c r="GA29" s="84"/>
      <c r="GB29" s="84"/>
      <c r="GC29" s="84"/>
      <c r="GD29" s="84"/>
      <c r="GE29" s="84"/>
      <c r="GF29" s="84"/>
      <c r="GG29" s="84"/>
      <c r="GH29" s="84"/>
      <c r="GI29" s="84"/>
      <c r="GJ29" s="84"/>
      <c r="GK29" s="84"/>
      <c r="GL29" s="84"/>
      <c r="GM29" s="84"/>
      <c r="GN29" s="84"/>
      <c r="GO29" s="84"/>
      <c r="GP29" s="84"/>
      <c r="GQ29" s="84"/>
      <c r="GR29" s="84"/>
      <c r="GS29" s="84"/>
      <c r="GT29" s="84"/>
      <c r="GU29" s="84"/>
      <c r="GV29" s="84"/>
      <c r="GW29" s="84"/>
      <c r="GX29" s="84"/>
      <c r="GY29" s="84"/>
      <c r="GZ29" s="84"/>
      <c r="HA29" s="84"/>
      <c r="HB29" s="84"/>
      <c r="HC29" s="84"/>
      <c r="HD29" s="84"/>
      <c r="HE29" s="84"/>
      <c r="HF29" s="84"/>
      <c r="HG29" s="84"/>
      <c r="HH29" s="84"/>
      <c r="HI29" s="84"/>
      <c r="HJ29" s="84"/>
      <c r="HK29" s="84"/>
      <c r="HL29" s="84"/>
      <c r="HM29" s="84"/>
      <c r="HN29" s="84"/>
      <c r="HO29" s="84"/>
      <c r="HP29" s="84"/>
      <c r="HQ29" s="84"/>
      <c r="HR29" s="84"/>
      <c r="HS29" s="84"/>
      <c r="HT29" s="84"/>
      <c r="HU29" s="84"/>
      <c r="HV29" s="84"/>
      <c r="HW29" s="84"/>
      <c r="HX29" s="84"/>
      <c r="HY29" s="84"/>
      <c r="HZ29" s="84"/>
      <c r="IA29" s="84"/>
      <c r="IB29" s="84"/>
    </row>
    <row r="30" spans="1:236" ht="29" x14ac:dyDescent="0.35">
      <c r="A30" s="87"/>
      <c r="B30" s="101" t="s">
        <v>167</v>
      </c>
      <c r="C30" s="129" t="s">
        <v>549</v>
      </c>
      <c r="D30" s="102" t="s">
        <v>978</v>
      </c>
      <c r="E30" s="103" t="s">
        <v>979</v>
      </c>
      <c r="F30" s="104"/>
      <c r="G30" s="83"/>
      <c r="H30" s="410"/>
      <c r="I30" s="411"/>
      <c r="J30" s="411"/>
      <c r="K30" s="411"/>
      <c r="L30" s="411"/>
      <c r="M30" s="411"/>
      <c r="N30" s="411"/>
      <c r="O30" s="411"/>
      <c r="P30" s="411"/>
      <c r="Q30" s="411"/>
      <c r="R30" s="411"/>
      <c r="S30" s="412"/>
      <c r="T30" s="88"/>
    </row>
    <row r="31" spans="1:236" ht="29" x14ac:dyDescent="0.35">
      <c r="A31" s="87"/>
      <c r="B31" s="137" t="s">
        <v>639</v>
      </c>
      <c r="C31" s="138" t="s">
        <v>980</v>
      </c>
      <c r="D31" s="139"/>
      <c r="E31" s="142"/>
      <c r="F31" s="145"/>
      <c r="G31" s="83"/>
      <c r="H31" s="410"/>
      <c r="I31" s="411"/>
      <c r="J31" s="411"/>
      <c r="K31" s="411"/>
      <c r="L31" s="411"/>
      <c r="M31" s="411"/>
      <c r="N31" s="411"/>
      <c r="O31" s="411"/>
      <c r="P31" s="411"/>
      <c r="Q31" s="411"/>
      <c r="R31" s="411"/>
      <c r="S31" s="412"/>
      <c r="T31" s="88"/>
    </row>
    <row r="32" spans="1:236" s="136" customFormat="1" ht="29" x14ac:dyDescent="0.35">
      <c r="A32" s="87"/>
      <c r="B32" s="101" t="s">
        <v>167</v>
      </c>
      <c r="C32" s="129" t="s">
        <v>549</v>
      </c>
      <c r="D32" s="102" t="s">
        <v>981</v>
      </c>
      <c r="E32" s="103" t="s">
        <v>982</v>
      </c>
      <c r="F32" s="104" t="s">
        <v>983</v>
      </c>
      <c r="G32" s="83"/>
      <c r="H32" s="410"/>
      <c r="I32" s="411"/>
      <c r="J32" s="411"/>
      <c r="K32" s="411"/>
      <c r="L32" s="411"/>
      <c r="M32" s="411"/>
      <c r="N32" s="411"/>
      <c r="O32" s="411"/>
      <c r="P32" s="411"/>
      <c r="Q32" s="411"/>
      <c r="R32" s="411"/>
      <c r="S32" s="412"/>
      <c r="T32" s="88"/>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4"/>
      <c r="AX32" s="84"/>
      <c r="AY32" s="84"/>
      <c r="AZ32" s="84"/>
      <c r="BA32" s="84"/>
      <c r="BB32" s="84"/>
      <c r="BC32" s="84"/>
      <c r="BD32" s="84"/>
      <c r="BE32" s="84"/>
      <c r="BF32" s="84"/>
      <c r="BG32" s="84"/>
      <c r="BH32" s="84"/>
      <c r="BI32" s="84"/>
      <c r="BJ32" s="84"/>
      <c r="BK32" s="84"/>
      <c r="BL32" s="84"/>
      <c r="BM32" s="84"/>
      <c r="BN32" s="84"/>
      <c r="BO32" s="84"/>
      <c r="BP32" s="84"/>
      <c r="BQ32" s="84"/>
      <c r="BR32" s="84"/>
      <c r="BS32" s="84"/>
      <c r="BT32" s="84"/>
      <c r="BU32" s="84"/>
      <c r="BV32" s="84"/>
      <c r="BW32" s="84"/>
      <c r="BX32" s="84"/>
      <c r="BY32" s="84"/>
      <c r="BZ32" s="84"/>
      <c r="CA32" s="84"/>
      <c r="CB32" s="84"/>
      <c r="CC32" s="84"/>
      <c r="CD32" s="84"/>
      <c r="CE32" s="84"/>
      <c r="CF32" s="84"/>
      <c r="CG32" s="84"/>
      <c r="CH32" s="84"/>
      <c r="CI32" s="84"/>
      <c r="CJ32" s="84"/>
      <c r="CK32" s="84"/>
      <c r="CL32" s="84"/>
      <c r="CM32" s="84"/>
      <c r="CN32" s="84"/>
      <c r="CO32" s="84"/>
      <c r="CP32" s="84"/>
      <c r="CQ32" s="84"/>
      <c r="CR32" s="84"/>
      <c r="CS32" s="84"/>
      <c r="CT32" s="84"/>
      <c r="CU32" s="84"/>
      <c r="CV32" s="84"/>
      <c r="CW32" s="84"/>
      <c r="CX32" s="84"/>
      <c r="CY32" s="84"/>
      <c r="CZ32" s="84"/>
      <c r="DA32" s="84"/>
      <c r="DB32" s="84"/>
      <c r="DC32" s="84"/>
      <c r="DD32" s="84"/>
      <c r="DE32" s="84"/>
      <c r="DF32" s="84"/>
      <c r="DG32" s="84"/>
      <c r="DH32" s="84"/>
      <c r="DI32" s="84"/>
      <c r="DJ32" s="84"/>
      <c r="DK32" s="84"/>
      <c r="DL32" s="84"/>
      <c r="DM32" s="84"/>
      <c r="DN32" s="84"/>
      <c r="DO32" s="84"/>
      <c r="DP32" s="84"/>
      <c r="DQ32" s="84"/>
      <c r="DR32" s="84"/>
      <c r="DS32" s="84"/>
      <c r="DT32" s="84"/>
      <c r="DU32" s="84"/>
      <c r="DV32" s="84"/>
      <c r="DW32" s="84"/>
      <c r="DX32" s="84"/>
      <c r="DY32" s="84"/>
      <c r="DZ32" s="84"/>
      <c r="EA32" s="84"/>
      <c r="EB32" s="84"/>
      <c r="EC32" s="84"/>
      <c r="ED32" s="84"/>
      <c r="EE32" s="84"/>
      <c r="EF32" s="84"/>
      <c r="EG32" s="84"/>
      <c r="EH32" s="84"/>
      <c r="EI32" s="84"/>
      <c r="EJ32" s="84"/>
      <c r="EK32" s="84"/>
      <c r="EL32" s="84"/>
      <c r="EM32" s="84"/>
      <c r="EN32" s="84"/>
      <c r="EO32" s="84"/>
      <c r="EP32" s="84"/>
      <c r="EQ32" s="84"/>
      <c r="ER32" s="84"/>
      <c r="ES32" s="84"/>
      <c r="ET32" s="84"/>
      <c r="EU32" s="84"/>
      <c r="EV32" s="84"/>
      <c r="EW32" s="84"/>
      <c r="EX32" s="84"/>
      <c r="EY32" s="84"/>
      <c r="EZ32" s="84"/>
      <c r="FA32" s="84"/>
      <c r="FB32" s="84"/>
      <c r="FC32" s="84"/>
      <c r="FD32" s="84"/>
      <c r="FE32" s="84"/>
      <c r="FF32" s="84"/>
      <c r="FG32" s="84"/>
      <c r="FH32" s="84"/>
      <c r="FI32" s="84"/>
      <c r="FJ32" s="84"/>
      <c r="FK32" s="84"/>
      <c r="FL32" s="84"/>
      <c r="FM32" s="84"/>
      <c r="FN32" s="84"/>
      <c r="FO32" s="84"/>
      <c r="FP32" s="84"/>
      <c r="FQ32" s="84"/>
      <c r="FR32" s="84"/>
      <c r="FS32" s="84"/>
      <c r="FT32" s="84"/>
      <c r="FU32" s="84"/>
      <c r="FV32" s="84"/>
      <c r="FW32" s="84"/>
      <c r="FX32" s="84"/>
      <c r="FY32" s="84"/>
      <c r="FZ32" s="84"/>
      <c r="GA32" s="84"/>
      <c r="GB32" s="84"/>
      <c r="GC32" s="84"/>
      <c r="GD32" s="84"/>
      <c r="GE32" s="84"/>
      <c r="GF32" s="84"/>
      <c r="GG32" s="84"/>
      <c r="GH32" s="84"/>
      <c r="GI32" s="84"/>
      <c r="GJ32" s="84"/>
      <c r="GK32" s="84"/>
      <c r="GL32" s="84"/>
      <c r="GM32" s="84"/>
      <c r="GN32" s="84"/>
      <c r="GO32" s="84"/>
      <c r="GP32" s="84"/>
      <c r="GQ32" s="84"/>
      <c r="GR32" s="84"/>
      <c r="GS32" s="84"/>
      <c r="GT32" s="84"/>
      <c r="GU32" s="84"/>
      <c r="GV32" s="84"/>
      <c r="GW32" s="84"/>
      <c r="GX32" s="84"/>
      <c r="GY32" s="84"/>
      <c r="GZ32" s="84"/>
      <c r="HA32" s="84"/>
      <c r="HB32" s="84"/>
      <c r="HC32" s="84"/>
      <c r="HD32" s="84"/>
      <c r="HE32" s="84"/>
      <c r="HF32" s="84"/>
      <c r="HG32" s="84"/>
      <c r="HH32" s="84"/>
      <c r="HI32" s="84"/>
      <c r="HJ32" s="84"/>
      <c r="HK32" s="84"/>
      <c r="HL32" s="84"/>
      <c r="HM32" s="84"/>
      <c r="HN32" s="84"/>
      <c r="HO32" s="84"/>
      <c r="HP32" s="84"/>
      <c r="HQ32" s="84"/>
      <c r="HR32" s="84"/>
      <c r="HS32" s="84"/>
      <c r="HT32" s="84"/>
      <c r="HU32" s="84"/>
      <c r="HV32" s="84"/>
      <c r="HW32" s="84"/>
      <c r="HX32" s="84"/>
      <c r="HY32" s="84"/>
      <c r="HZ32" s="84"/>
      <c r="IA32" s="84"/>
      <c r="IB32" s="84"/>
    </row>
    <row r="33" spans="1:236" x14ac:dyDescent="0.35">
      <c r="A33" s="87"/>
      <c r="B33" s="101" t="s">
        <v>167</v>
      </c>
      <c r="C33" s="129" t="s">
        <v>549</v>
      </c>
      <c r="D33" s="102" t="s">
        <v>984</v>
      </c>
      <c r="E33" s="103" t="s">
        <v>971</v>
      </c>
      <c r="F33" s="104" t="s">
        <v>972</v>
      </c>
      <c r="G33" s="83"/>
      <c r="H33" s="410"/>
      <c r="I33" s="411"/>
      <c r="J33" s="411"/>
      <c r="K33" s="411"/>
      <c r="L33" s="411"/>
      <c r="M33" s="411"/>
      <c r="N33" s="411"/>
      <c r="O33" s="411"/>
      <c r="P33" s="411"/>
      <c r="Q33" s="411"/>
      <c r="R33" s="411"/>
      <c r="S33" s="412"/>
      <c r="T33" s="88"/>
    </row>
    <row r="34" spans="1:236" ht="29" x14ac:dyDescent="0.35">
      <c r="A34" s="87"/>
      <c r="B34" s="101" t="s">
        <v>167</v>
      </c>
      <c r="C34" s="129" t="s">
        <v>549</v>
      </c>
      <c r="D34" s="102" t="s">
        <v>985</v>
      </c>
      <c r="E34" s="103" t="s">
        <v>974</v>
      </c>
      <c r="F34" s="104" t="s">
        <v>975</v>
      </c>
      <c r="G34" s="83"/>
      <c r="H34" s="410"/>
      <c r="I34" s="411"/>
      <c r="J34" s="411"/>
      <c r="K34" s="411"/>
      <c r="L34" s="411"/>
      <c r="M34" s="411"/>
      <c r="N34" s="411"/>
      <c r="O34" s="411"/>
      <c r="P34" s="411"/>
      <c r="Q34" s="411"/>
      <c r="R34" s="411"/>
      <c r="S34" s="412"/>
      <c r="T34" s="88"/>
    </row>
    <row r="35" spans="1:236" s="157" customFormat="1" x14ac:dyDescent="0.35">
      <c r="A35" s="87"/>
      <c r="B35" s="101" t="s">
        <v>167</v>
      </c>
      <c r="C35" s="147" t="s">
        <v>549</v>
      </c>
      <c r="D35" s="102" t="s">
        <v>976</v>
      </c>
      <c r="E35" s="103" t="s">
        <v>977</v>
      </c>
      <c r="F35" s="104"/>
      <c r="G35" s="83"/>
      <c r="H35" s="410"/>
      <c r="I35" s="411"/>
      <c r="J35" s="411"/>
      <c r="K35" s="411"/>
      <c r="L35" s="411"/>
      <c r="M35" s="411"/>
      <c r="N35" s="411"/>
      <c r="O35" s="411"/>
      <c r="P35" s="411"/>
      <c r="Q35" s="411"/>
      <c r="R35" s="411"/>
      <c r="S35" s="412"/>
      <c r="T35" s="88"/>
      <c r="U35" s="84"/>
      <c r="V35" s="84"/>
      <c r="W35" s="84"/>
      <c r="X35" s="84"/>
      <c r="Y35" s="84"/>
      <c r="Z35" s="84"/>
      <c r="AA35" s="84"/>
      <c r="AB35" s="84"/>
      <c r="AC35" s="84"/>
      <c r="AD35" s="84"/>
      <c r="AE35" s="84"/>
      <c r="AF35" s="84"/>
      <c r="AG35" s="84"/>
      <c r="AH35" s="84"/>
      <c r="AI35" s="84"/>
      <c r="AJ35" s="84"/>
      <c r="AK35" s="84"/>
      <c r="AL35" s="84"/>
      <c r="AM35" s="84"/>
      <c r="AN35" s="84"/>
      <c r="AO35" s="84"/>
      <c r="AP35" s="84"/>
      <c r="AQ35" s="84"/>
      <c r="AR35" s="84"/>
      <c r="AS35" s="84"/>
      <c r="AT35" s="84"/>
      <c r="AU35" s="84"/>
      <c r="AV35" s="84"/>
      <c r="AW35" s="84"/>
      <c r="AX35" s="84"/>
      <c r="AY35" s="84"/>
      <c r="AZ35" s="84"/>
      <c r="BA35" s="84"/>
      <c r="BB35" s="84"/>
      <c r="BC35" s="84"/>
      <c r="BD35" s="84"/>
      <c r="BE35" s="84"/>
      <c r="BF35" s="84"/>
      <c r="BG35" s="84"/>
      <c r="BH35" s="84"/>
      <c r="BI35" s="84"/>
      <c r="BJ35" s="84"/>
      <c r="BK35" s="84"/>
      <c r="BL35" s="84"/>
      <c r="BM35" s="84"/>
      <c r="BN35" s="84"/>
      <c r="BO35" s="84"/>
      <c r="BP35" s="84"/>
      <c r="BQ35" s="84"/>
      <c r="BR35" s="84"/>
      <c r="BS35" s="84"/>
      <c r="BT35" s="84"/>
      <c r="BU35" s="84"/>
      <c r="BV35" s="84"/>
      <c r="BW35" s="84"/>
      <c r="BX35" s="84"/>
      <c r="BY35" s="84"/>
      <c r="BZ35" s="84"/>
      <c r="CA35" s="84"/>
      <c r="CB35" s="84"/>
      <c r="CC35" s="84"/>
      <c r="CD35" s="84"/>
      <c r="CE35" s="84"/>
      <c r="CF35" s="84"/>
      <c r="CG35" s="84"/>
      <c r="CH35" s="84"/>
      <c r="CI35" s="84"/>
      <c r="CJ35" s="84"/>
      <c r="CK35" s="84"/>
      <c r="CL35" s="84"/>
      <c r="CM35" s="84"/>
      <c r="CN35" s="84"/>
      <c r="CO35" s="84"/>
      <c r="CP35" s="84"/>
      <c r="CQ35" s="84"/>
      <c r="CR35" s="84"/>
      <c r="CS35" s="84"/>
      <c r="CT35" s="84"/>
      <c r="CU35" s="84"/>
      <c r="CV35" s="84"/>
      <c r="CW35" s="84"/>
      <c r="CX35" s="84"/>
      <c r="CY35" s="84"/>
      <c r="CZ35" s="84"/>
      <c r="DA35" s="84"/>
      <c r="DB35" s="84"/>
      <c r="DC35" s="84"/>
      <c r="DD35" s="84"/>
      <c r="DE35" s="84"/>
      <c r="DF35" s="84"/>
      <c r="DG35" s="84"/>
      <c r="DH35" s="84"/>
      <c r="DI35" s="84"/>
      <c r="DJ35" s="84"/>
      <c r="DK35" s="84"/>
      <c r="DL35" s="84"/>
      <c r="DM35" s="84"/>
      <c r="DN35" s="84"/>
      <c r="DO35" s="84"/>
      <c r="DP35" s="84"/>
      <c r="DQ35" s="84"/>
      <c r="DR35" s="84"/>
      <c r="DS35" s="84"/>
      <c r="DT35" s="84"/>
      <c r="DU35" s="84"/>
      <c r="DV35" s="84"/>
      <c r="DW35" s="84"/>
      <c r="DX35" s="84"/>
      <c r="DY35" s="84"/>
      <c r="DZ35" s="84"/>
      <c r="EA35" s="84"/>
      <c r="EB35" s="84"/>
      <c r="EC35" s="84"/>
      <c r="ED35" s="84"/>
      <c r="EE35" s="84"/>
      <c r="EF35" s="84"/>
      <c r="EG35" s="84"/>
      <c r="EH35" s="84"/>
      <c r="EI35" s="84"/>
      <c r="EJ35" s="84"/>
      <c r="EK35" s="84"/>
      <c r="EL35" s="84"/>
      <c r="EM35" s="84"/>
      <c r="EN35" s="84"/>
      <c r="EO35" s="84"/>
      <c r="EP35" s="84"/>
      <c r="EQ35" s="84"/>
      <c r="ER35" s="84"/>
      <c r="ES35" s="84"/>
      <c r="ET35" s="84"/>
      <c r="EU35" s="84"/>
      <c r="EV35" s="84"/>
      <c r="EW35" s="84"/>
      <c r="EX35" s="84"/>
      <c r="EY35" s="84"/>
      <c r="EZ35" s="84"/>
      <c r="FA35" s="84"/>
      <c r="FB35" s="84"/>
      <c r="FC35" s="84"/>
      <c r="FD35" s="84"/>
      <c r="FE35" s="84"/>
      <c r="FF35" s="84"/>
      <c r="FG35" s="84"/>
      <c r="FH35" s="84"/>
      <c r="FI35" s="84"/>
      <c r="FJ35" s="84"/>
      <c r="FK35" s="84"/>
      <c r="FL35" s="84"/>
      <c r="FM35" s="84"/>
      <c r="FN35" s="84"/>
      <c r="FO35" s="84"/>
      <c r="FP35" s="84"/>
      <c r="FQ35" s="84"/>
      <c r="FR35" s="84"/>
      <c r="FS35" s="84"/>
      <c r="FT35" s="84"/>
      <c r="FU35" s="84"/>
      <c r="FV35" s="84"/>
      <c r="FW35" s="84"/>
      <c r="FX35" s="84"/>
      <c r="FY35" s="84"/>
      <c r="FZ35" s="84"/>
      <c r="GA35" s="84"/>
      <c r="GB35" s="84"/>
      <c r="GC35" s="84"/>
      <c r="GD35" s="84"/>
      <c r="GE35" s="84"/>
      <c r="GF35" s="84"/>
      <c r="GG35" s="84"/>
      <c r="GH35" s="84"/>
      <c r="GI35" s="84"/>
      <c r="GJ35" s="84"/>
      <c r="GK35" s="84"/>
      <c r="GL35" s="84"/>
      <c r="GM35" s="84"/>
      <c r="GN35" s="84"/>
      <c r="GO35" s="84"/>
      <c r="GP35" s="84"/>
      <c r="GQ35" s="84"/>
      <c r="GR35" s="84"/>
      <c r="GS35" s="84"/>
      <c r="GT35" s="84"/>
      <c r="GU35" s="84"/>
      <c r="GV35" s="84"/>
      <c r="GW35" s="84"/>
      <c r="GX35" s="84"/>
      <c r="GY35" s="84"/>
      <c r="GZ35" s="84"/>
      <c r="HA35" s="84"/>
      <c r="HB35" s="84"/>
      <c r="HC35" s="84"/>
      <c r="HD35" s="84"/>
      <c r="HE35" s="84"/>
      <c r="HF35" s="84"/>
      <c r="HG35" s="84"/>
      <c r="HH35" s="84"/>
      <c r="HI35" s="84"/>
      <c r="HJ35" s="84"/>
      <c r="HK35" s="84"/>
      <c r="HL35" s="84"/>
      <c r="HM35" s="84"/>
      <c r="HN35" s="84"/>
      <c r="HO35" s="84"/>
      <c r="HP35" s="84"/>
      <c r="HQ35" s="84"/>
      <c r="HR35" s="84"/>
      <c r="HS35" s="84"/>
      <c r="HT35" s="84"/>
      <c r="HU35" s="84"/>
      <c r="HV35" s="84"/>
      <c r="HW35" s="84"/>
      <c r="HX35" s="84"/>
      <c r="HY35" s="84"/>
      <c r="HZ35" s="84"/>
      <c r="IA35" s="84"/>
      <c r="IB35" s="84"/>
    </row>
    <row r="36" spans="1:236" ht="29" x14ac:dyDescent="0.35">
      <c r="A36" s="87"/>
      <c r="B36" s="101" t="s">
        <v>167</v>
      </c>
      <c r="C36" s="129" t="s">
        <v>549</v>
      </c>
      <c r="D36" s="102" t="s">
        <v>978</v>
      </c>
      <c r="E36" s="103" t="s">
        <v>979</v>
      </c>
      <c r="F36" s="104"/>
      <c r="G36" s="83"/>
      <c r="H36" s="410"/>
      <c r="I36" s="411"/>
      <c r="J36" s="411"/>
      <c r="K36" s="411"/>
      <c r="L36" s="411"/>
      <c r="M36" s="411"/>
      <c r="N36" s="411"/>
      <c r="O36" s="411"/>
      <c r="P36" s="411"/>
      <c r="Q36" s="411"/>
      <c r="R36" s="411"/>
      <c r="S36" s="412"/>
      <c r="T36" s="88"/>
    </row>
    <row r="37" spans="1:236" x14ac:dyDescent="0.35">
      <c r="A37" s="87"/>
      <c r="B37" s="137" t="s">
        <v>643</v>
      </c>
      <c r="C37" s="138" t="s">
        <v>986</v>
      </c>
      <c r="D37" s="139"/>
      <c r="E37" s="142"/>
      <c r="F37" s="145"/>
      <c r="G37" s="83"/>
      <c r="H37" s="410"/>
      <c r="I37" s="411"/>
      <c r="J37" s="411"/>
      <c r="K37" s="411"/>
      <c r="L37" s="411"/>
      <c r="M37" s="411"/>
      <c r="N37" s="411"/>
      <c r="O37" s="411"/>
      <c r="P37" s="411"/>
      <c r="Q37" s="411"/>
      <c r="R37" s="411"/>
      <c r="S37" s="412"/>
      <c r="T37" s="88"/>
    </row>
    <row r="38" spans="1:236" s="141" customFormat="1" x14ac:dyDescent="0.35">
      <c r="A38" s="87"/>
      <c r="B38" s="101" t="s">
        <v>167</v>
      </c>
      <c r="C38" s="129" t="s">
        <v>549</v>
      </c>
      <c r="D38" s="135" t="s">
        <v>987</v>
      </c>
      <c r="E38" s="103" t="s">
        <v>988</v>
      </c>
      <c r="F38" s="155"/>
      <c r="G38" s="83"/>
      <c r="H38" s="410"/>
      <c r="I38" s="411"/>
      <c r="J38" s="411"/>
      <c r="K38" s="411"/>
      <c r="L38" s="411"/>
      <c r="M38" s="411"/>
      <c r="N38" s="411"/>
      <c r="O38" s="411"/>
      <c r="P38" s="411"/>
      <c r="Q38" s="411"/>
      <c r="R38" s="411"/>
      <c r="S38" s="412"/>
      <c r="T38" s="88"/>
      <c r="U38" s="84"/>
      <c r="V38" s="84"/>
      <c r="W38" s="84"/>
      <c r="X38" s="84"/>
      <c r="Y38" s="84"/>
      <c r="Z38" s="84"/>
      <c r="AA38" s="84"/>
      <c r="AB38" s="84"/>
      <c r="AC38" s="84"/>
      <c r="AD38" s="84"/>
      <c r="AE38" s="84"/>
      <c r="AF38" s="84"/>
      <c r="AG38" s="84"/>
      <c r="AH38" s="84"/>
      <c r="AI38" s="84"/>
      <c r="AJ38" s="84"/>
      <c r="AK38" s="84"/>
      <c r="AL38" s="84"/>
      <c r="AM38" s="84"/>
      <c r="AN38" s="84"/>
      <c r="AO38" s="84"/>
      <c r="AP38" s="84"/>
      <c r="AQ38" s="84"/>
      <c r="AR38" s="84"/>
      <c r="AS38" s="84"/>
      <c r="AT38" s="84"/>
      <c r="AU38" s="84"/>
      <c r="AV38" s="84"/>
      <c r="AW38" s="84"/>
      <c r="AX38" s="84"/>
      <c r="AY38" s="84"/>
      <c r="AZ38" s="84"/>
      <c r="BA38" s="84"/>
      <c r="BB38" s="84"/>
      <c r="BC38" s="84"/>
      <c r="BD38" s="84"/>
      <c r="BE38" s="84"/>
      <c r="BF38" s="84"/>
      <c r="BG38" s="84"/>
      <c r="BH38" s="84"/>
      <c r="BI38" s="84"/>
      <c r="BJ38" s="84"/>
      <c r="BK38" s="84"/>
      <c r="BL38" s="84"/>
      <c r="BM38" s="84"/>
      <c r="BN38" s="84"/>
      <c r="BO38" s="84"/>
      <c r="BP38" s="84"/>
      <c r="BQ38" s="84"/>
      <c r="BR38" s="84"/>
      <c r="BS38" s="84"/>
      <c r="BT38" s="84"/>
      <c r="BU38" s="84"/>
      <c r="BV38" s="84"/>
      <c r="BW38" s="84"/>
      <c r="BX38" s="84"/>
      <c r="BY38" s="84"/>
      <c r="BZ38" s="84"/>
      <c r="CA38" s="84"/>
      <c r="CB38" s="84"/>
      <c r="CC38" s="84"/>
      <c r="CD38" s="84"/>
      <c r="CE38" s="84"/>
      <c r="CF38" s="84"/>
      <c r="CG38" s="84"/>
      <c r="CH38" s="84"/>
      <c r="CI38" s="84"/>
      <c r="CJ38" s="84"/>
      <c r="CK38" s="84"/>
      <c r="CL38" s="84"/>
      <c r="CM38" s="84"/>
      <c r="CN38" s="84"/>
      <c r="CO38" s="84"/>
      <c r="CP38" s="84"/>
      <c r="CQ38" s="84"/>
      <c r="CR38" s="84"/>
      <c r="CS38" s="84"/>
      <c r="CT38" s="84"/>
      <c r="CU38" s="84"/>
      <c r="CV38" s="84"/>
      <c r="CW38" s="84"/>
      <c r="CX38" s="84"/>
      <c r="CY38" s="84"/>
      <c r="CZ38" s="84"/>
      <c r="DA38" s="84"/>
      <c r="DB38" s="84"/>
      <c r="DC38" s="84"/>
      <c r="DD38" s="84"/>
      <c r="DE38" s="84"/>
      <c r="DF38" s="84"/>
      <c r="DG38" s="84"/>
      <c r="DH38" s="84"/>
      <c r="DI38" s="84"/>
      <c r="DJ38" s="84"/>
      <c r="DK38" s="84"/>
      <c r="DL38" s="84"/>
      <c r="DM38" s="84"/>
      <c r="DN38" s="84"/>
      <c r="DO38" s="84"/>
      <c r="DP38" s="84"/>
      <c r="DQ38" s="84"/>
      <c r="DR38" s="84"/>
      <c r="DS38" s="84"/>
      <c r="DT38" s="84"/>
      <c r="DU38" s="84"/>
      <c r="DV38" s="84"/>
      <c r="DW38" s="84"/>
      <c r="DX38" s="84"/>
      <c r="DY38" s="84"/>
      <c r="DZ38" s="84"/>
      <c r="EA38" s="84"/>
      <c r="EB38" s="84"/>
      <c r="EC38" s="84"/>
      <c r="ED38" s="84"/>
      <c r="EE38" s="84"/>
      <c r="EF38" s="84"/>
      <c r="EG38" s="84"/>
      <c r="EH38" s="84"/>
      <c r="EI38" s="84"/>
      <c r="EJ38" s="84"/>
      <c r="EK38" s="84"/>
      <c r="EL38" s="84"/>
      <c r="EM38" s="84"/>
      <c r="EN38" s="84"/>
      <c r="EO38" s="84"/>
      <c r="EP38" s="84"/>
      <c r="EQ38" s="84"/>
      <c r="ER38" s="84"/>
      <c r="ES38" s="84"/>
      <c r="ET38" s="84"/>
      <c r="EU38" s="84"/>
      <c r="EV38" s="84"/>
      <c r="EW38" s="84"/>
      <c r="EX38" s="84"/>
      <c r="EY38" s="84"/>
      <c r="EZ38" s="84"/>
      <c r="FA38" s="84"/>
      <c r="FB38" s="84"/>
      <c r="FC38" s="84"/>
      <c r="FD38" s="84"/>
      <c r="FE38" s="84"/>
      <c r="FF38" s="84"/>
      <c r="FG38" s="84"/>
      <c r="FH38" s="84"/>
      <c r="FI38" s="84"/>
      <c r="FJ38" s="84"/>
      <c r="FK38" s="84"/>
      <c r="FL38" s="84"/>
      <c r="FM38" s="84"/>
      <c r="FN38" s="84"/>
      <c r="FO38" s="84"/>
      <c r="FP38" s="84"/>
      <c r="FQ38" s="84"/>
      <c r="FR38" s="84"/>
      <c r="FS38" s="84"/>
      <c r="FT38" s="84"/>
      <c r="FU38" s="84"/>
      <c r="FV38" s="84"/>
      <c r="FW38" s="84"/>
      <c r="FX38" s="84"/>
      <c r="FY38" s="84"/>
      <c r="FZ38" s="84"/>
      <c r="GA38" s="84"/>
      <c r="GB38" s="84"/>
      <c r="GC38" s="84"/>
      <c r="GD38" s="84"/>
      <c r="GE38" s="84"/>
      <c r="GF38" s="84"/>
      <c r="GG38" s="84"/>
      <c r="GH38" s="84"/>
      <c r="GI38" s="84"/>
      <c r="GJ38" s="84"/>
      <c r="GK38" s="84"/>
      <c r="GL38" s="84"/>
      <c r="GM38" s="84"/>
      <c r="GN38" s="84"/>
      <c r="GO38" s="84"/>
      <c r="GP38" s="84"/>
      <c r="GQ38" s="84"/>
      <c r="GR38" s="84"/>
      <c r="GS38" s="84"/>
      <c r="GT38" s="84"/>
      <c r="GU38" s="84"/>
      <c r="GV38" s="84"/>
      <c r="GW38" s="84"/>
      <c r="GX38" s="84"/>
      <c r="GY38" s="84"/>
      <c r="GZ38" s="84"/>
      <c r="HA38" s="84"/>
      <c r="HB38" s="84"/>
      <c r="HC38" s="84"/>
      <c r="HD38" s="84"/>
      <c r="HE38" s="84"/>
      <c r="HF38" s="84"/>
      <c r="HG38" s="84"/>
      <c r="HH38" s="84"/>
      <c r="HI38" s="84"/>
      <c r="HJ38" s="84"/>
      <c r="HK38" s="84"/>
      <c r="HL38" s="84"/>
      <c r="HM38" s="84"/>
      <c r="HN38" s="84"/>
      <c r="HO38" s="84"/>
      <c r="HP38" s="84"/>
      <c r="HQ38" s="84"/>
      <c r="HR38" s="84"/>
      <c r="HS38" s="84"/>
      <c r="HT38" s="84"/>
      <c r="HU38" s="84"/>
      <c r="HV38" s="84"/>
      <c r="HW38" s="84"/>
      <c r="HX38" s="84"/>
      <c r="HY38" s="84"/>
      <c r="HZ38" s="84"/>
      <c r="IA38" s="84"/>
      <c r="IB38" s="84"/>
    </row>
    <row r="39" spans="1:236" ht="29" x14ac:dyDescent="0.35">
      <c r="A39" s="87"/>
      <c r="B39" s="101" t="s">
        <v>167</v>
      </c>
      <c r="C39" s="129" t="s">
        <v>549</v>
      </c>
      <c r="D39" s="102" t="s">
        <v>989</v>
      </c>
      <c r="E39" s="103" t="s">
        <v>990</v>
      </c>
      <c r="F39" s="104" t="s">
        <v>972</v>
      </c>
      <c r="G39" s="83"/>
      <c r="H39" s="410"/>
      <c r="I39" s="411"/>
      <c r="J39" s="411"/>
      <c r="K39" s="411"/>
      <c r="L39" s="411"/>
      <c r="M39" s="411"/>
      <c r="N39" s="411"/>
      <c r="O39" s="411"/>
      <c r="P39" s="411"/>
      <c r="Q39" s="411"/>
      <c r="R39" s="411"/>
      <c r="S39" s="412"/>
      <c r="T39" s="88"/>
    </row>
    <row r="40" spans="1:236" ht="29" x14ac:dyDescent="0.35">
      <c r="A40" s="87"/>
      <c r="B40" s="101" t="s">
        <v>167</v>
      </c>
      <c r="C40" s="129" t="s">
        <v>549</v>
      </c>
      <c r="D40" s="102" t="s">
        <v>991</v>
      </c>
      <c r="E40" s="103" t="s">
        <v>990</v>
      </c>
      <c r="F40" s="104" t="s">
        <v>975</v>
      </c>
      <c r="G40" s="83"/>
      <c r="H40" s="410"/>
      <c r="I40" s="411"/>
      <c r="J40" s="411"/>
      <c r="K40" s="411"/>
      <c r="L40" s="411"/>
      <c r="M40" s="411"/>
      <c r="N40" s="411"/>
      <c r="O40" s="411"/>
      <c r="P40" s="411"/>
      <c r="Q40" s="411"/>
      <c r="R40" s="411"/>
      <c r="S40" s="412"/>
      <c r="T40" s="88"/>
    </row>
    <row r="41" spans="1:236" s="157" customFormat="1" x14ac:dyDescent="0.35">
      <c r="A41" s="87"/>
      <c r="B41" s="101" t="s">
        <v>167</v>
      </c>
      <c r="C41" s="147" t="s">
        <v>549</v>
      </c>
      <c r="D41" s="102" t="s">
        <v>976</v>
      </c>
      <c r="E41" s="103" t="s">
        <v>977</v>
      </c>
      <c r="F41" s="104"/>
      <c r="G41" s="83"/>
      <c r="H41" s="410"/>
      <c r="I41" s="411"/>
      <c r="J41" s="411"/>
      <c r="K41" s="411"/>
      <c r="L41" s="411"/>
      <c r="M41" s="411"/>
      <c r="N41" s="411"/>
      <c r="O41" s="411"/>
      <c r="P41" s="411"/>
      <c r="Q41" s="411"/>
      <c r="R41" s="411"/>
      <c r="S41" s="412"/>
      <c r="T41" s="88"/>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c r="AS41" s="84"/>
      <c r="AT41" s="84"/>
      <c r="AU41" s="84"/>
      <c r="AV41" s="84"/>
      <c r="AW41" s="84"/>
      <c r="AX41" s="84"/>
      <c r="AY41" s="84"/>
      <c r="AZ41" s="84"/>
      <c r="BA41" s="84"/>
      <c r="BB41" s="84"/>
      <c r="BC41" s="84"/>
      <c r="BD41" s="84"/>
      <c r="BE41" s="84"/>
      <c r="BF41" s="84"/>
      <c r="BG41" s="84"/>
      <c r="BH41" s="84"/>
      <c r="BI41" s="84"/>
      <c r="BJ41" s="84"/>
      <c r="BK41" s="84"/>
      <c r="BL41" s="84"/>
      <c r="BM41" s="84"/>
      <c r="BN41" s="84"/>
      <c r="BO41" s="84"/>
      <c r="BP41" s="84"/>
      <c r="BQ41" s="84"/>
      <c r="BR41" s="84"/>
      <c r="BS41" s="84"/>
      <c r="BT41" s="84"/>
      <c r="BU41" s="84"/>
      <c r="BV41" s="84"/>
      <c r="BW41" s="84"/>
      <c r="BX41" s="84"/>
      <c r="BY41" s="84"/>
      <c r="BZ41" s="84"/>
      <c r="CA41" s="84"/>
      <c r="CB41" s="84"/>
      <c r="CC41" s="84"/>
      <c r="CD41" s="84"/>
      <c r="CE41" s="84"/>
      <c r="CF41" s="84"/>
      <c r="CG41" s="84"/>
      <c r="CH41" s="84"/>
      <c r="CI41" s="84"/>
      <c r="CJ41" s="84"/>
      <c r="CK41" s="84"/>
      <c r="CL41" s="84"/>
      <c r="CM41" s="84"/>
      <c r="CN41" s="84"/>
      <c r="CO41" s="84"/>
      <c r="CP41" s="84"/>
      <c r="CQ41" s="84"/>
      <c r="CR41" s="84"/>
      <c r="CS41" s="84"/>
      <c r="CT41" s="84"/>
      <c r="CU41" s="84"/>
      <c r="CV41" s="84"/>
      <c r="CW41" s="84"/>
      <c r="CX41" s="84"/>
      <c r="CY41" s="84"/>
      <c r="CZ41" s="84"/>
      <c r="DA41" s="84"/>
      <c r="DB41" s="84"/>
      <c r="DC41" s="84"/>
      <c r="DD41" s="84"/>
      <c r="DE41" s="84"/>
      <c r="DF41" s="84"/>
      <c r="DG41" s="84"/>
      <c r="DH41" s="84"/>
      <c r="DI41" s="84"/>
      <c r="DJ41" s="84"/>
      <c r="DK41" s="84"/>
      <c r="DL41" s="84"/>
      <c r="DM41" s="84"/>
      <c r="DN41" s="84"/>
      <c r="DO41" s="84"/>
      <c r="DP41" s="84"/>
      <c r="DQ41" s="84"/>
      <c r="DR41" s="84"/>
      <c r="DS41" s="84"/>
      <c r="DT41" s="84"/>
      <c r="DU41" s="84"/>
      <c r="DV41" s="84"/>
      <c r="DW41" s="84"/>
      <c r="DX41" s="84"/>
      <c r="DY41" s="84"/>
      <c r="DZ41" s="84"/>
      <c r="EA41" s="84"/>
      <c r="EB41" s="84"/>
      <c r="EC41" s="84"/>
      <c r="ED41" s="84"/>
      <c r="EE41" s="84"/>
      <c r="EF41" s="84"/>
      <c r="EG41" s="84"/>
      <c r="EH41" s="84"/>
      <c r="EI41" s="84"/>
      <c r="EJ41" s="84"/>
      <c r="EK41" s="84"/>
      <c r="EL41" s="84"/>
      <c r="EM41" s="84"/>
      <c r="EN41" s="84"/>
      <c r="EO41" s="84"/>
      <c r="EP41" s="84"/>
      <c r="EQ41" s="84"/>
      <c r="ER41" s="84"/>
      <c r="ES41" s="84"/>
      <c r="ET41" s="84"/>
      <c r="EU41" s="84"/>
      <c r="EV41" s="84"/>
      <c r="EW41" s="84"/>
      <c r="EX41" s="84"/>
      <c r="EY41" s="84"/>
      <c r="EZ41" s="84"/>
      <c r="FA41" s="84"/>
      <c r="FB41" s="84"/>
      <c r="FC41" s="84"/>
      <c r="FD41" s="84"/>
      <c r="FE41" s="84"/>
      <c r="FF41" s="84"/>
      <c r="FG41" s="84"/>
      <c r="FH41" s="84"/>
      <c r="FI41" s="84"/>
      <c r="FJ41" s="84"/>
      <c r="FK41" s="84"/>
      <c r="FL41" s="84"/>
      <c r="FM41" s="84"/>
      <c r="FN41" s="84"/>
      <c r="FO41" s="84"/>
      <c r="FP41" s="84"/>
      <c r="FQ41" s="84"/>
      <c r="FR41" s="84"/>
      <c r="FS41" s="84"/>
      <c r="FT41" s="84"/>
      <c r="FU41" s="84"/>
      <c r="FV41" s="84"/>
      <c r="FW41" s="84"/>
      <c r="FX41" s="84"/>
      <c r="FY41" s="84"/>
      <c r="FZ41" s="84"/>
      <c r="GA41" s="84"/>
      <c r="GB41" s="84"/>
      <c r="GC41" s="84"/>
      <c r="GD41" s="84"/>
      <c r="GE41" s="84"/>
      <c r="GF41" s="84"/>
      <c r="GG41" s="84"/>
      <c r="GH41" s="84"/>
      <c r="GI41" s="84"/>
      <c r="GJ41" s="84"/>
      <c r="GK41" s="84"/>
      <c r="GL41" s="84"/>
      <c r="GM41" s="84"/>
      <c r="GN41" s="84"/>
      <c r="GO41" s="84"/>
      <c r="GP41" s="84"/>
      <c r="GQ41" s="84"/>
      <c r="GR41" s="84"/>
      <c r="GS41" s="84"/>
      <c r="GT41" s="84"/>
      <c r="GU41" s="84"/>
      <c r="GV41" s="84"/>
      <c r="GW41" s="84"/>
      <c r="GX41" s="84"/>
      <c r="GY41" s="84"/>
      <c r="GZ41" s="84"/>
      <c r="HA41" s="84"/>
      <c r="HB41" s="84"/>
      <c r="HC41" s="84"/>
      <c r="HD41" s="84"/>
      <c r="HE41" s="84"/>
      <c r="HF41" s="84"/>
      <c r="HG41" s="84"/>
      <c r="HH41" s="84"/>
      <c r="HI41" s="84"/>
      <c r="HJ41" s="84"/>
      <c r="HK41" s="84"/>
      <c r="HL41" s="84"/>
      <c r="HM41" s="84"/>
      <c r="HN41" s="84"/>
      <c r="HO41" s="84"/>
      <c r="HP41" s="84"/>
      <c r="HQ41" s="84"/>
      <c r="HR41" s="84"/>
      <c r="HS41" s="84"/>
      <c r="HT41" s="84"/>
      <c r="HU41" s="84"/>
      <c r="HV41" s="84"/>
      <c r="HW41" s="84"/>
      <c r="HX41" s="84"/>
      <c r="HY41" s="84"/>
      <c r="HZ41" s="84"/>
      <c r="IA41" s="84"/>
      <c r="IB41" s="84"/>
    </row>
    <row r="42" spans="1:236" ht="29" x14ac:dyDescent="0.35">
      <c r="A42" s="87"/>
      <c r="B42" s="101" t="s">
        <v>167</v>
      </c>
      <c r="C42" s="129" t="s">
        <v>549</v>
      </c>
      <c r="D42" s="102" t="s">
        <v>978</v>
      </c>
      <c r="E42" s="103" t="s">
        <v>979</v>
      </c>
      <c r="F42" s="104"/>
      <c r="G42" s="83"/>
      <c r="H42" s="410"/>
      <c r="I42" s="411"/>
      <c r="J42" s="411"/>
      <c r="K42" s="411"/>
      <c r="L42" s="411"/>
      <c r="M42" s="411"/>
      <c r="N42" s="411"/>
      <c r="O42" s="411"/>
      <c r="P42" s="411"/>
      <c r="Q42" s="411"/>
      <c r="R42" s="411"/>
      <c r="S42" s="412"/>
      <c r="T42" s="88"/>
    </row>
    <row r="43" spans="1:236" s="136" customFormat="1" x14ac:dyDescent="0.35">
      <c r="A43" s="87"/>
      <c r="B43" s="96" t="s">
        <v>651</v>
      </c>
      <c r="C43" s="97" t="s">
        <v>992</v>
      </c>
      <c r="D43" s="98"/>
      <c r="E43" s="99"/>
      <c r="F43" s="145"/>
      <c r="G43" s="83"/>
      <c r="H43" s="410"/>
      <c r="I43" s="411"/>
      <c r="J43" s="411"/>
      <c r="K43" s="411"/>
      <c r="L43" s="411"/>
      <c r="M43" s="411"/>
      <c r="N43" s="411"/>
      <c r="O43" s="411"/>
      <c r="P43" s="411"/>
      <c r="Q43" s="411"/>
      <c r="R43" s="411"/>
      <c r="S43" s="412"/>
      <c r="T43" s="88"/>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c r="BD43" s="84"/>
      <c r="BE43" s="84"/>
      <c r="BF43" s="84"/>
      <c r="BG43" s="84"/>
      <c r="BH43" s="84"/>
      <c r="BI43" s="84"/>
      <c r="BJ43" s="84"/>
      <c r="BK43" s="84"/>
      <c r="BL43" s="84"/>
      <c r="BM43" s="84"/>
      <c r="BN43" s="84"/>
      <c r="BO43" s="84"/>
      <c r="BP43" s="84"/>
      <c r="BQ43" s="84"/>
      <c r="BR43" s="84"/>
      <c r="BS43" s="84"/>
      <c r="BT43" s="84"/>
      <c r="BU43" s="84"/>
      <c r="BV43" s="84"/>
      <c r="BW43" s="84"/>
      <c r="BX43" s="84"/>
      <c r="BY43" s="84"/>
      <c r="BZ43" s="84"/>
      <c r="CA43" s="84"/>
      <c r="CB43" s="84"/>
      <c r="CC43" s="84"/>
      <c r="CD43" s="84"/>
      <c r="CE43" s="84"/>
      <c r="CF43" s="84"/>
      <c r="CG43" s="84"/>
      <c r="CH43" s="84"/>
      <c r="CI43" s="84"/>
      <c r="CJ43" s="84"/>
      <c r="CK43" s="84"/>
      <c r="CL43" s="84"/>
      <c r="CM43" s="84"/>
      <c r="CN43" s="84"/>
      <c r="CO43" s="84"/>
      <c r="CP43" s="84"/>
      <c r="CQ43" s="84"/>
      <c r="CR43" s="84"/>
      <c r="CS43" s="84"/>
      <c r="CT43" s="84"/>
      <c r="CU43" s="84"/>
      <c r="CV43" s="84"/>
      <c r="CW43" s="84"/>
      <c r="CX43" s="84"/>
      <c r="CY43" s="84"/>
      <c r="CZ43" s="84"/>
      <c r="DA43" s="84"/>
      <c r="DB43" s="84"/>
      <c r="DC43" s="84"/>
      <c r="DD43" s="84"/>
      <c r="DE43" s="84"/>
      <c r="DF43" s="84"/>
      <c r="DG43" s="84"/>
      <c r="DH43" s="84"/>
      <c r="DI43" s="84"/>
      <c r="DJ43" s="84"/>
      <c r="DK43" s="84"/>
      <c r="DL43" s="84"/>
      <c r="DM43" s="84"/>
      <c r="DN43" s="84"/>
      <c r="DO43" s="84"/>
      <c r="DP43" s="84"/>
      <c r="DQ43" s="84"/>
      <c r="DR43" s="84"/>
      <c r="DS43" s="84"/>
      <c r="DT43" s="84"/>
      <c r="DU43" s="84"/>
      <c r="DV43" s="84"/>
      <c r="DW43" s="84"/>
      <c r="DX43" s="84"/>
      <c r="DY43" s="84"/>
      <c r="DZ43" s="84"/>
      <c r="EA43" s="84"/>
      <c r="EB43" s="84"/>
      <c r="EC43" s="84"/>
      <c r="ED43" s="84"/>
      <c r="EE43" s="84"/>
      <c r="EF43" s="84"/>
      <c r="EG43" s="84"/>
      <c r="EH43" s="84"/>
      <c r="EI43" s="84"/>
      <c r="EJ43" s="84"/>
      <c r="EK43" s="84"/>
      <c r="EL43" s="84"/>
      <c r="EM43" s="84"/>
      <c r="EN43" s="84"/>
      <c r="EO43" s="84"/>
      <c r="EP43" s="84"/>
      <c r="EQ43" s="84"/>
      <c r="ER43" s="84"/>
      <c r="ES43" s="84"/>
      <c r="ET43" s="84"/>
      <c r="EU43" s="84"/>
      <c r="EV43" s="84"/>
      <c r="EW43" s="84"/>
      <c r="EX43" s="84"/>
      <c r="EY43" s="84"/>
      <c r="EZ43" s="84"/>
      <c r="FA43" s="84"/>
      <c r="FB43" s="84"/>
      <c r="FC43" s="84"/>
      <c r="FD43" s="84"/>
      <c r="FE43" s="84"/>
      <c r="FF43" s="84"/>
      <c r="FG43" s="84"/>
      <c r="FH43" s="84"/>
      <c r="FI43" s="84"/>
      <c r="FJ43" s="84"/>
      <c r="FK43" s="84"/>
      <c r="FL43" s="84"/>
      <c r="FM43" s="84"/>
      <c r="FN43" s="84"/>
      <c r="FO43" s="84"/>
      <c r="FP43" s="84"/>
      <c r="FQ43" s="84"/>
      <c r="FR43" s="84"/>
      <c r="FS43" s="84"/>
      <c r="FT43" s="84"/>
      <c r="FU43" s="84"/>
      <c r="FV43" s="84"/>
      <c r="FW43" s="84"/>
      <c r="FX43" s="84"/>
      <c r="FY43" s="84"/>
      <c r="FZ43" s="84"/>
      <c r="GA43" s="84"/>
      <c r="GB43" s="84"/>
      <c r="GC43" s="84"/>
      <c r="GD43" s="84"/>
      <c r="GE43" s="84"/>
      <c r="GF43" s="84"/>
      <c r="GG43" s="84"/>
      <c r="GH43" s="84"/>
      <c r="GI43" s="84"/>
      <c r="GJ43" s="84"/>
      <c r="GK43" s="84"/>
      <c r="GL43" s="84"/>
      <c r="GM43" s="84"/>
      <c r="GN43" s="84"/>
      <c r="GO43" s="84"/>
      <c r="GP43" s="84"/>
      <c r="GQ43" s="84"/>
      <c r="GR43" s="84"/>
      <c r="GS43" s="84"/>
      <c r="GT43" s="84"/>
      <c r="GU43" s="84"/>
      <c r="GV43" s="84"/>
      <c r="GW43" s="84"/>
      <c r="GX43" s="84"/>
      <c r="GY43" s="84"/>
      <c r="GZ43" s="84"/>
      <c r="HA43" s="84"/>
      <c r="HB43" s="84"/>
      <c r="HC43" s="84"/>
      <c r="HD43" s="84"/>
      <c r="HE43" s="84"/>
      <c r="HF43" s="84"/>
      <c r="HG43" s="84"/>
      <c r="HH43" s="84"/>
      <c r="HI43" s="84"/>
      <c r="HJ43" s="84"/>
      <c r="HK43" s="84"/>
      <c r="HL43" s="84"/>
      <c r="HM43" s="84"/>
      <c r="HN43" s="84"/>
      <c r="HO43" s="84"/>
      <c r="HP43" s="84"/>
      <c r="HQ43" s="84"/>
      <c r="HR43" s="84"/>
      <c r="HS43" s="84"/>
      <c r="HT43" s="84"/>
      <c r="HU43" s="84"/>
      <c r="HV43" s="84"/>
      <c r="HW43" s="84"/>
      <c r="HX43" s="84"/>
      <c r="HY43" s="84"/>
      <c r="HZ43" s="84"/>
      <c r="IA43" s="84"/>
      <c r="IB43" s="84"/>
    </row>
    <row r="44" spans="1:236" s="136" customFormat="1" x14ac:dyDescent="0.35">
      <c r="A44" s="87"/>
      <c r="B44" s="101" t="s">
        <v>167</v>
      </c>
      <c r="C44" s="129" t="s">
        <v>549</v>
      </c>
      <c r="D44" s="102" t="s">
        <v>993</v>
      </c>
      <c r="E44" s="103" t="s">
        <v>994</v>
      </c>
      <c r="F44" s="104"/>
      <c r="G44" s="83"/>
      <c r="H44" s="410"/>
      <c r="I44" s="411"/>
      <c r="J44" s="411"/>
      <c r="K44" s="411"/>
      <c r="L44" s="411"/>
      <c r="M44" s="411"/>
      <c r="N44" s="411"/>
      <c r="O44" s="411"/>
      <c r="P44" s="411"/>
      <c r="Q44" s="411"/>
      <c r="R44" s="411"/>
      <c r="S44" s="412"/>
      <c r="T44" s="88"/>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c r="BB44" s="84"/>
      <c r="BC44" s="84"/>
      <c r="BD44" s="84"/>
      <c r="BE44" s="84"/>
      <c r="BF44" s="84"/>
      <c r="BG44" s="84"/>
      <c r="BH44" s="84"/>
      <c r="BI44" s="84"/>
      <c r="BJ44" s="84"/>
      <c r="BK44" s="84"/>
      <c r="BL44" s="84"/>
      <c r="BM44" s="84"/>
      <c r="BN44" s="84"/>
      <c r="BO44" s="84"/>
      <c r="BP44" s="84"/>
      <c r="BQ44" s="84"/>
      <c r="BR44" s="84"/>
      <c r="BS44" s="84"/>
      <c r="BT44" s="84"/>
      <c r="BU44" s="84"/>
      <c r="BV44" s="84"/>
      <c r="BW44" s="84"/>
      <c r="BX44" s="84"/>
      <c r="BY44" s="84"/>
      <c r="BZ44" s="84"/>
      <c r="CA44" s="84"/>
      <c r="CB44" s="84"/>
      <c r="CC44" s="84"/>
      <c r="CD44" s="84"/>
      <c r="CE44" s="84"/>
      <c r="CF44" s="84"/>
      <c r="CG44" s="84"/>
      <c r="CH44" s="84"/>
      <c r="CI44" s="84"/>
      <c r="CJ44" s="84"/>
      <c r="CK44" s="84"/>
      <c r="CL44" s="84"/>
      <c r="CM44" s="84"/>
      <c r="CN44" s="84"/>
      <c r="CO44" s="84"/>
      <c r="CP44" s="84"/>
      <c r="CQ44" s="84"/>
      <c r="CR44" s="84"/>
      <c r="CS44" s="84"/>
      <c r="CT44" s="84"/>
      <c r="CU44" s="84"/>
      <c r="CV44" s="84"/>
      <c r="CW44" s="84"/>
      <c r="CX44" s="84"/>
      <c r="CY44" s="84"/>
      <c r="CZ44" s="84"/>
      <c r="DA44" s="84"/>
      <c r="DB44" s="84"/>
      <c r="DC44" s="84"/>
      <c r="DD44" s="84"/>
      <c r="DE44" s="84"/>
      <c r="DF44" s="84"/>
      <c r="DG44" s="84"/>
      <c r="DH44" s="84"/>
      <c r="DI44" s="84"/>
      <c r="DJ44" s="84"/>
      <c r="DK44" s="84"/>
      <c r="DL44" s="84"/>
      <c r="DM44" s="84"/>
      <c r="DN44" s="84"/>
      <c r="DO44" s="84"/>
      <c r="DP44" s="84"/>
      <c r="DQ44" s="84"/>
      <c r="DR44" s="84"/>
      <c r="DS44" s="84"/>
      <c r="DT44" s="84"/>
      <c r="DU44" s="84"/>
      <c r="DV44" s="84"/>
      <c r="DW44" s="84"/>
      <c r="DX44" s="84"/>
      <c r="DY44" s="84"/>
      <c r="DZ44" s="84"/>
      <c r="EA44" s="84"/>
      <c r="EB44" s="84"/>
      <c r="EC44" s="84"/>
      <c r="ED44" s="84"/>
      <c r="EE44" s="84"/>
      <c r="EF44" s="84"/>
      <c r="EG44" s="84"/>
      <c r="EH44" s="84"/>
      <c r="EI44" s="84"/>
      <c r="EJ44" s="84"/>
      <c r="EK44" s="84"/>
      <c r="EL44" s="84"/>
      <c r="EM44" s="84"/>
      <c r="EN44" s="84"/>
      <c r="EO44" s="84"/>
      <c r="EP44" s="84"/>
      <c r="EQ44" s="84"/>
      <c r="ER44" s="84"/>
      <c r="ES44" s="84"/>
      <c r="ET44" s="84"/>
      <c r="EU44" s="84"/>
      <c r="EV44" s="84"/>
      <c r="EW44" s="84"/>
      <c r="EX44" s="84"/>
      <c r="EY44" s="84"/>
      <c r="EZ44" s="84"/>
      <c r="FA44" s="84"/>
      <c r="FB44" s="84"/>
      <c r="FC44" s="84"/>
      <c r="FD44" s="84"/>
      <c r="FE44" s="84"/>
      <c r="FF44" s="84"/>
      <c r="FG44" s="84"/>
      <c r="FH44" s="84"/>
      <c r="FI44" s="84"/>
      <c r="FJ44" s="84"/>
      <c r="FK44" s="84"/>
      <c r="FL44" s="84"/>
      <c r="FM44" s="84"/>
      <c r="FN44" s="84"/>
      <c r="FO44" s="84"/>
      <c r="FP44" s="84"/>
      <c r="FQ44" s="84"/>
      <c r="FR44" s="84"/>
      <c r="FS44" s="84"/>
      <c r="FT44" s="84"/>
      <c r="FU44" s="84"/>
      <c r="FV44" s="84"/>
      <c r="FW44" s="84"/>
      <c r="FX44" s="84"/>
      <c r="FY44" s="84"/>
      <c r="FZ44" s="84"/>
      <c r="GA44" s="84"/>
      <c r="GB44" s="84"/>
      <c r="GC44" s="84"/>
      <c r="GD44" s="84"/>
      <c r="GE44" s="84"/>
      <c r="GF44" s="84"/>
      <c r="GG44" s="84"/>
      <c r="GH44" s="84"/>
      <c r="GI44" s="84"/>
      <c r="GJ44" s="84"/>
      <c r="GK44" s="84"/>
      <c r="GL44" s="84"/>
      <c r="GM44" s="84"/>
      <c r="GN44" s="84"/>
      <c r="GO44" s="84"/>
      <c r="GP44" s="84"/>
      <c r="GQ44" s="84"/>
      <c r="GR44" s="84"/>
      <c r="GS44" s="84"/>
      <c r="GT44" s="84"/>
      <c r="GU44" s="84"/>
      <c r="GV44" s="84"/>
      <c r="GW44" s="84"/>
      <c r="GX44" s="84"/>
      <c r="GY44" s="84"/>
      <c r="GZ44" s="84"/>
      <c r="HA44" s="84"/>
      <c r="HB44" s="84"/>
      <c r="HC44" s="84"/>
      <c r="HD44" s="84"/>
      <c r="HE44" s="84"/>
      <c r="HF44" s="84"/>
      <c r="HG44" s="84"/>
      <c r="HH44" s="84"/>
      <c r="HI44" s="84"/>
      <c r="HJ44" s="84"/>
      <c r="HK44" s="84"/>
      <c r="HL44" s="84"/>
      <c r="HM44" s="84"/>
      <c r="HN44" s="84"/>
      <c r="HO44" s="84"/>
      <c r="HP44" s="84"/>
      <c r="HQ44" s="84"/>
      <c r="HR44" s="84"/>
      <c r="HS44" s="84"/>
      <c r="HT44" s="84"/>
      <c r="HU44" s="84"/>
      <c r="HV44" s="84"/>
      <c r="HW44" s="84"/>
      <c r="HX44" s="84"/>
      <c r="HY44" s="84"/>
      <c r="HZ44" s="84"/>
      <c r="IA44" s="84"/>
      <c r="IB44" s="84"/>
    </row>
    <row r="45" spans="1:236" ht="15.5" x14ac:dyDescent="0.35">
      <c r="A45" s="87"/>
      <c r="B45" s="143" t="s">
        <v>573</v>
      </c>
      <c r="C45" s="436" t="s">
        <v>995</v>
      </c>
      <c r="D45" s="437"/>
      <c r="E45" s="437"/>
      <c r="F45" s="438"/>
      <c r="G45" s="83"/>
      <c r="H45" s="410"/>
      <c r="I45" s="411"/>
      <c r="J45" s="411"/>
      <c r="K45" s="411"/>
      <c r="L45" s="411"/>
      <c r="M45" s="411"/>
      <c r="N45" s="411"/>
      <c r="O45" s="411"/>
      <c r="P45" s="411"/>
      <c r="Q45" s="411"/>
      <c r="R45" s="411"/>
      <c r="S45" s="412"/>
      <c r="T45" s="88"/>
    </row>
    <row r="46" spans="1:236" x14ac:dyDescent="0.35">
      <c r="A46" s="87"/>
      <c r="B46" s="95" t="s">
        <v>545</v>
      </c>
      <c r="C46" s="416" t="s">
        <v>940</v>
      </c>
      <c r="D46" s="417"/>
      <c r="E46" s="417"/>
      <c r="F46" s="418"/>
      <c r="G46" s="83"/>
      <c r="H46" s="410"/>
      <c r="I46" s="411"/>
      <c r="J46" s="411"/>
      <c r="K46" s="411"/>
      <c r="L46" s="411"/>
      <c r="M46" s="411"/>
      <c r="N46" s="411"/>
      <c r="O46" s="411"/>
      <c r="P46" s="411"/>
      <c r="Q46" s="411"/>
      <c r="R46" s="411"/>
      <c r="S46" s="412"/>
      <c r="T46" s="88"/>
    </row>
    <row r="47" spans="1:236" ht="29" x14ac:dyDescent="0.35">
      <c r="A47" s="87"/>
      <c r="B47" s="96" t="s">
        <v>575</v>
      </c>
      <c r="C47" s="144" t="s">
        <v>996</v>
      </c>
      <c r="D47" s="98"/>
      <c r="E47" s="99" t="s">
        <v>997</v>
      </c>
      <c r="F47" s="145"/>
      <c r="G47" s="83"/>
      <c r="H47" s="410"/>
      <c r="I47" s="411"/>
      <c r="J47" s="411"/>
      <c r="K47" s="411"/>
      <c r="L47" s="411"/>
      <c r="M47" s="411"/>
      <c r="N47" s="411"/>
      <c r="O47" s="411"/>
      <c r="P47" s="411"/>
      <c r="Q47" s="411"/>
      <c r="R47" s="411"/>
      <c r="S47" s="412"/>
      <c r="T47" s="88"/>
    </row>
    <row r="48" spans="1:236" ht="48.75" customHeight="1" x14ac:dyDescent="0.35">
      <c r="A48" s="87"/>
      <c r="B48" s="137" t="s">
        <v>576</v>
      </c>
      <c r="C48" s="97" t="s">
        <v>998</v>
      </c>
      <c r="D48" s="139"/>
      <c r="E48" s="139"/>
      <c r="F48" s="146" t="s">
        <v>945</v>
      </c>
      <c r="G48" s="83"/>
      <c r="H48" s="410"/>
      <c r="I48" s="411"/>
      <c r="J48" s="411"/>
      <c r="K48" s="411"/>
      <c r="L48" s="411"/>
      <c r="M48" s="411"/>
      <c r="N48" s="411"/>
      <c r="O48" s="411"/>
      <c r="P48" s="411"/>
      <c r="Q48" s="411"/>
      <c r="R48" s="411"/>
      <c r="S48" s="412"/>
      <c r="T48" s="88"/>
    </row>
    <row r="49" spans="1:236" s="136" customFormat="1" x14ac:dyDescent="0.35">
      <c r="A49" s="87"/>
      <c r="B49" s="101" t="s">
        <v>167</v>
      </c>
      <c r="C49" s="129" t="s">
        <v>549</v>
      </c>
      <c r="D49" s="102" t="s">
        <v>999</v>
      </c>
      <c r="E49" s="103" t="s">
        <v>1000</v>
      </c>
      <c r="F49" s="104"/>
      <c r="G49" s="83"/>
      <c r="H49" s="410"/>
      <c r="I49" s="411"/>
      <c r="J49" s="411"/>
      <c r="K49" s="411"/>
      <c r="L49" s="411"/>
      <c r="M49" s="411"/>
      <c r="N49" s="411"/>
      <c r="O49" s="411"/>
      <c r="P49" s="411"/>
      <c r="Q49" s="411"/>
      <c r="R49" s="411"/>
      <c r="S49" s="412"/>
      <c r="T49" s="88"/>
      <c r="U49" s="84"/>
      <c r="V49" s="84"/>
      <c r="W49" s="84"/>
      <c r="X49" s="84"/>
      <c r="Y49" s="84"/>
      <c r="Z49" s="84"/>
      <c r="AA49" s="84"/>
      <c r="AB49" s="84"/>
      <c r="AC49" s="84"/>
      <c r="AD49" s="84"/>
      <c r="AE49" s="84"/>
      <c r="AF49" s="84"/>
      <c r="AG49" s="84"/>
      <c r="AH49" s="84"/>
      <c r="AI49" s="84"/>
      <c r="AJ49" s="84"/>
      <c r="AK49" s="84"/>
      <c r="AL49" s="84"/>
      <c r="AM49" s="84"/>
      <c r="AN49" s="84"/>
      <c r="AO49" s="84"/>
      <c r="AP49" s="84"/>
      <c r="AQ49" s="84"/>
      <c r="AR49" s="84"/>
      <c r="AS49" s="84"/>
      <c r="AT49" s="84"/>
      <c r="AU49" s="84"/>
      <c r="AV49" s="84"/>
      <c r="AW49" s="84"/>
      <c r="AX49" s="84"/>
      <c r="AY49" s="84"/>
      <c r="AZ49" s="84"/>
      <c r="BA49" s="84"/>
      <c r="BB49" s="84"/>
      <c r="BC49" s="84"/>
      <c r="BD49" s="84"/>
      <c r="BE49" s="84"/>
      <c r="BF49" s="84"/>
      <c r="BG49" s="84"/>
      <c r="BH49" s="84"/>
      <c r="BI49" s="84"/>
      <c r="BJ49" s="84"/>
      <c r="BK49" s="84"/>
      <c r="BL49" s="84"/>
      <c r="BM49" s="84"/>
      <c r="BN49" s="84"/>
      <c r="BO49" s="84"/>
      <c r="BP49" s="84"/>
      <c r="BQ49" s="84"/>
      <c r="BR49" s="84"/>
      <c r="BS49" s="84"/>
      <c r="BT49" s="84"/>
      <c r="BU49" s="84"/>
      <c r="BV49" s="84"/>
      <c r="BW49" s="84"/>
      <c r="BX49" s="84"/>
      <c r="BY49" s="84"/>
      <c r="BZ49" s="84"/>
      <c r="CA49" s="84"/>
      <c r="CB49" s="84"/>
      <c r="CC49" s="84"/>
      <c r="CD49" s="84"/>
      <c r="CE49" s="84"/>
      <c r="CF49" s="84"/>
      <c r="CG49" s="84"/>
      <c r="CH49" s="84"/>
      <c r="CI49" s="84"/>
      <c r="CJ49" s="84"/>
      <c r="CK49" s="84"/>
      <c r="CL49" s="84"/>
      <c r="CM49" s="84"/>
      <c r="CN49" s="84"/>
      <c r="CO49" s="84"/>
      <c r="CP49" s="84"/>
      <c r="CQ49" s="84"/>
      <c r="CR49" s="84"/>
      <c r="CS49" s="84"/>
      <c r="CT49" s="84"/>
      <c r="CU49" s="84"/>
      <c r="CV49" s="84"/>
      <c r="CW49" s="84"/>
      <c r="CX49" s="84"/>
      <c r="CY49" s="84"/>
      <c r="CZ49" s="84"/>
      <c r="DA49" s="84"/>
      <c r="DB49" s="84"/>
      <c r="DC49" s="84"/>
      <c r="DD49" s="84"/>
      <c r="DE49" s="84"/>
      <c r="DF49" s="84"/>
      <c r="DG49" s="84"/>
      <c r="DH49" s="84"/>
      <c r="DI49" s="84"/>
      <c r="DJ49" s="84"/>
      <c r="DK49" s="84"/>
      <c r="DL49" s="84"/>
      <c r="DM49" s="84"/>
      <c r="DN49" s="84"/>
      <c r="DO49" s="84"/>
      <c r="DP49" s="84"/>
      <c r="DQ49" s="84"/>
      <c r="DR49" s="84"/>
      <c r="DS49" s="84"/>
      <c r="DT49" s="84"/>
      <c r="DU49" s="84"/>
      <c r="DV49" s="84"/>
      <c r="DW49" s="84"/>
      <c r="DX49" s="84"/>
      <c r="DY49" s="84"/>
      <c r="DZ49" s="84"/>
      <c r="EA49" s="84"/>
      <c r="EB49" s="84"/>
      <c r="EC49" s="84"/>
      <c r="ED49" s="84"/>
      <c r="EE49" s="84"/>
      <c r="EF49" s="84"/>
      <c r="EG49" s="84"/>
      <c r="EH49" s="84"/>
      <c r="EI49" s="84"/>
      <c r="EJ49" s="84"/>
      <c r="EK49" s="84"/>
      <c r="EL49" s="84"/>
      <c r="EM49" s="84"/>
      <c r="EN49" s="84"/>
      <c r="EO49" s="84"/>
      <c r="EP49" s="84"/>
      <c r="EQ49" s="84"/>
      <c r="ER49" s="84"/>
      <c r="ES49" s="84"/>
      <c r="ET49" s="84"/>
      <c r="EU49" s="84"/>
      <c r="EV49" s="84"/>
      <c r="EW49" s="84"/>
      <c r="EX49" s="84"/>
      <c r="EY49" s="84"/>
      <c r="EZ49" s="84"/>
      <c r="FA49" s="84"/>
      <c r="FB49" s="84"/>
      <c r="FC49" s="84"/>
      <c r="FD49" s="84"/>
      <c r="FE49" s="84"/>
      <c r="FF49" s="84"/>
      <c r="FG49" s="84"/>
      <c r="FH49" s="84"/>
      <c r="FI49" s="84"/>
      <c r="FJ49" s="84"/>
      <c r="FK49" s="84"/>
      <c r="FL49" s="84"/>
      <c r="FM49" s="84"/>
      <c r="FN49" s="84"/>
      <c r="FO49" s="84"/>
      <c r="FP49" s="84"/>
      <c r="FQ49" s="84"/>
      <c r="FR49" s="84"/>
      <c r="FS49" s="84"/>
      <c r="FT49" s="84"/>
      <c r="FU49" s="84"/>
      <c r="FV49" s="84"/>
      <c r="FW49" s="84"/>
      <c r="FX49" s="84"/>
      <c r="FY49" s="84"/>
      <c r="FZ49" s="84"/>
      <c r="GA49" s="84"/>
      <c r="GB49" s="84"/>
      <c r="GC49" s="84"/>
      <c r="GD49" s="84"/>
      <c r="GE49" s="84"/>
      <c r="GF49" s="84"/>
      <c r="GG49" s="84"/>
      <c r="GH49" s="84"/>
      <c r="GI49" s="84"/>
      <c r="GJ49" s="84"/>
      <c r="GK49" s="84"/>
      <c r="GL49" s="84"/>
      <c r="GM49" s="84"/>
      <c r="GN49" s="84"/>
      <c r="GO49" s="84"/>
      <c r="GP49" s="84"/>
      <c r="GQ49" s="84"/>
      <c r="GR49" s="84"/>
      <c r="GS49" s="84"/>
      <c r="GT49" s="84"/>
      <c r="GU49" s="84"/>
      <c r="GV49" s="84"/>
      <c r="GW49" s="84"/>
      <c r="GX49" s="84"/>
      <c r="GY49" s="84"/>
      <c r="GZ49" s="84"/>
      <c r="HA49" s="84"/>
      <c r="HB49" s="84"/>
      <c r="HC49" s="84"/>
      <c r="HD49" s="84"/>
      <c r="HE49" s="84"/>
      <c r="HF49" s="84"/>
      <c r="HG49" s="84"/>
      <c r="HH49" s="84"/>
      <c r="HI49" s="84"/>
      <c r="HJ49" s="84"/>
      <c r="HK49" s="84"/>
      <c r="HL49" s="84"/>
      <c r="HM49" s="84"/>
      <c r="HN49" s="84"/>
      <c r="HO49" s="84"/>
      <c r="HP49" s="84"/>
      <c r="HQ49" s="84"/>
      <c r="HR49" s="84"/>
      <c r="HS49" s="84"/>
      <c r="HT49" s="84"/>
      <c r="HU49" s="84"/>
      <c r="HV49" s="84"/>
      <c r="HW49" s="84"/>
      <c r="HX49" s="84"/>
      <c r="HY49" s="84"/>
      <c r="HZ49" s="84"/>
      <c r="IA49" s="84"/>
      <c r="IB49" s="84"/>
    </row>
    <row r="50" spans="1:236" ht="42.65" customHeight="1" x14ac:dyDescent="0.35">
      <c r="A50" s="87"/>
      <c r="B50" s="101" t="s">
        <v>167</v>
      </c>
      <c r="C50" s="153" t="s">
        <v>549</v>
      </c>
      <c r="D50" s="102" t="s">
        <v>1001</v>
      </c>
      <c r="E50" s="103" t="s">
        <v>1002</v>
      </c>
      <c r="F50" s="104"/>
      <c r="G50" s="83"/>
      <c r="H50" s="410"/>
      <c r="I50" s="411"/>
      <c r="J50" s="411"/>
      <c r="K50" s="411"/>
      <c r="L50" s="411"/>
      <c r="M50" s="411"/>
      <c r="N50" s="411"/>
      <c r="O50" s="411"/>
      <c r="P50" s="411"/>
      <c r="Q50" s="411"/>
      <c r="R50" s="411"/>
      <c r="S50" s="412"/>
      <c r="T50" s="88"/>
    </row>
    <row r="51" spans="1:236" ht="29" x14ac:dyDescent="0.35">
      <c r="A51" s="87"/>
      <c r="B51" s="101" t="s">
        <v>167</v>
      </c>
      <c r="C51" s="153" t="s">
        <v>549</v>
      </c>
      <c r="D51" s="102" t="s">
        <v>1003</v>
      </c>
      <c r="E51" s="103" t="s">
        <v>1004</v>
      </c>
      <c r="F51" s="104"/>
      <c r="G51" s="83"/>
      <c r="H51" s="410"/>
      <c r="I51" s="411"/>
      <c r="J51" s="411"/>
      <c r="K51" s="411"/>
      <c r="L51" s="411"/>
      <c r="M51" s="411"/>
      <c r="N51" s="411"/>
      <c r="O51" s="411"/>
      <c r="P51" s="411"/>
      <c r="Q51" s="411"/>
      <c r="R51" s="411"/>
      <c r="S51" s="412"/>
      <c r="T51" s="88"/>
    </row>
    <row r="52" spans="1:236" s="157" customFormat="1" x14ac:dyDescent="0.35">
      <c r="A52" s="87"/>
      <c r="B52" s="101" t="s">
        <v>167</v>
      </c>
      <c r="C52" s="147" t="s">
        <v>549</v>
      </c>
      <c r="D52" s="102" t="s">
        <v>1005</v>
      </c>
      <c r="E52" s="103" t="s">
        <v>977</v>
      </c>
      <c r="F52" s="104"/>
      <c r="G52" s="83"/>
      <c r="H52" s="410"/>
      <c r="I52" s="411"/>
      <c r="J52" s="411"/>
      <c r="K52" s="411"/>
      <c r="L52" s="411"/>
      <c r="M52" s="411"/>
      <c r="N52" s="411"/>
      <c r="O52" s="411"/>
      <c r="P52" s="411"/>
      <c r="Q52" s="411"/>
      <c r="R52" s="411"/>
      <c r="S52" s="412"/>
      <c r="T52" s="88"/>
      <c r="U52" s="84"/>
      <c r="V52" s="84"/>
      <c r="W52" s="84"/>
      <c r="X52" s="84"/>
      <c r="Y52" s="84"/>
      <c r="Z52" s="84"/>
      <c r="AA52" s="84"/>
      <c r="AB52" s="84"/>
      <c r="AC52" s="84"/>
      <c r="AD52" s="84"/>
      <c r="AE52" s="84"/>
      <c r="AF52" s="84"/>
      <c r="AG52" s="84"/>
      <c r="AH52" s="84"/>
      <c r="AI52" s="84"/>
      <c r="AJ52" s="84"/>
      <c r="AK52" s="84"/>
      <c r="AL52" s="84"/>
      <c r="AM52" s="84"/>
      <c r="AN52" s="84"/>
      <c r="AO52" s="84"/>
      <c r="AP52" s="84"/>
      <c r="AQ52" s="84"/>
      <c r="AR52" s="84"/>
      <c r="AS52" s="84"/>
      <c r="AT52" s="84"/>
      <c r="AU52" s="84"/>
      <c r="AV52" s="84"/>
      <c r="AW52" s="84"/>
      <c r="AX52" s="84"/>
      <c r="AY52" s="84"/>
      <c r="AZ52" s="84"/>
      <c r="BA52" s="84"/>
      <c r="BB52" s="84"/>
      <c r="BC52" s="84"/>
      <c r="BD52" s="84"/>
      <c r="BE52" s="84"/>
      <c r="BF52" s="84"/>
      <c r="BG52" s="84"/>
      <c r="BH52" s="84"/>
      <c r="BI52" s="84"/>
      <c r="BJ52" s="84"/>
      <c r="BK52" s="84"/>
      <c r="BL52" s="84"/>
      <c r="BM52" s="84"/>
      <c r="BN52" s="84"/>
      <c r="BO52" s="84"/>
      <c r="BP52" s="84"/>
      <c r="BQ52" s="84"/>
      <c r="BR52" s="84"/>
      <c r="BS52" s="84"/>
      <c r="BT52" s="84"/>
      <c r="BU52" s="84"/>
      <c r="BV52" s="84"/>
      <c r="BW52" s="84"/>
      <c r="BX52" s="84"/>
      <c r="BY52" s="84"/>
      <c r="BZ52" s="84"/>
      <c r="CA52" s="84"/>
      <c r="CB52" s="84"/>
      <c r="CC52" s="84"/>
      <c r="CD52" s="84"/>
      <c r="CE52" s="84"/>
      <c r="CF52" s="84"/>
      <c r="CG52" s="84"/>
      <c r="CH52" s="84"/>
      <c r="CI52" s="84"/>
      <c r="CJ52" s="84"/>
      <c r="CK52" s="84"/>
      <c r="CL52" s="84"/>
      <c r="CM52" s="84"/>
      <c r="CN52" s="84"/>
      <c r="CO52" s="84"/>
      <c r="CP52" s="84"/>
      <c r="CQ52" s="84"/>
      <c r="CR52" s="84"/>
      <c r="CS52" s="84"/>
      <c r="CT52" s="84"/>
      <c r="CU52" s="84"/>
      <c r="CV52" s="84"/>
      <c r="CW52" s="84"/>
      <c r="CX52" s="84"/>
      <c r="CY52" s="84"/>
      <c r="CZ52" s="84"/>
      <c r="DA52" s="84"/>
      <c r="DB52" s="84"/>
      <c r="DC52" s="84"/>
      <c r="DD52" s="84"/>
      <c r="DE52" s="84"/>
      <c r="DF52" s="84"/>
      <c r="DG52" s="84"/>
      <c r="DH52" s="84"/>
      <c r="DI52" s="84"/>
      <c r="DJ52" s="84"/>
      <c r="DK52" s="84"/>
      <c r="DL52" s="84"/>
      <c r="DM52" s="84"/>
      <c r="DN52" s="84"/>
      <c r="DO52" s="84"/>
      <c r="DP52" s="84"/>
      <c r="DQ52" s="84"/>
      <c r="DR52" s="84"/>
      <c r="DS52" s="84"/>
      <c r="DT52" s="84"/>
      <c r="DU52" s="84"/>
      <c r="DV52" s="84"/>
      <c r="DW52" s="84"/>
      <c r="DX52" s="84"/>
      <c r="DY52" s="84"/>
      <c r="DZ52" s="84"/>
      <c r="EA52" s="84"/>
      <c r="EB52" s="84"/>
      <c r="EC52" s="84"/>
      <c r="ED52" s="84"/>
      <c r="EE52" s="84"/>
      <c r="EF52" s="84"/>
      <c r="EG52" s="84"/>
      <c r="EH52" s="84"/>
      <c r="EI52" s="84"/>
      <c r="EJ52" s="84"/>
      <c r="EK52" s="84"/>
      <c r="EL52" s="84"/>
      <c r="EM52" s="84"/>
      <c r="EN52" s="84"/>
      <c r="EO52" s="84"/>
      <c r="EP52" s="84"/>
      <c r="EQ52" s="84"/>
      <c r="ER52" s="84"/>
      <c r="ES52" s="84"/>
      <c r="ET52" s="84"/>
      <c r="EU52" s="84"/>
      <c r="EV52" s="84"/>
      <c r="EW52" s="84"/>
      <c r="EX52" s="84"/>
      <c r="EY52" s="84"/>
      <c r="EZ52" s="84"/>
      <c r="FA52" s="84"/>
      <c r="FB52" s="84"/>
      <c r="FC52" s="84"/>
      <c r="FD52" s="84"/>
      <c r="FE52" s="84"/>
      <c r="FF52" s="84"/>
      <c r="FG52" s="84"/>
      <c r="FH52" s="84"/>
      <c r="FI52" s="84"/>
      <c r="FJ52" s="84"/>
      <c r="FK52" s="84"/>
      <c r="FL52" s="84"/>
      <c r="FM52" s="84"/>
      <c r="FN52" s="84"/>
      <c r="FO52" s="84"/>
      <c r="FP52" s="84"/>
      <c r="FQ52" s="84"/>
      <c r="FR52" s="84"/>
      <c r="FS52" s="84"/>
      <c r="FT52" s="84"/>
      <c r="FU52" s="84"/>
      <c r="FV52" s="84"/>
      <c r="FW52" s="84"/>
      <c r="FX52" s="84"/>
      <c r="FY52" s="84"/>
      <c r="FZ52" s="84"/>
      <c r="GA52" s="84"/>
      <c r="GB52" s="84"/>
      <c r="GC52" s="84"/>
      <c r="GD52" s="84"/>
      <c r="GE52" s="84"/>
      <c r="GF52" s="84"/>
      <c r="GG52" s="84"/>
      <c r="GH52" s="84"/>
      <c r="GI52" s="84"/>
      <c r="GJ52" s="84"/>
      <c r="GK52" s="84"/>
      <c r="GL52" s="84"/>
      <c r="GM52" s="84"/>
      <c r="GN52" s="84"/>
      <c r="GO52" s="84"/>
      <c r="GP52" s="84"/>
      <c r="GQ52" s="84"/>
      <c r="GR52" s="84"/>
      <c r="GS52" s="84"/>
      <c r="GT52" s="84"/>
      <c r="GU52" s="84"/>
      <c r="GV52" s="84"/>
      <c r="GW52" s="84"/>
      <c r="GX52" s="84"/>
      <c r="GY52" s="84"/>
      <c r="GZ52" s="84"/>
      <c r="HA52" s="84"/>
      <c r="HB52" s="84"/>
      <c r="HC52" s="84"/>
      <c r="HD52" s="84"/>
      <c r="HE52" s="84"/>
      <c r="HF52" s="84"/>
      <c r="HG52" s="84"/>
      <c r="HH52" s="84"/>
      <c r="HI52" s="84"/>
      <c r="HJ52" s="84"/>
      <c r="HK52" s="84"/>
      <c r="HL52" s="84"/>
      <c r="HM52" s="84"/>
      <c r="HN52" s="84"/>
      <c r="HO52" s="84"/>
      <c r="HP52" s="84"/>
      <c r="HQ52" s="84"/>
      <c r="HR52" s="84"/>
      <c r="HS52" s="84"/>
      <c r="HT52" s="84"/>
      <c r="HU52" s="84"/>
      <c r="HV52" s="84"/>
      <c r="HW52" s="84"/>
      <c r="HX52" s="84"/>
      <c r="HY52" s="84"/>
      <c r="HZ52" s="84"/>
      <c r="IA52" s="84"/>
      <c r="IB52" s="84"/>
    </row>
    <row r="53" spans="1:236" ht="29" x14ac:dyDescent="0.35">
      <c r="A53" s="87"/>
      <c r="B53" s="101" t="s">
        <v>167</v>
      </c>
      <c r="C53" s="129" t="s">
        <v>549</v>
      </c>
      <c r="D53" s="102" t="s">
        <v>978</v>
      </c>
      <c r="E53" s="103" t="s">
        <v>979</v>
      </c>
      <c r="F53" s="104"/>
      <c r="G53" s="83"/>
      <c r="H53" s="410"/>
      <c r="I53" s="411"/>
      <c r="J53" s="411"/>
      <c r="K53" s="411"/>
      <c r="L53" s="411"/>
      <c r="M53" s="411"/>
      <c r="N53" s="411"/>
      <c r="O53" s="411"/>
      <c r="P53" s="411"/>
      <c r="Q53" s="411"/>
      <c r="R53" s="411"/>
      <c r="S53" s="412"/>
      <c r="T53" s="88"/>
    </row>
    <row r="54" spans="1:236" ht="43.5" x14ac:dyDescent="0.35">
      <c r="A54" s="87"/>
      <c r="B54" s="96" t="s">
        <v>577</v>
      </c>
      <c r="C54" s="144" t="s">
        <v>1006</v>
      </c>
      <c r="D54" s="98"/>
      <c r="E54" s="99" t="s">
        <v>1007</v>
      </c>
      <c r="F54" s="145"/>
      <c r="G54" s="83"/>
      <c r="H54" s="410"/>
      <c r="I54" s="411"/>
      <c r="J54" s="411"/>
      <c r="K54" s="411"/>
      <c r="L54" s="411"/>
      <c r="M54" s="411"/>
      <c r="N54" s="411"/>
      <c r="O54" s="411"/>
      <c r="P54" s="411"/>
      <c r="Q54" s="411"/>
      <c r="R54" s="411"/>
      <c r="S54" s="412"/>
      <c r="T54" s="88"/>
    </row>
    <row r="55" spans="1:236" ht="43.5" x14ac:dyDescent="0.35">
      <c r="A55" s="87"/>
      <c r="B55" s="96" t="s">
        <v>674</v>
      </c>
      <c r="C55" s="97" t="s">
        <v>1008</v>
      </c>
      <c r="D55" s="98"/>
      <c r="E55" s="99"/>
      <c r="F55" s="145"/>
      <c r="G55" s="83"/>
      <c r="H55" s="410"/>
      <c r="I55" s="411"/>
      <c r="J55" s="411"/>
      <c r="K55" s="411"/>
      <c r="L55" s="411"/>
      <c r="M55" s="411"/>
      <c r="N55" s="411"/>
      <c r="O55" s="411"/>
      <c r="P55" s="411"/>
      <c r="Q55" s="411"/>
      <c r="R55" s="411"/>
      <c r="S55" s="412"/>
      <c r="T55" s="88"/>
    </row>
    <row r="56" spans="1:236" s="136" customFormat="1" x14ac:dyDescent="0.35">
      <c r="A56" s="87"/>
      <c r="B56" s="101" t="s">
        <v>167</v>
      </c>
      <c r="C56" s="129" t="s">
        <v>549</v>
      </c>
      <c r="D56" s="102" t="s">
        <v>999</v>
      </c>
      <c r="E56" s="103" t="s">
        <v>1000</v>
      </c>
      <c r="F56" s="104"/>
      <c r="G56" s="83"/>
      <c r="H56" s="410"/>
      <c r="I56" s="411"/>
      <c r="J56" s="411"/>
      <c r="K56" s="411"/>
      <c r="L56" s="411"/>
      <c r="M56" s="411"/>
      <c r="N56" s="411"/>
      <c r="O56" s="411"/>
      <c r="P56" s="411"/>
      <c r="Q56" s="411"/>
      <c r="R56" s="411"/>
      <c r="S56" s="412"/>
      <c r="T56" s="88"/>
      <c r="U56" s="84"/>
      <c r="V56" s="84"/>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84"/>
      <c r="BG56" s="84"/>
      <c r="BH56" s="84"/>
      <c r="BI56" s="84"/>
      <c r="BJ56" s="84"/>
      <c r="BK56" s="84"/>
      <c r="BL56" s="84"/>
      <c r="BM56" s="84"/>
      <c r="BN56" s="84"/>
      <c r="BO56" s="84"/>
      <c r="BP56" s="84"/>
      <c r="BQ56" s="84"/>
      <c r="BR56" s="84"/>
      <c r="BS56" s="84"/>
      <c r="BT56" s="84"/>
      <c r="BU56" s="84"/>
      <c r="BV56" s="84"/>
      <c r="BW56" s="84"/>
      <c r="BX56" s="84"/>
      <c r="BY56" s="84"/>
      <c r="BZ56" s="84"/>
      <c r="CA56" s="84"/>
      <c r="CB56" s="84"/>
      <c r="CC56" s="84"/>
      <c r="CD56" s="84"/>
      <c r="CE56" s="84"/>
      <c r="CF56" s="84"/>
      <c r="CG56" s="84"/>
      <c r="CH56" s="84"/>
      <c r="CI56" s="84"/>
      <c r="CJ56" s="84"/>
      <c r="CK56" s="84"/>
      <c r="CL56" s="84"/>
      <c r="CM56" s="84"/>
      <c r="CN56" s="84"/>
      <c r="CO56" s="84"/>
      <c r="CP56" s="84"/>
      <c r="CQ56" s="84"/>
      <c r="CR56" s="84"/>
      <c r="CS56" s="84"/>
      <c r="CT56" s="84"/>
      <c r="CU56" s="84"/>
      <c r="CV56" s="84"/>
      <c r="CW56" s="84"/>
      <c r="CX56" s="84"/>
      <c r="CY56" s="84"/>
      <c r="CZ56" s="84"/>
      <c r="DA56" s="84"/>
      <c r="DB56" s="84"/>
      <c r="DC56" s="84"/>
      <c r="DD56" s="84"/>
      <c r="DE56" s="84"/>
      <c r="DF56" s="84"/>
      <c r="DG56" s="84"/>
      <c r="DH56" s="84"/>
      <c r="DI56" s="84"/>
      <c r="DJ56" s="84"/>
      <c r="DK56" s="84"/>
      <c r="DL56" s="84"/>
      <c r="DM56" s="84"/>
      <c r="DN56" s="84"/>
      <c r="DO56" s="84"/>
      <c r="DP56" s="84"/>
      <c r="DQ56" s="84"/>
      <c r="DR56" s="84"/>
      <c r="DS56" s="84"/>
      <c r="DT56" s="84"/>
      <c r="DU56" s="84"/>
      <c r="DV56" s="84"/>
      <c r="DW56" s="84"/>
      <c r="DX56" s="84"/>
      <c r="DY56" s="84"/>
      <c r="DZ56" s="84"/>
      <c r="EA56" s="84"/>
      <c r="EB56" s="84"/>
      <c r="EC56" s="84"/>
      <c r="ED56" s="84"/>
      <c r="EE56" s="84"/>
      <c r="EF56" s="84"/>
      <c r="EG56" s="84"/>
      <c r="EH56" s="84"/>
      <c r="EI56" s="84"/>
      <c r="EJ56" s="84"/>
      <c r="EK56" s="84"/>
      <c r="EL56" s="84"/>
      <c r="EM56" s="84"/>
      <c r="EN56" s="84"/>
      <c r="EO56" s="84"/>
      <c r="EP56" s="84"/>
      <c r="EQ56" s="84"/>
      <c r="ER56" s="84"/>
      <c r="ES56" s="84"/>
      <c r="ET56" s="84"/>
      <c r="EU56" s="84"/>
      <c r="EV56" s="84"/>
      <c r="EW56" s="84"/>
      <c r="EX56" s="84"/>
      <c r="EY56" s="84"/>
      <c r="EZ56" s="84"/>
      <c r="FA56" s="84"/>
      <c r="FB56" s="84"/>
      <c r="FC56" s="84"/>
      <c r="FD56" s="84"/>
      <c r="FE56" s="84"/>
      <c r="FF56" s="84"/>
      <c r="FG56" s="84"/>
      <c r="FH56" s="84"/>
      <c r="FI56" s="84"/>
      <c r="FJ56" s="84"/>
      <c r="FK56" s="84"/>
      <c r="FL56" s="84"/>
      <c r="FM56" s="84"/>
      <c r="FN56" s="84"/>
      <c r="FO56" s="84"/>
      <c r="FP56" s="84"/>
      <c r="FQ56" s="84"/>
      <c r="FR56" s="84"/>
      <c r="FS56" s="84"/>
      <c r="FT56" s="84"/>
      <c r="FU56" s="84"/>
      <c r="FV56" s="84"/>
      <c r="FW56" s="84"/>
      <c r="FX56" s="84"/>
      <c r="FY56" s="84"/>
      <c r="FZ56" s="84"/>
      <c r="GA56" s="84"/>
      <c r="GB56" s="84"/>
      <c r="GC56" s="84"/>
      <c r="GD56" s="84"/>
      <c r="GE56" s="84"/>
      <c r="GF56" s="84"/>
      <c r="GG56" s="84"/>
      <c r="GH56" s="84"/>
      <c r="GI56" s="84"/>
      <c r="GJ56" s="84"/>
      <c r="GK56" s="84"/>
      <c r="GL56" s="84"/>
      <c r="GM56" s="84"/>
      <c r="GN56" s="84"/>
      <c r="GO56" s="84"/>
      <c r="GP56" s="84"/>
      <c r="GQ56" s="84"/>
      <c r="GR56" s="84"/>
      <c r="GS56" s="84"/>
      <c r="GT56" s="84"/>
      <c r="GU56" s="84"/>
      <c r="GV56" s="84"/>
      <c r="GW56" s="84"/>
      <c r="GX56" s="84"/>
      <c r="GY56" s="84"/>
      <c r="GZ56" s="84"/>
      <c r="HA56" s="84"/>
      <c r="HB56" s="84"/>
      <c r="HC56" s="84"/>
      <c r="HD56" s="84"/>
      <c r="HE56" s="84"/>
      <c r="HF56" s="84"/>
      <c r="HG56" s="84"/>
      <c r="HH56" s="84"/>
      <c r="HI56" s="84"/>
      <c r="HJ56" s="84"/>
      <c r="HK56" s="84"/>
      <c r="HL56" s="84"/>
      <c r="HM56" s="84"/>
      <c r="HN56" s="84"/>
      <c r="HO56" s="84"/>
      <c r="HP56" s="84"/>
      <c r="HQ56" s="84"/>
      <c r="HR56" s="84"/>
      <c r="HS56" s="84"/>
      <c r="HT56" s="84"/>
      <c r="HU56" s="84"/>
      <c r="HV56" s="84"/>
      <c r="HW56" s="84"/>
      <c r="HX56" s="84"/>
      <c r="HY56" s="84"/>
      <c r="HZ56" s="84"/>
      <c r="IA56" s="84"/>
      <c r="IB56" s="84"/>
    </row>
    <row r="57" spans="1:236" ht="43.5" x14ac:dyDescent="0.35">
      <c r="A57" s="87"/>
      <c r="B57" s="101" t="s">
        <v>167</v>
      </c>
      <c r="C57" s="153" t="s">
        <v>549</v>
      </c>
      <c r="D57" s="102" t="s">
        <v>1001</v>
      </c>
      <c r="E57" s="103" t="s">
        <v>1002</v>
      </c>
      <c r="F57" s="104"/>
      <c r="G57" s="83"/>
      <c r="H57" s="410"/>
      <c r="I57" s="411"/>
      <c r="J57" s="411"/>
      <c r="K57" s="411"/>
      <c r="L57" s="411"/>
      <c r="M57" s="411"/>
      <c r="N57" s="411"/>
      <c r="O57" s="411"/>
      <c r="P57" s="411"/>
      <c r="Q57" s="411"/>
      <c r="R57" s="411"/>
      <c r="S57" s="412"/>
      <c r="T57" s="88"/>
    </row>
    <row r="58" spans="1:236" ht="29" x14ac:dyDescent="0.35">
      <c r="A58" s="87"/>
      <c r="B58" s="101" t="s">
        <v>167</v>
      </c>
      <c r="C58" s="153" t="s">
        <v>549</v>
      </c>
      <c r="D58" s="102" t="s">
        <v>1009</v>
      </c>
      <c r="E58" s="103" t="s">
        <v>1010</v>
      </c>
      <c r="F58" s="104"/>
      <c r="G58" s="83"/>
      <c r="H58" s="410"/>
      <c r="I58" s="411"/>
      <c r="J58" s="411"/>
      <c r="K58" s="411"/>
      <c r="L58" s="411"/>
      <c r="M58" s="411"/>
      <c r="N58" s="411"/>
      <c r="O58" s="411"/>
      <c r="P58" s="411"/>
      <c r="Q58" s="411"/>
      <c r="R58" s="411"/>
      <c r="S58" s="412"/>
      <c r="T58" s="88"/>
    </row>
    <row r="59" spans="1:236" s="157" customFormat="1" x14ac:dyDescent="0.35">
      <c r="A59" s="87"/>
      <c r="B59" s="101" t="s">
        <v>167</v>
      </c>
      <c r="C59" s="147" t="s">
        <v>549</v>
      </c>
      <c r="D59" s="102" t="s">
        <v>1005</v>
      </c>
      <c r="E59" s="103" t="s">
        <v>977</v>
      </c>
      <c r="F59" s="104"/>
      <c r="G59" s="83"/>
      <c r="H59" s="410"/>
      <c r="I59" s="411"/>
      <c r="J59" s="411"/>
      <c r="K59" s="411"/>
      <c r="L59" s="411"/>
      <c r="M59" s="411"/>
      <c r="N59" s="411"/>
      <c r="O59" s="411"/>
      <c r="P59" s="411"/>
      <c r="Q59" s="411"/>
      <c r="R59" s="411"/>
      <c r="S59" s="412"/>
      <c r="T59" s="88"/>
      <c r="U59" s="84"/>
      <c r="V59" s="84"/>
      <c r="W59" s="84"/>
      <c r="X59" s="84"/>
      <c r="Y59" s="84"/>
      <c r="Z59" s="84"/>
      <c r="AA59" s="84"/>
      <c r="AB59" s="84"/>
      <c r="AC59" s="84"/>
      <c r="AD59" s="84"/>
      <c r="AE59" s="84"/>
      <c r="AF59" s="84"/>
      <c r="AG59" s="84"/>
      <c r="AH59" s="84"/>
      <c r="AI59" s="84"/>
      <c r="AJ59" s="84"/>
      <c r="AK59" s="84"/>
      <c r="AL59" s="84"/>
      <c r="AM59" s="84"/>
      <c r="AN59" s="84"/>
      <c r="AO59" s="84"/>
      <c r="AP59" s="84"/>
      <c r="AQ59" s="84"/>
      <c r="AR59" s="84"/>
      <c r="AS59" s="84"/>
      <c r="AT59" s="84"/>
      <c r="AU59" s="84"/>
      <c r="AV59" s="84"/>
      <c r="AW59" s="84"/>
      <c r="AX59" s="84"/>
      <c r="AY59" s="84"/>
      <c r="AZ59" s="84"/>
      <c r="BA59" s="84"/>
      <c r="BB59" s="84"/>
      <c r="BC59" s="84"/>
      <c r="BD59" s="84"/>
      <c r="BE59" s="84"/>
      <c r="BF59" s="84"/>
      <c r="BG59" s="84"/>
      <c r="BH59" s="84"/>
      <c r="BI59" s="84"/>
      <c r="BJ59" s="84"/>
      <c r="BK59" s="84"/>
      <c r="BL59" s="84"/>
      <c r="BM59" s="84"/>
      <c r="BN59" s="84"/>
      <c r="BO59" s="84"/>
      <c r="BP59" s="84"/>
      <c r="BQ59" s="84"/>
      <c r="BR59" s="84"/>
      <c r="BS59" s="84"/>
      <c r="BT59" s="84"/>
      <c r="BU59" s="84"/>
      <c r="BV59" s="84"/>
      <c r="BW59" s="84"/>
      <c r="BX59" s="84"/>
      <c r="BY59" s="84"/>
      <c r="BZ59" s="84"/>
      <c r="CA59" s="84"/>
      <c r="CB59" s="84"/>
      <c r="CC59" s="84"/>
      <c r="CD59" s="84"/>
      <c r="CE59" s="84"/>
      <c r="CF59" s="84"/>
      <c r="CG59" s="84"/>
      <c r="CH59" s="84"/>
      <c r="CI59" s="84"/>
      <c r="CJ59" s="84"/>
      <c r="CK59" s="84"/>
      <c r="CL59" s="84"/>
      <c r="CM59" s="84"/>
      <c r="CN59" s="84"/>
      <c r="CO59" s="84"/>
      <c r="CP59" s="84"/>
      <c r="CQ59" s="84"/>
      <c r="CR59" s="84"/>
      <c r="CS59" s="84"/>
      <c r="CT59" s="84"/>
      <c r="CU59" s="84"/>
      <c r="CV59" s="84"/>
      <c r="CW59" s="84"/>
      <c r="CX59" s="84"/>
      <c r="CY59" s="84"/>
      <c r="CZ59" s="84"/>
      <c r="DA59" s="84"/>
      <c r="DB59" s="84"/>
      <c r="DC59" s="84"/>
      <c r="DD59" s="84"/>
      <c r="DE59" s="84"/>
      <c r="DF59" s="84"/>
      <c r="DG59" s="84"/>
      <c r="DH59" s="84"/>
      <c r="DI59" s="84"/>
      <c r="DJ59" s="84"/>
      <c r="DK59" s="84"/>
      <c r="DL59" s="84"/>
      <c r="DM59" s="84"/>
      <c r="DN59" s="84"/>
      <c r="DO59" s="84"/>
      <c r="DP59" s="84"/>
      <c r="DQ59" s="84"/>
      <c r="DR59" s="84"/>
      <c r="DS59" s="84"/>
      <c r="DT59" s="84"/>
      <c r="DU59" s="84"/>
      <c r="DV59" s="84"/>
      <c r="DW59" s="84"/>
      <c r="DX59" s="84"/>
      <c r="DY59" s="84"/>
      <c r="DZ59" s="84"/>
      <c r="EA59" s="84"/>
      <c r="EB59" s="84"/>
      <c r="EC59" s="84"/>
      <c r="ED59" s="84"/>
      <c r="EE59" s="84"/>
      <c r="EF59" s="84"/>
      <c r="EG59" s="84"/>
      <c r="EH59" s="84"/>
      <c r="EI59" s="84"/>
      <c r="EJ59" s="84"/>
      <c r="EK59" s="84"/>
      <c r="EL59" s="84"/>
      <c r="EM59" s="84"/>
      <c r="EN59" s="84"/>
      <c r="EO59" s="84"/>
      <c r="EP59" s="84"/>
      <c r="EQ59" s="84"/>
      <c r="ER59" s="84"/>
      <c r="ES59" s="84"/>
      <c r="ET59" s="84"/>
      <c r="EU59" s="84"/>
      <c r="EV59" s="84"/>
      <c r="EW59" s="84"/>
      <c r="EX59" s="84"/>
      <c r="EY59" s="84"/>
      <c r="EZ59" s="84"/>
      <c r="FA59" s="84"/>
      <c r="FB59" s="84"/>
      <c r="FC59" s="84"/>
      <c r="FD59" s="84"/>
      <c r="FE59" s="84"/>
      <c r="FF59" s="84"/>
      <c r="FG59" s="84"/>
      <c r="FH59" s="84"/>
      <c r="FI59" s="84"/>
      <c r="FJ59" s="84"/>
      <c r="FK59" s="84"/>
      <c r="FL59" s="84"/>
      <c r="FM59" s="84"/>
      <c r="FN59" s="84"/>
      <c r="FO59" s="84"/>
      <c r="FP59" s="84"/>
      <c r="FQ59" s="84"/>
      <c r="FR59" s="84"/>
      <c r="FS59" s="84"/>
      <c r="FT59" s="84"/>
      <c r="FU59" s="84"/>
      <c r="FV59" s="84"/>
      <c r="FW59" s="84"/>
      <c r="FX59" s="84"/>
      <c r="FY59" s="84"/>
      <c r="FZ59" s="84"/>
      <c r="GA59" s="84"/>
      <c r="GB59" s="84"/>
      <c r="GC59" s="84"/>
      <c r="GD59" s="84"/>
      <c r="GE59" s="84"/>
      <c r="GF59" s="84"/>
      <c r="GG59" s="84"/>
      <c r="GH59" s="84"/>
      <c r="GI59" s="84"/>
      <c r="GJ59" s="84"/>
      <c r="GK59" s="84"/>
      <c r="GL59" s="84"/>
      <c r="GM59" s="84"/>
      <c r="GN59" s="84"/>
      <c r="GO59" s="84"/>
      <c r="GP59" s="84"/>
      <c r="GQ59" s="84"/>
      <c r="GR59" s="84"/>
      <c r="GS59" s="84"/>
      <c r="GT59" s="84"/>
      <c r="GU59" s="84"/>
      <c r="GV59" s="84"/>
      <c r="GW59" s="84"/>
      <c r="GX59" s="84"/>
      <c r="GY59" s="84"/>
      <c r="GZ59" s="84"/>
      <c r="HA59" s="84"/>
      <c r="HB59" s="84"/>
      <c r="HC59" s="84"/>
      <c r="HD59" s="84"/>
      <c r="HE59" s="84"/>
      <c r="HF59" s="84"/>
      <c r="HG59" s="84"/>
      <c r="HH59" s="84"/>
      <c r="HI59" s="84"/>
      <c r="HJ59" s="84"/>
      <c r="HK59" s="84"/>
      <c r="HL59" s="84"/>
      <c r="HM59" s="84"/>
      <c r="HN59" s="84"/>
      <c r="HO59" s="84"/>
      <c r="HP59" s="84"/>
      <c r="HQ59" s="84"/>
      <c r="HR59" s="84"/>
      <c r="HS59" s="84"/>
      <c r="HT59" s="84"/>
      <c r="HU59" s="84"/>
      <c r="HV59" s="84"/>
      <c r="HW59" s="84"/>
      <c r="HX59" s="84"/>
      <c r="HY59" s="84"/>
      <c r="HZ59" s="84"/>
      <c r="IA59" s="84"/>
      <c r="IB59" s="84"/>
    </row>
    <row r="60" spans="1:236" ht="29" x14ac:dyDescent="0.35">
      <c r="A60" s="87"/>
      <c r="B60" s="101" t="s">
        <v>167</v>
      </c>
      <c r="C60" s="129" t="s">
        <v>549</v>
      </c>
      <c r="D60" s="102" t="s">
        <v>978</v>
      </c>
      <c r="E60" s="103" t="s">
        <v>979</v>
      </c>
      <c r="F60" s="104"/>
      <c r="G60" s="83"/>
      <c r="H60" s="410"/>
      <c r="I60" s="411"/>
      <c r="J60" s="411"/>
      <c r="K60" s="411"/>
      <c r="L60" s="411"/>
      <c r="M60" s="411"/>
      <c r="N60" s="411"/>
      <c r="O60" s="411"/>
      <c r="P60" s="411"/>
      <c r="Q60" s="411"/>
      <c r="R60" s="411"/>
      <c r="S60" s="412"/>
      <c r="T60" s="88"/>
    </row>
    <row r="61" spans="1:236" ht="43.5" x14ac:dyDescent="0.35">
      <c r="A61" s="87"/>
      <c r="B61" s="96" t="s">
        <v>676</v>
      </c>
      <c r="C61" s="144" t="s">
        <v>1011</v>
      </c>
      <c r="D61" s="98"/>
      <c r="E61" s="99"/>
      <c r="F61" s="145" t="s">
        <v>1012</v>
      </c>
      <c r="G61" s="83"/>
      <c r="H61" s="410"/>
      <c r="I61" s="411"/>
      <c r="J61" s="411"/>
      <c r="K61" s="411"/>
      <c r="L61" s="411"/>
      <c r="M61" s="411"/>
      <c r="N61" s="411"/>
      <c r="O61" s="411"/>
      <c r="P61" s="411"/>
      <c r="Q61" s="411"/>
      <c r="R61" s="411"/>
      <c r="S61" s="412"/>
      <c r="T61" s="88"/>
    </row>
    <row r="62" spans="1:236" ht="43.5" x14ac:dyDescent="0.35">
      <c r="A62" s="87"/>
      <c r="B62" s="96" t="s">
        <v>678</v>
      </c>
      <c r="C62" s="97" t="s">
        <v>1008</v>
      </c>
      <c r="D62" s="98"/>
      <c r="E62" s="99"/>
      <c r="F62" s="145"/>
      <c r="G62" s="83"/>
      <c r="H62" s="410"/>
      <c r="I62" s="411"/>
      <c r="J62" s="411"/>
      <c r="K62" s="411"/>
      <c r="L62" s="411"/>
      <c r="M62" s="411"/>
      <c r="N62" s="411"/>
      <c r="O62" s="411"/>
      <c r="P62" s="411"/>
      <c r="Q62" s="411"/>
      <c r="R62" s="411"/>
      <c r="S62" s="412"/>
      <c r="T62" s="88"/>
    </row>
    <row r="63" spans="1:236" s="136" customFormat="1" x14ac:dyDescent="0.35">
      <c r="A63" s="87"/>
      <c r="B63" s="101" t="s">
        <v>167</v>
      </c>
      <c r="C63" s="129" t="s">
        <v>549</v>
      </c>
      <c r="D63" s="102" t="s">
        <v>1013</v>
      </c>
      <c r="E63" s="103" t="s">
        <v>1000</v>
      </c>
      <c r="F63" s="104"/>
      <c r="G63" s="83"/>
      <c r="H63" s="410"/>
      <c r="I63" s="411"/>
      <c r="J63" s="411"/>
      <c r="K63" s="411"/>
      <c r="L63" s="411"/>
      <c r="M63" s="411"/>
      <c r="N63" s="411"/>
      <c r="O63" s="411"/>
      <c r="P63" s="411"/>
      <c r="Q63" s="411"/>
      <c r="R63" s="411"/>
      <c r="S63" s="412"/>
      <c r="T63" s="88"/>
      <c r="U63" s="84"/>
      <c r="V63" s="84"/>
      <c r="W63" s="84"/>
      <c r="X63" s="84"/>
      <c r="Y63" s="84"/>
      <c r="Z63" s="84"/>
      <c r="AA63" s="84"/>
      <c r="AB63" s="84"/>
      <c r="AC63" s="84"/>
      <c r="AD63" s="84"/>
      <c r="AE63" s="84"/>
      <c r="AF63" s="84"/>
      <c r="AG63" s="84"/>
      <c r="AH63" s="84"/>
      <c r="AI63" s="84"/>
      <c r="AJ63" s="84"/>
      <c r="AK63" s="84"/>
      <c r="AL63" s="84"/>
      <c r="AM63" s="84"/>
      <c r="AN63" s="84"/>
      <c r="AO63" s="84"/>
      <c r="AP63" s="84"/>
      <c r="AQ63" s="84"/>
      <c r="AR63" s="84"/>
      <c r="AS63" s="84"/>
      <c r="AT63" s="84"/>
      <c r="AU63" s="84"/>
      <c r="AV63" s="84"/>
      <c r="AW63" s="84"/>
      <c r="AX63" s="84"/>
      <c r="AY63" s="84"/>
      <c r="AZ63" s="84"/>
      <c r="BA63" s="84"/>
      <c r="BB63" s="84"/>
      <c r="BC63" s="84"/>
      <c r="BD63" s="84"/>
      <c r="BE63" s="84"/>
      <c r="BF63" s="84"/>
      <c r="BG63" s="84"/>
      <c r="BH63" s="84"/>
      <c r="BI63" s="84"/>
      <c r="BJ63" s="84"/>
      <c r="BK63" s="84"/>
      <c r="BL63" s="84"/>
      <c r="BM63" s="84"/>
      <c r="BN63" s="84"/>
      <c r="BO63" s="84"/>
      <c r="BP63" s="84"/>
      <c r="BQ63" s="84"/>
      <c r="BR63" s="84"/>
      <c r="BS63" s="84"/>
      <c r="BT63" s="84"/>
      <c r="BU63" s="84"/>
      <c r="BV63" s="84"/>
      <c r="BW63" s="84"/>
      <c r="BX63" s="84"/>
      <c r="BY63" s="84"/>
      <c r="BZ63" s="84"/>
      <c r="CA63" s="84"/>
      <c r="CB63" s="84"/>
      <c r="CC63" s="84"/>
      <c r="CD63" s="84"/>
      <c r="CE63" s="84"/>
      <c r="CF63" s="84"/>
      <c r="CG63" s="84"/>
      <c r="CH63" s="84"/>
      <c r="CI63" s="84"/>
      <c r="CJ63" s="84"/>
      <c r="CK63" s="84"/>
      <c r="CL63" s="84"/>
      <c r="CM63" s="84"/>
      <c r="CN63" s="84"/>
      <c r="CO63" s="84"/>
      <c r="CP63" s="84"/>
      <c r="CQ63" s="84"/>
      <c r="CR63" s="84"/>
      <c r="CS63" s="84"/>
      <c r="CT63" s="84"/>
      <c r="CU63" s="84"/>
      <c r="CV63" s="84"/>
      <c r="CW63" s="84"/>
      <c r="CX63" s="84"/>
      <c r="CY63" s="84"/>
      <c r="CZ63" s="84"/>
      <c r="DA63" s="84"/>
      <c r="DB63" s="84"/>
      <c r="DC63" s="84"/>
      <c r="DD63" s="84"/>
      <c r="DE63" s="84"/>
      <c r="DF63" s="84"/>
      <c r="DG63" s="84"/>
      <c r="DH63" s="84"/>
      <c r="DI63" s="84"/>
      <c r="DJ63" s="84"/>
      <c r="DK63" s="84"/>
      <c r="DL63" s="84"/>
      <c r="DM63" s="84"/>
      <c r="DN63" s="84"/>
      <c r="DO63" s="84"/>
      <c r="DP63" s="84"/>
      <c r="DQ63" s="84"/>
      <c r="DR63" s="84"/>
      <c r="DS63" s="84"/>
      <c r="DT63" s="84"/>
      <c r="DU63" s="84"/>
      <c r="DV63" s="84"/>
      <c r="DW63" s="84"/>
      <c r="DX63" s="84"/>
      <c r="DY63" s="84"/>
      <c r="DZ63" s="84"/>
      <c r="EA63" s="84"/>
      <c r="EB63" s="84"/>
      <c r="EC63" s="84"/>
      <c r="ED63" s="84"/>
      <c r="EE63" s="84"/>
      <c r="EF63" s="84"/>
      <c r="EG63" s="84"/>
      <c r="EH63" s="84"/>
      <c r="EI63" s="84"/>
      <c r="EJ63" s="84"/>
      <c r="EK63" s="84"/>
      <c r="EL63" s="84"/>
      <c r="EM63" s="84"/>
      <c r="EN63" s="84"/>
      <c r="EO63" s="84"/>
      <c r="EP63" s="84"/>
      <c r="EQ63" s="84"/>
      <c r="ER63" s="84"/>
      <c r="ES63" s="84"/>
      <c r="ET63" s="84"/>
      <c r="EU63" s="84"/>
      <c r="EV63" s="84"/>
      <c r="EW63" s="84"/>
      <c r="EX63" s="84"/>
      <c r="EY63" s="84"/>
      <c r="EZ63" s="84"/>
      <c r="FA63" s="84"/>
      <c r="FB63" s="84"/>
      <c r="FC63" s="84"/>
      <c r="FD63" s="84"/>
      <c r="FE63" s="84"/>
      <c r="FF63" s="84"/>
      <c r="FG63" s="84"/>
      <c r="FH63" s="84"/>
      <c r="FI63" s="84"/>
      <c r="FJ63" s="84"/>
      <c r="FK63" s="84"/>
      <c r="FL63" s="84"/>
      <c r="FM63" s="84"/>
      <c r="FN63" s="84"/>
      <c r="FO63" s="84"/>
      <c r="FP63" s="84"/>
      <c r="FQ63" s="84"/>
      <c r="FR63" s="84"/>
      <c r="FS63" s="84"/>
      <c r="FT63" s="84"/>
      <c r="FU63" s="84"/>
      <c r="FV63" s="84"/>
      <c r="FW63" s="84"/>
      <c r="FX63" s="84"/>
      <c r="FY63" s="84"/>
      <c r="FZ63" s="84"/>
      <c r="GA63" s="84"/>
      <c r="GB63" s="84"/>
      <c r="GC63" s="84"/>
      <c r="GD63" s="84"/>
      <c r="GE63" s="84"/>
      <c r="GF63" s="84"/>
      <c r="GG63" s="84"/>
      <c r="GH63" s="84"/>
      <c r="GI63" s="84"/>
      <c r="GJ63" s="84"/>
      <c r="GK63" s="84"/>
      <c r="GL63" s="84"/>
      <c r="GM63" s="84"/>
      <c r="GN63" s="84"/>
      <c r="GO63" s="84"/>
      <c r="GP63" s="84"/>
      <c r="GQ63" s="84"/>
      <c r="GR63" s="84"/>
      <c r="GS63" s="84"/>
      <c r="GT63" s="84"/>
      <c r="GU63" s="84"/>
      <c r="GV63" s="84"/>
      <c r="GW63" s="84"/>
      <c r="GX63" s="84"/>
      <c r="GY63" s="84"/>
      <c r="GZ63" s="84"/>
      <c r="HA63" s="84"/>
      <c r="HB63" s="84"/>
      <c r="HC63" s="84"/>
      <c r="HD63" s="84"/>
      <c r="HE63" s="84"/>
      <c r="HF63" s="84"/>
      <c r="HG63" s="84"/>
      <c r="HH63" s="84"/>
      <c r="HI63" s="84"/>
      <c r="HJ63" s="84"/>
      <c r="HK63" s="84"/>
      <c r="HL63" s="84"/>
      <c r="HM63" s="84"/>
      <c r="HN63" s="84"/>
      <c r="HO63" s="84"/>
      <c r="HP63" s="84"/>
      <c r="HQ63" s="84"/>
      <c r="HR63" s="84"/>
      <c r="HS63" s="84"/>
      <c r="HT63" s="84"/>
      <c r="HU63" s="84"/>
      <c r="HV63" s="84"/>
      <c r="HW63" s="84"/>
      <c r="HX63" s="84"/>
      <c r="HY63" s="84"/>
      <c r="HZ63" s="84"/>
      <c r="IA63" s="84"/>
      <c r="IB63" s="84"/>
    </row>
    <row r="64" spans="1:236" ht="42.65" customHeight="1" x14ac:dyDescent="0.35">
      <c r="A64" s="87"/>
      <c r="B64" s="101" t="s">
        <v>167</v>
      </c>
      <c r="C64" s="153" t="s">
        <v>549</v>
      </c>
      <c r="D64" s="102" t="s">
        <v>1001</v>
      </c>
      <c r="E64" s="103" t="s">
        <v>994</v>
      </c>
      <c r="F64" s="104"/>
      <c r="G64" s="83"/>
      <c r="H64" s="410"/>
      <c r="I64" s="411"/>
      <c r="J64" s="411"/>
      <c r="K64" s="411"/>
      <c r="L64" s="411"/>
      <c r="M64" s="411"/>
      <c r="N64" s="411"/>
      <c r="O64" s="411"/>
      <c r="P64" s="411"/>
      <c r="Q64" s="411"/>
      <c r="R64" s="411"/>
      <c r="S64" s="412"/>
      <c r="T64" s="88"/>
    </row>
    <row r="65" spans="1:236" x14ac:dyDescent="0.35">
      <c r="A65" s="87"/>
      <c r="B65" s="101" t="s">
        <v>167</v>
      </c>
      <c r="C65" s="153" t="s">
        <v>549</v>
      </c>
      <c r="D65" s="102" t="s">
        <v>1014</v>
      </c>
      <c r="E65" s="103" t="s">
        <v>1015</v>
      </c>
      <c r="F65" s="104"/>
      <c r="G65" s="83"/>
      <c r="H65" s="410"/>
      <c r="I65" s="411"/>
      <c r="J65" s="411"/>
      <c r="K65" s="411"/>
      <c r="L65" s="411"/>
      <c r="M65" s="411"/>
      <c r="N65" s="411"/>
      <c r="O65" s="411"/>
      <c r="P65" s="411"/>
      <c r="Q65" s="411"/>
      <c r="R65" s="411"/>
      <c r="S65" s="412"/>
      <c r="T65" s="88"/>
    </row>
    <row r="66" spans="1:236" s="157" customFormat="1" x14ac:dyDescent="0.35">
      <c r="A66" s="87"/>
      <c r="B66" s="101" t="s">
        <v>167</v>
      </c>
      <c r="C66" s="147" t="s">
        <v>549</v>
      </c>
      <c r="D66" s="102" t="s">
        <v>1005</v>
      </c>
      <c r="E66" s="103" t="s">
        <v>977</v>
      </c>
      <c r="F66" s="104"/>
      <c r="G66" s="83"/>
      <c r="H66" s="410"/>
      <c r="I66" s="411"/>
      <c r="J66" s="411"/>
      <c r="K66" s="411"/>
      <c r="L66" s="411"/>
      <c r="M66" s="411"/>
      <c r="N66" s="411"/>
      <c r="O66" s="411"/>
      <c r="P66" s="411"/>
      <c r="Q66" s="411"/>
      <c r="R66" s="411"/>
      <c r="S66" s="412"/>
      <c r="T66" s="88"/>
      <c r="U66" s="84"/>
      <c r="V66" s="84"/>
      <c r="W66" s="84"/>
      <c r="X66" s="84"/>
      <c r="Y66" s="84"/>
      <c r="Z66" s="84"/>
      <c r="AA66" s="84"/>
      <c r="AB66" s="84"/>
      <c r="AC66" s="84"/>
      <c r="AD66" s="84"/>
      <c r="AE66" s="84"/>
      <c r="AF66" s="84"/>
      <c r="AG66" s="84"/>
      <c r="AH66" s="84"/>
      <c r="AI66" s="84"/>
      <c r="AJ66" s="84"/>
      <c r="AK66" s="84"/>
      <c r="AL66" s="84"/>
      <c r="AM66" s="84"/>
      <c r="AN66" s="84"/>
      <c r="AO66" s="84"/>
      <c r="AP66" s="84"/>
      <c r="AQ66" s="84"/>
      <c r="AR66" s="84"/>
      <c r="AS66" s="84"/>
      <c r="AT66" s="84"/>
      <c r="AU66" s="84"/>
      <c r="AV66" s="84"/>
      <c r="AW66" s="84"/>
      <c r="AX66" s="84"/>
      <c r="AY66" s="84"/>
      <c r="AZ66" s="84"/>
      <c r="BA66" s="84"/>
      <c r="BB66" s="84"/>
      <c r="BC66" s="84"/>
      <c r="BD66" s="84"/>
      <c r="BE66" s="84"/>
      <c r="BF66" s="84"/>
      <c r="BG66" s="84"/>
      <c r="BH66" s="84"/>
      <c r="BI66" s="84"/>
      <c r="BJ66" s="84"/>
      <c r="BK66" s="84"/>
      <c r="BL66" s="84"/>
      <c r="BM66" s="84"/>
      <c r="BN66" s="84"/>
      <c r="BO66" s="84"/>
      <c r="BP66" s="84"/>
      <c r="BQ66" s="84"/>
      <c r="BR66" s="84"/>
      <c r="BS66" s="84"/>
      <c r="BT66" s="84"/>
      <c r="BU66" s="84"/>
      <c r="BV66" s="84"/>
      <c r="BW66" s="84"/>
      <c r="BX66" s="84"/>
      <c r="BY66" s="84"/>
      <c r="BZ66" s="84"/>
      <c r="CA66" s="84"/>
      <c r="CB66" s="84"/>
      <c r="CC66" s="84"/>
      <c r="CD66" s="84"/>
      <c r="CE66" s="84"/>
      <c r="CF66" s="84"/>
      <c r="CG66" s="84"/>
      <c r="CH66" s="84"/>
      <c r="CI66" s="84"/>
      <c r="CJ66" s="84"/>
      <c r="CK66" s="84"/>
      <c r="CL66" s="84"/>
      <c r="CM66" s="84"/>
      <c r="CN66" s="84"/>
      <c r="CO66" s="84"/>
      <c r="CP66" s="84"/>
      <c r="CQ66" s="84"/>
      <c r="CR66" s="84"/>
      <c r="CS66" s="84"/>
      <c r="CT66" s="84"/>
      <c r="CU66" s="84"/>
      <c r="CV66" s="84"/>
      <c r="CW66" s="84"/>
      <c r="CX66" s="84"/>
      <c r="CY66" s="84"/>
      <c r="CZ66" s="84"/>
      <c r="DA66" s="84"/>
      <c r="DB66" s="84"/>
      <c r="DC66" s="84"/>
      <c r="DD66" s="84"/>
      <c r="DE66" s="84"/>
      <c r="DF66" s="84"/>
      <c r="DG66" s="84"/>
      <c r="DH66" s="84"/>
      <c r="DI66" s="84"/>
      <c r="DJ66" s="84"/>
      <c r="DK66" s="84"/>
      <c r="DL66" s="84"/>
      <c r="DM66" s="84"/>
      <c r="DN66" s="84"/>
      <c r="DO66" s="84"/>
      <c r="DP66" s="84"/>
      <c r="DQ66" s="84"/>
      <c r="DR66" s="84"/>
      <c r="DS66" s="84"/>
      <c r="DT66" s="84"/>
      <c r="DU66" s="84"/>
      <c r="DV66" s="84"/>
      <c r="DW66" s="84"/>
      <c r="DX66" s="84"/>
      <c r="DY66" s="84"/>
      <c r="DZ66" s="84"/>
      <c r="EA66" s="84"/>
      <c r="EB66" s="84"/>
      <c r="EC66" s="84"/>
      <c r="ED66" s="84"/>
      <c r="EE66" s="84"/>
      <c r="EF66" s="84"/>
      <c r="EG66" s="84"/>
      <c r="EH66" s="84"/>
      <c r="EI66" s="84"/>
      <c r="EJ66" s="84"/>
      <c r="EK66" s="84"/>
      <c r="EL66" s="84"/>
      <c r="EM66" s="84"/>
      <c r="EN66" s="84"/>
      <c r="EO66" s="84"/>
      <c r="EP66" s="84"/>
      <c r="EQ66" s="84"/>
      <c r="ER66" s="84"/>
      <c r="ES66" s="84"/>
      <c r="ET66" s="84"/>
      <c r="EU66" s="84"/>
      <c r="EV66" s="84"/>
      <c r="EW66" s="84"/>
      <c r="EX66" s="84"/>
      <c r="EY66" s="84"/>
      <c r="EZ66" s="84"/>
      <c r="FA66" s="84"/>
      <c r="FB66" s="84"/>
      <c r="FC66" s="84"/>
      <c r="FD66" s="84"/>
      <c r="FE66" s="84"/>
      <c r="FF66" s="84"/>
      <c r="FG66" s="84"/>
      <c r="FH66" s="84"/>
      <c r="FI66" s="84"/>
      <c r="FJ66" s="84"/>
      <c r="FK66" s="84"/>
      <c r="FL66" s="84"/>
      <c r="FM66" s="84"/>
      <c r="FN66" s="84"/>
      <c r="FO66" s="84"/>
      <c r="FP66" s="84"/>
      <c r="FQ66" s="84"/>
      <c r="FR66" s="84"/>
      <c r="FS66" s="84"/>
      <c r="FT66" s="84"/>
      <c r="FU66" s="84"/>
      <c r="FV66" s="84"/>
      <c r="FW66" s="84"/>
      <c r="FX66" s="84"/>
      <c r="FY66" s="84"/>
      <c r="FZ66" s="84"/>
      <c r="GA66" s="84"/>
      <c r="GB66" s="84"/>
      <c r="GC66" s="84"/>
      <c r="GD66" s="84"/>
      <c r="GE66" s="84"/>
      <c r="GF66" s="84"/>
      <c r="GG66" s="84"/>
      <c r="GH66" s="84"/>
      <c r="GI66" s="84"/>
      <c r="GJ66" s="84"/>
      <c r="GK66" s="84"/>
      <c r="GL66" s="84"/>
      <c r="GM66" s="84"/>
      <c r="GN66" s="84"/>
      <c r="GO66" s="84"/>
      <c r="GP66" s="84"/>
      <c r="GQ66" s="84"/>
      <c r="GR66" s="84"/>
      <c r="GS66" s="84"/>
      <c r="GT66" s="84"/>
      <c r="GU66" s="84"/>
      <c r="GV66" s="84"/>
      <c r="GW66" s="84"/>
      <c r="GX66" s="84"/>
      <c r="GY66" s="84"/>
      <c r="GZ66" s="84"/>
      <c r="HA66" s="84"/>
      <c r="HB66" s="84"/>
      <c r="HC66" s="84"/>
      <c r="HD66" s="84"/>
      <c r="HE66" s="84"/>
      <c r="HF66" s="84"/>
      <c r="HG66" s="84"/>
      <c r="HH66" s="84"/>
      <c r="HI66" s="84"/>
      <c r="HJ66" s="84"/>
      <c r="HK66" s="84"/>
      <c r="HL66" s="84"/>
      <c r="HM66" s="84"/>
      <c r="HN66" s="84"/>
      <c r="HO66" s="84"/>
      <c r="HP66" s="84"/>
      <c r="HQ66" s="84"/>
      <c r="HR66" s="84"/>
      <c r="HS66" s="84"/>
      <c r="HT66" s="84"/>
      <c r="HU66" s="84"/>
      <c r="HV66" s="84"/>
      <c r="HW66" s="84"/>
      <c r="HX66" s="84"/>
      <c r="HY66" s="84"/>
      <c r="HZ66" s="84"/>
      <c r="IA66" s="84"/>
      <c r="IB66" s="84"/>
    </row>
    <row r="67" spans="1:236" ht="29" x14ac:dyDescent="0.35">
      <c r="A67" s="87"/>
      <c r="B67" s="101" t="s">
        <v>167</v>
      </c>
      <c r="C67" s="129" t="s">
        <v>549</v>
      </c>
      <c r="D67" s="102" t="s">
        <v>978</v>
      </c>
      <c r="E67" s="103" t="s">
        <v>979</v>
      </c>
      <c r="F67" s="104"/>
      <c r="G67" s="83"/>
      <c r="H67" s="410"/>
      <c r="I67" s="411"/>
      <c r="J67" s="411"/>
      <c r="K67" s="411"/>
      <c r="L67" s="411"/>
      <c r="M67" s="411"/>
      <c r="N67" s="411"/>
      <c r="O67" s="411"/>
      <c r="P67" s="411"/>
      <c r="Q67" s="411"/>
      <c r="R67" s="411"/>
      <c r="S67" s="412"/>
      <c r="T67" s="88"/>
    </row>
    <row r="68" spans="1:236" ht="29" x14ac:dyDescent="0.35">
      <c r="A68" s="87"/>
      <c r="B68" s="96" t="s">
        <v>679</v>
      </c>
      <c r="C68" s="144" t="s">
        <v>1016</v>
      </c>
      <c r="D68" s="98"/>
      <c r="E68" s="99"/>
      <c r="F68" s="145"/>
      <c r="G68" s="83"/>
      <c r="H68" s="410"/>
      <c r="I68" s="411"/>
      <c r="J68" s="411"/>
      <c r="K68" s="411"/>
      <c r="L68" s="411"/>
      <c r="M68" s="411"/>
      <c r="N68" s="411"/>
      <c r="O68" s="411"/>
      <c r="P68" s="411"/>
      <c r="Q68" s="411"/>
      <c r="R68" s="411"/>
      <c r="S68" s="412"/>
      <c r="T68" s="88"/>
    </row>
    <row r="69" spans="1:236" ht="29" x14ac:dyDescent="0.35">
      <c r="A69" s="87"/>
      <c r="B69" s="96" t="s">
        <v>680</v>
      </c>
      <c r="C69" s="144" t="s">
        <v>1017</v>
      </c>
      <c r="D69" s="98"/>
      <c r="E69" s="99"/>
      <c r="F69" s="145" t="s">
        <v>1018</v>
      </c>
      <c r="G69" s="83"/>
      <c r="H69" s="410"/>
      <c r="I69" s="411"/>
      <c r="J69" s="411"/>
      <c r="K69" s="411"/>
      <c r="L69" s="411"/>
      <c r="M69" s="411"/>
      <c r="N69" s="411"/>
      <c r="O69" s="411"/>
      <c r="P69" s="411"/>
      <c r="Q69" s="411"/>
      <c r="R69" s="411"/>
      <c r="S69" s="412"/>
      <c r="T69" s="88"/>
    </row>
    <row r="70" spans="1:236" s="136" customFormat="1" x14ac:dyDescent="0.35">
      <c r="A70" s="87"/>
      <c r="B70" s="101" t="s">
        <v>167</v>
      </c>
      <c r="C70" s="129" t="s">
        <v>549</v>
      </c>
      <c r="D70" s="102" t="s">
        <v>999</v>
      </c>
      <c r="E70" s="103" t="s">
        <v>1000</v>
      </c>
      <c r="F70" s="104"/>
      <c r="G70" s="83"/>
      <c r="H70" s="410"/>
      <c r="I70" s="411"/>
      <c r="J70" s="411"/>
      <c r="K70" s="411"/>
      <c r="L70" s="411"/>
      <c r="M70" s="411"/>
      <c r="N70" s="411"/>
      <c r="O70" s="411"/>
      <c r="P70" s="411"/>
      <c r="Q70" s="411"/>
      <c r="R70" s="411"/>
      <c r="S70" s="412"/>
      <c r="T70" s="88"/>
      <c r="U70" s="84"/>
      <c r="V70" s="84"/>
      <c r="W70" s="84"/>
      <c r="X70" s="84"/>
      <c r="Y70" s="84"/>
      <c r="Z70" s="84"/>
      <c r="AA70" s="84"/>
      <c r="AB70" s="84"/>
      <c r="AC70" s="84"/>
      <c r="AD70" s="84"/>
      <c r="AE70" s="84"/>
      <c r="AF70" s="84"/>
      <c r="AG70" s="84"/>
      <c r="AH70" s="84"/>
      <c r="AI70" s="84"/>
      <c r="AJ70" s="84"/>
      <c r="AK70" s="84"/>
      <c r="AL70" s="84"/>
      <c r="AM70" s="84"/>
      <c r="AN70" s="84"/>
      <c r="AO70" s="84"/>
      <c r="AP70" s="84"/>
      <c r="AQ70" s="84"/>
      <c r="AR70" s="84"/>
      <c r="AS70" s="84"/>
      <c r="AT70" s="84"/>
      <c r="AU70" s="84"/>
      <c r="AV70" s="84"/>
      <c r="AW70" s="84"/>
      <c r="AX70" s="84"/>
      <c r="AY70" s="84"/>
      <c r="AZ70" s="84"/>
      <c r="BA70" s="84"/>
      <c r="BB70" s="84"/>
      <c r="BC70" s="84"/>
      <c r="BD70" s="84"/>
      <c r="BE70" s="84"/>
      <c r="BF70" s="84"/>
      <c r="BG70" s="84"/>
      <c r="BH70" s="84"/>
      <c r="BI70" s="84"/>
      <c r="BJ70" s="84"/>
      <c r="BK70" s="84"/>
      <c r="BL70" s="84"/>
      <c r="BM70" s="84"/>
      <c r="BN70" s="84"/>
      <c r="BO70" s="84"/>
      <c r="BP70" s="84"/>
      <c r="BQ70" s="84"/>
      <c r="BR70" s="84"/>
      <c r="BS70" s="84"/>
      <c r="BT70" s="84"/>
      <c r="BU70" s="84"/>
      <c r="BV70" s="84"/>
      <c r="BW70" s="84"/>
      <c r="BX70" s="84"/>
      <c r="BY70" s="84"/>
      <c r="BZ70" s="84"/>
      <c r="CA70" s="84"/>
      <c r="CB70" s="84"/>
      <c r="CC70" s="84"/>
      <c r="CD70" s="84"/>
      <c r="CE70" s="84"/>
      <c r="CF70" s="84"/>
      <c r="CG70" s="84"/>
      <c r="CH70" s="84"/>
      <c r="CI70" s="84"/>
      <c r="CJ70" s="84"/>
      <c r="CK70" s="84"/>
      <c r="CL70" s="84"/>
      <c r="CM70" s="84"/>
      <c r="CN70" s="84"/>
      <c r="CO70" s="84"/>
      <c r="CP70" s="84"/>
      <c r="CQ70" s="84"/>
      <c r="CR70" s="84"/>
      <c r="CS70" s="84"/>
      <c r="CT70" s="84"/>
      <c r="CU70" s="84"/>
      <c r="CV70" s="84"/>
      <c r="CW70" s="84"/>
      <c r="CX70" s="84"/>
      <c r="CY70" s="84"/>
      <c r="CZ70" s="84"/>
      <c r="DA70" s="84"/>
      <c r="DB70" s="84"/>
      <c r="DC70" s="84"/>
      <c r="DD70" s="84"/>
      <c r="DE70" s="84"/>
      <c r="DF70" s="84"/>
      <c r="DG70" s="84"/>
      <c r="DH70" s="84"/>
      <c r="DI70" s="84"/>
      <c r="DJ70" s="84"/>
      <c r="DK70" s="84"/>
      <c r="DL70" s="84"/>
      <c r="DM70" s="84"/>
      <c r="DN70" s="84"/>
      <c r="DO70" s="84"/>
      <c r="DP70" s="84"/>
      <c r="DQ70" s="84"/>
      <c r="DR70" s="84"/>
      <c r="DS70" s="84"/>
      <c r="DT70" s="84"/>
      <c r="DU70" s="84"/>
      <c r="DV70" s="84"/>
      <c r="DW70" s="84"/>
      <c r="DX70" s="84"/>
      <c r="DY70" s="84"/>
      <c r="DZ70" s="84"/>
      <c r="EA70" s="84"/>
      <c r="EB70" s="84"/>
      <c r="EC70" s="84"/>
      <c r="ED70" s="84"/>
      <c r="EE70" s="84"/>
      <c r="EF70" s="84"/>
      <c r="EG70" s="84"/>
      <c r="EH70" s="84"/>
      <c r="EI70" s="84"/>
      <c r="EJ70" s="84"/>
      <c r="EK70" s="84"/>
      <c r="EL70" s="84"/>
      <c r="EM70" s="84"/>
      <c r="EN70" s="84"/>
      <c r="EO70" s="84"/>
      <c r="EP70" s="84"/>
      <c r="EQ70" s="84"/>
      <c r="ER70" s="84"/>
      <c r="ES70" s="84"/>
      <c r="ET70" s="84"/>
      <c r="EU70" s="84"/>
      <c r="EV70" s="84"/>
      <c r="EW70" s="84"/>
      <c r="EX70" s="84"/>
      <c r="EY70" s="84"/>
      <c r="EZ70" s="84"/>
      <c r="FA70" s="84"/>
      <c r="FB70" s="84"/>
      <c r="FC70" s="84"/>
      <c r="FD70" s="84"/>
      <c r="FE70" s="84"/>
      <c r="FF70" s="84"/>
      <c r="FG70" s="84"/>
      <c r="FH70" s="84"/>
      <c r="FI70" s="84"/>
      <c r="FJ70" s="84"/>
      <c r="FK70" s="84"/>
      <c r="FL70" s="84"/>
      <c r="FM70" s="84"/>
      <c r="FN70" s="84"/>
      <c r="FO70" s="84"/>
      <c r="FP70" s="84"/>
      <c r="FQ70" s="84"/>
      <c r="FR70" s="84"/>
      <c r="FS70" s="84"/>
      <c r="FT70" s="84"/>
      <c r="FU70" s="84"/>
      <c r="FV70" s="84"/>
      <c r="FW70" s="84"/>
      <c r="FX70" s="84"/>
      <c r="FY70" s="84"/>
      <c r="FZ70" s="84"/>
      <c r="GA70" s="84"/>
      <c r="GB70" s="84"/>
      <c r="GC70" s="84"/>
      <c r="GD70" s="84"/>
      <c r="GE70" s="84"/>
      <c r="GF70" s="84"/>
      <c r="GG70" s="84"/>
      <c r="GH70" s="84"/>
      <c r="GI70" s="84"/>
      <c r="GJ70" s="84"/>
      <c r="GK70" s="84"/>
      <c r="GL70" s="84"/>
      <c r="GM70" s="84"/>
      <c r="GN70" s="84"/>
      <c r="GO70" s="84"/>
      <c r="GP70" s="84"/>
      <c r="GQ70" s="84"/>
      <c r="GR70" s="84"/>
      <c r="GS70" s="84"/>
      <c r="GT70" s="84"/>
      <c r="GU70" s="84"/>
      <c r="GV70" s="84"/>
      <c r="GW70" s="84"/>
      <c r="GX70" s="84"/>
      <c r="GY70" s="84"/>
      <c r="GZ70" s="84"/>
      <c r="HA70" s="84"/>
      <c r="HB70" s="84"/>
      <c r="HC70" s="84"/>
      <c r="HD70" s="84"/>
      <c r="HE70" s="84"/>
      <c r="HF70" s="84"/>
      <c r="HG70" s="84"/>
      <c r="HH70" s="84"/>
      <c r="HI70" s="84"/>
      <c r="HJ70" s="84"/>
      <c r="HK70" s="84"/>
      <c r="HL70" s="84"/>
      <c r="HM70" s="84"/>
      <c r="HN70" s="84"/>
      <c r="HO70" s="84"/>
      <c r="HP70" s="84"/>
      <c r="HQ70" s="84"/>
      <c r="HR70" s="84"/>
      <c r="HS70" s="84"/>
      <c r="HT70" s="84"/>
      <c r="HU70" s="84"/>
      <c r="HV70" s="84"/>
      <c r="HW70" s="84"/>
      <c r="HX70" s="84"/>
      <c r="HY70" s="84"/>
      <c r="HZ70" s="84"/>
      <c r="IA70" s="84"/>
      <c r="IB70" s="84"/>
    </row>
    <row r="71" spans="1:236" s="136" customFormat="1" ht="43.5" x14ac:dyDescent="0.35">
      <c r="A71" s="87"/>
      <c r="B71" s="101" t="s">
        <v>167</v>
      </c>
      <c r="C71" s="129" t="s">
        <v>549</v>
      </c>
      <c r="D71" s="102" t="s">
        <v>1001</v>
      </c>
      <c r="E71" s="103" t="s">
        <v>1002</v>
      </c>
      <c r="F71" s="104"/>
      <c r="G71" s="83"/>
      <c r="H71" s="410"/>
      <c r="I71" s="411"/>
      <c r="J71" s="411"/>
      <c r="K71" s="411"/>
      <c r="L71" s="411"/>
      <c r="M71" s="411"/>
      <c r="N71" s="411"/>
      <c r="O71" s="411"/>
      <c r="P71" s="411"/>
      <c r="Q71" s="411"/>
      <c r="R71" s="411"/>
      <c r="S71" s="412"/>
      <c r="T71" s="88"/>
      <c r="U71" s="84"/>
      <c r="V71" s="84"/>
      <c r="W71" s="84"/>
      <c r="X71" s="84"/>
      <c r="Y71" s="84"/>
      <c r="Z71" s="84"/>
      <c r="AA71" s="84"/>
      <c r="AB71" s="84"/>
      <c r="AC71" s="84"/>
      <c r="AD71" s="84"/>
      <c r="AE71" s="84"/>
      <c r="AF71" s="84"/>
      <c r="AG71" s="84"/>
      <c r="AH71" s="84"/>
      <c r="AI71" s="84"/>
      <c r="AJ71" s="84"/>
      <c r="AK71" s="84"/>
      <c r="AL71" s="84"/>
      <c r="AM71" s="84"/>
      <c r="AN71" s="84"/>
      <c r="AO71" s="84"/>
      <c r="AP71" s="84"/>
      <c r="AQ71" s="84"/>
      <c r="AR71" s="84"/>
      <c r="AS71" s="84"/>
      <c r="AT71" s="84"/>
      <c r="AU71" s="84"/>
      <c r="AV71" s="84"/>
      <c r="AW71" s="84"/>
      <c r="AX71" s="84"/>
      <c r="AY71" s="84"/>
      <c r="AZ71" s="84"/>
      <c r="BA71" s="84"/>
      <c r="BB71" s="84"/>
      <c r="BC71" s="84"/>
      <c r="BD71" s="84"/>
      <c r="BE71" s="84"/>
      <c r="BF71" s="84"/>
      <c r="BG71" s="84"/>
      <c r="BH71" s="84"/>
      <c r="BI71" s="84"/>
      <c r="BJ71" s="84"/>
      <c r="BK71" s="84"/>
      <c r="BL71" s="84"/>
      <c r="BM71" s="84"/>
      <c r="BN71" s="84"/>
      <c r="BO71" s="84"/>
      <c r="BP71" s="84"/>
      <c r="BQ71" s="84"/>
      <c r="BR71" s="84"/>
      <c r="BS71" s="84"/>
      <c r="BT71" s="84"/>
      <c r="BU71" s="84"/>
      <c r="BV71" s="84"/>
      <c r="BW71" s="84"/>
      <c r="BX71" s="84"/>
      <c r="BY71" s="84"/>
      <c r="BZ71" s="84"/>
      <c r="CA71" s="84"/>
      <c r="CB71" s="84"/>
      <c r="CC71" s="84"/>
      <c r="CD71" s="84"/>
      <c r="CE71" s="84"/>
      <c r="CF71" s="84"/>
      <c r="CG71" s="84"/>
      <c r="CH71" s="84"/>
      <c r="CI71" s="84"/>
      <c r="CJ71" s="84"/>
      <c r="CK71" s="84"/>
      <c r="CL71" s="84"/>
      <c r="CM71" s="84"/>
      <c r="CN71" s="84"/>
      <c r="CO71" s="84"/>
      <c r="CP71" s="84"/>
      <c r="CQ71" s="84"/>
      <c r="CR71" s="84"/>
      <c r="CS71" s="84"/>
      <c r="CT71" s="84"/>
      <c r="CU71" s="84"/>
      <c r="CV71" s="84"/>
      <c r="CW71" s="84"/>
      <c r="CX71" s="84"/>
      <c r="CY71" s="84"/>
      <c r="CZ71" s="84"/>
      <c r="DA71" s="84"/>
      <c r="DB71" s="84"/>
      <c r="DC71" s="84"/>
      <c r="DD71" s="84"/>
      <c r="DE71" s="84"/>
      <c r="DF71" s="84"/>
      <c r="DG71" s="84"/>
      <c r="DH71" s="84"/>
      <c r="DI71" s="84"/>
      <c r="DJ71" s="84"/>
      <c r="DK71" s="84"/>
      <c r="DL71" s="84"/>
      <c r="DM71" s="84"/>
      <c r="DN71" s="84"/>
      <c r="DO71" s="84"/>
      <c r="DP71" s="84"/>
      <c r="DQ71" s="84"/>
      <c r="DR71" s="84"/>
      <c r="DS71" s="84"/>
      <c r="DT71" s="84"/>
      <c r="DU71" s="84"/>
      <c r="DV71" s="84"/>
      <c r="DW71" s="84"/>
      <c r="DX71" s="84"/>
      <c r="DY71" s="84"/>
      <c r="DZ71" s="84"/>
      <c r="EA71" s="84"/>
      <c r="EB71" s="84"/>
      <c r="EC71" s="84"/>
      <c r="ED71" s="84"/>
      <c r="EE71" s="84"/>
      <c r="EF71" s="84"/>
      <c r="EG71" s="84"/>
      <c r="EH71" s="84"/>
      <c r="EI71" s="84"/>
      <c r="EJ71" s="84"/>
      <c r="EK71" s="84"/>
      <c r="EL71" s="84"/>
      <c r="EM71" s="84"/>
      <c r="EN71" s="84"/>
      <c r="EO71" s="84"/>
      <c r="EP71" s="84"/>
      <c r="EQ71" s="84"/>
      <c r="ER71" s="84"/>
      <c r="ES71" s="84"/>
      <c r="ET71" s="84"/>
      <c r="EU71" s="84"/>
      <c r="EV71" s="84"/>
      <c r="EW71" s="84"/>
      <c r="EX71" s="84"/>
      <c r="EY71" s="84"/>
      <c r="EZ71" s="84"/>
      <c r="FA71" s="84"/>
      <c r="FB71" s="84"/>
      <c r="FC71" s="84"/>
      <c r="FD71" s="84"/>
      <c r="FE71" s="84"/>
      <c r="FF71" s="84"/>
      <c r="FG71" s="84"/>
      <c r="FH71" s="84"/>
      <c r="FI71" s="84"/>
      <c r="FJ71" s="84"/>
      <c r="FK71" s="84"/>
      <c r="FL71" s="84"/>
      <c r="FM71" s="84"/>
      <c r="FN71" s="84"/>
      <c r="FO71" s="84"/>
      <c r="FP71" s="84"/>
      <c r="FQ71" s="84"/>
      <c r="FR71" s="84"/>
      <c r="FS71" s="84"/>
      <c r="FT71" s="84"/>
      <c r="FU71" s="84"/>
      <c r="FV71" s="84"/>
      <c r="FW71" s="84"/>
      <c r="FX71" s="84"/>
      <c r="FY71" s="84"/>
      <c r="FZ71" s="84"/>
      <c r="GA71" s="84"/>
      <c r="GB71" s="84"/>
      <c r="GC71" s="84"/>
      <c r="GD71" s="84"/>
      <c r="GE71" s="84"/>
      <c r="GF71" s="84"/>
      <c r="GG71" s="84"/>
      <c r="GH71" s="84"/>
      <c r="GI71" s="84"/>
      <c r="GJ71" s="84"/>
      <c r="GK71" s="84"/>
      <c r="GL71" s="84"/>
      <c r="GM71" s="84"/>
      <c r="GN71" s="84"/>
      <c r="GO71" s="84"/>
      <c r="GP71" s="84"/>
      <c r="GQ71" s="84"/>
      <c r="GR71" s="84"/>
      <c r="GS71" s="84"/>
      <c r="GT71" s="84"/>
      <c r="GU71" s="84"/>
      <c r="GV71" s="84"/>
      <c r="GW71" s="84"/>
      <c r="GX71" s="84"/>
      <c r="GY71" s="84"/>
      <c r="GZ71" s="84"/>
      <c r="HA71" s="84"/>
      <c r="HB71" s="84"/>
      <c r="HC71" s="84"/>
      <c r="HD71" s="84"/>
      <c r="HE71" s="84"/>
      <c r="HF71" s="84"/>
      <c r="HG71" s="84"/>
      <c r="HH71" s="84"/>
      <c r="HI71" s="84"/>
      <c r="HJ71" s="84"/>
      <c r="HK71" s="84"/>
      <c r="HL71" s="84"/>
      <c r="HM71" s="84"/>
      <c r="HN71" s="84"/>
      <c r="HO71" s="84"/>
      <c r="HP71" s="84"/>
      <c r="HQ71" s="84"/>
      <c r="HR71" s="84"/>
      <c r="HS71" s="84"/>
      <c r="HT71" s="84"/>
      <c r="HU71" s="84"/>
      <c r="HV71" s="84"/>
      <c r="HW71" s="84"/>
      <c r="HX71" s="84"/>
      <c r="HY71" s="84"/>
      <c r="HZ71" s="84"/>
      <c r="IA71" s="84"/>
      <c r="IB71" s="84"/>
    </row>
    <row r="72" spans="1:236" s="136" customFormat="1" x14ac:dyDescent="0.35">
      <c r="A72" s="87"/>
      <c r="B72" s="101" t="s">
        <v>167</v>
      </c>
      <c r="C72" s="129" t="s">
        <v>549</v>
      </c>
      <c r="D72" s="102" t="s">
        <v>1019</v>
      </c>
      <c r="E72" s="103" t="s">
        <v>1020</v>
      </c>
      <c r="F72" s="104"/>
      <c r="G72" s="83"/>
      <c r="H72" s="410"/>
      <c r="I72" s="411"/>
      <c r="J72" s="411"/>
      <c r="K72" s="411"/>
      <c r="L72" s="411"/>
      <c r="M72" s="411"/>
      <c r="N72" s="411"/>
      <c r="O72" s="411"/>
      <c r="P72" s="411"/>
      <c r="Q72" s="411"/>
      <c r="R72" s="411"/>
      <c r="S72" s="412"/>
      <c r="T72" s="88"/>
      <c r="U72" s="84"/>
      <c r="V72" s="84"/>
      <c r="W72" s="84"/>
      <c r="X72" s="84"/>
      <c r="Y72" s="84"/>
      <c r="Z72" s="84"/>
      <c r="AA72" s="84"/>
      <c r="AB72" s="84"/>
      <c r="AC72" s="84"/>
      <c r="AD72" s="84"/>
      <c r="AE72" s="84"/>
      <c r="AF72" s="84"/>
      <c r="AG72" s="84"/>
      <c r="AH72" s="84"/>
      <c r="AI72" s="84"/>
      <c r="AJ72" s="84"/>
      <c r="AK72" s="84"/>
      <c r="AL72" s="84"/>
      <c r="AM72" s="84"/>
      <c r="AN72" s="84"/>
      <c r="AO72" s="84"/>
      <c r="AP72" s="84"/>
      <c r="AQ72" s="84"/>
      <c r="AR72" s="84"/>
      <c r="AS72" s="84"/>
      <c r="AT72" s="84"/>
      <c r="AU72" s="84"/>
      <c r="AV72" s="84"/>
      <c r="AW72" s="84"/>
      <c r="AX72" s="84"/>
      <c r="AY72" s="84"/>
      <c r="AZ72" s="84"/>
      <c r="BA72" s="84"/>
      <c r="BB72" s="84"/>
      <c r="BC72" s="84"/>
      <c r="BD72" s="84"/>
      <c r="BE72" s="84"/>
      <c r="BF72" s="84"/>
      <c r="BG72" s="84"/>
      <c r="BH72" s="84"/>
      <c r="BI72" s="84"/>
      <c r="BJ72" s="84"/>
      <c r="BK72" s="84"/>
      <c r="BL72" s="84"/>
      <c r="BM72" s="84"/>
      <c r="BN72" s="84"/>
      <c r="BO72" s="84"/>
      <c r="BP72" s="84"/>
      <c r="BQ72" s="84"/>
      <c r="BR72" s="84"/>
      <c r="BS72" s="84"/>
      <c r="BT72" s="84"/>
      <c r="BU72" s="84"/>
      <c r="BV72" s="84"/>
      <c r="BW72" s="84"/>
      <c r="BX72" s="84"/>
      <c r="BY72" s="84"/>
      <c r="BZ72" s="84"/>
      <c r="CA72" s="84"/>
      <c r="CB72" s="84"/>
      <c r="CC72" s="84"/>
      <c r="CD72" s="84"/>
      <c r="CE72" s="84"/>
      <c r="CF72" s="84"/>
      <c r="CG72" s="84"/>
      <c r="CH72" s="84"/>
      <c r="CI72" s="84"/>
      <c r="CJ72" s="84"/>
      <c r="CK72" s="84"/>
      <c r="CL72" s="84"/>
      <c r="CM72" s="84"/>
      <c r="CN72" s="84"/>
      <c r="CO72" s="84"/>
      <c r="CP72" s="84"/>
      <c r="CQ72" s="84"/>
      <c r="CR72" s="84"/>
      <c r="CS72" s="84"/>
      <c r="CT72" s="84"/>
      <c r="CU72" s="84"/>
      <c r="CV72" s="84"/>
      <c r="CW72" s="84"/>
      <c r="CX72" s="84"/>
      <c r="CY72" s="84"/>
      <c r="CZ72" s="84"/>
      <c r="DA72" s="84"/>
      <c r="DB72" s="84"/>
      <c r="DC72" s="84"/>
      <c r="DD72" s="84"/>
      <c r="DE72" s="84"/>
      <c r="DF72" s="84"/>
      <c r="DG72" s="84"/>
      <c r="DH72" s="84"/>
      <c r="DI72" s="84"/>
      <c r="DJ72" s="84"/>
      <c r="DK72" s="84"/>
      <c r="DL72" s="84"/>
      <c r="DM72" s="84"/>
      <c r="DN72" s="84"/>
      <c r="DO72" s="84"/>
      <c r="DP72" s="84"/>
      <c r="DQ72" s="84"/>
      <c r="DR72" s="84"/>
      <c r="DS72" s="84"/>
      <c r="DT72" s="84"/>
      <c r="DU72" s="84"/>
      <c r="DV72" s="84"/>
      <c r="DW72" s="84"/>
      <c r="DX72" s="84"/>
      <c r="DY72" s="84"/>
      <c r="DZ72" s="84"/>
      <c r="EA72" s="84"/>
      <c r="EB72" s="84"/>
      <c r="EC72" s="84"/>
      <c r="ED72" s="84"/>
      <c r="EE72" s="84"/>
      <c r="EF72" s="84"/>
      <c r="EG72" s="84"/>
      <c r="EH72" s="84"/>
      <c r="EI72" s="84"/>
      <c r="EJ72" s="84"/>
      <c r="EK72" s="84"/>
      <c r="EL72" s="84"/>
      <c r="EM72" s="84"/>
      <c r="EN72" s="84"/>
      <c r="EO72" s="84"/>
      <c r="EP72" s="84"/>
      <c r="EQ72" s="84"/>
      <c r="ER72" s="84"/>
      <c r="ES72" s="84"/>
      <c r="ET72" s="84"/>
      <c r="EU72" s="84"/>
      <c r="EV72" s="84"/>
      <c r="EW72" s="84"/>
      <c r="EX72" s="84"/>
      <c r="EY72" s="84"/>
      <c r="EZ72" s="84"/>
      <c r="FA72" s="84"/>
      <c r="FB72" s="84"/>
      <c r="FC72" s="84"/>
      <c r="FD72" s="84"/>
      <c r="FE72" s="84"/>
      <c r="FF72" s="84"/>
      <c r="FG72" s="84"/>
      <c r="FH72" s="84"/>
      <c r="FI72" s="84"/>
      <c r="FJ72" s="84"/>
      <c r="FK72" s="84"/>
      <c r="FL72" s="84"/>
      <c r="FM72" s="84"/>
      <c r="FN72" s="84"/>
      <c r="FO72" s="84"/>
      <c r="FP72" s="84"/>
      <c r="FQ72" s="84"/>
      <c r="FR72" s="84"/>
      <c r="FS72" s="84"/>
      <c r="FT72" s="84"/>
      <c r="FU72" s="84"/>
      <c r="FV72" s="84"/>
      <c r="FW72" s="84"/>
      <c r="FX72" s="84"/>
      <c r="FY72" s="84"/>
      <c r="FZ72" s="84"/>
      <c r="GA72" s="84"/>
      <c r="GB72" s="84"/>
      <c r="GC72" s="84"/>
      <c r="GD72" s="84"/>
      <c r="GE72" s="84"/>
      <c r="GF72" s="84"/>
      <c r="GG72" s="84"/>
      <c r="GH72" s="84"/>
      <c r="GI72" s="84"/>
      <c r="GJ72" s="84"/>
      <c r="GK72" s="84"/>
      <c r="GL72" s="84"/>
      <c r="GM72" s="84"/>
      <c r="GN72" s="84"/>
      <c r="GO72" s="84"/>
      <c r="GP72" s="84"/>
      <c r="GQ72" s="84"/>
      <c r="GR72" s="84"/>
      <c r="GS72" s="84"/>
      <c r="GT72" s="84"/>
      <c r="GU72" s="84"/>
      <c r="GV72" s="84"/>
      <c r="GW72" s="84"/>
      <c r="GX72" s="84"/>
      <c r="GY72" s="84"/>
      <c r="GZ72" s="84"/>
      <c r="HA72" s="84"/>
      <c r="HB72" s="84"/>
      <c r="HC72" s="84"/>
      <c r="HD72" s="84"/>
      <c r="HE72" s="84"/>
      <c r="HF72" s="84"/>
      <c r="HG72" s="84"/>
      <c r="HH72" s="84"/>
      <c r="HI72" s="84"/>
      <c r="HJ72" s="84"/>
      <c r="HK72" s="84"/>
      <c r="HL72" s="84"/>
      <c r="HM72" s="84"/>
      <c r="HN72" s="84"/>
      <c r="HO72" s="84"/>
      <c r="HP72" s="84"/>
      <c r="HQ72" s="84"/>
      <c r="HR72" s="84"/>
      <c r="HS72" s="84"/>
      <c r="HT72" s="84"/>
      <c r="HU72" s="84"/>
      <c r="HV72" s="84"/>
      <c r="HW72" s="84"/>
      <c r="HX72" s="84"/>
      <c r="HY72" s="84"/>
      <c r="HZ72" s="84"/>
      <c r="IA72" s="84"/>
      <c r="IB72" s="84"/>
    </row>
    <row r="73" spans="1:236" ht="16" customHeight="1" x14ac:dyDescent="0.35">
      <c r="A73" s="87"/>
      <c r="B73" s="96" t="s">
        <v>681</v>
      </c>
      <c r="C73" s="144" t="s">
        <v>1021</v>
      </c>
      <c r="D73" s="98"/>
      <c r="E73" s="99"/>
      <c r="F73" s="145" t="s">
        <v>1018</v>
      </c>
      <c r="G73" s="83"/>
      <c r="H73" s="410"/>
      <c r="I73" s="411"/>
      <c r="J73" s="411"/>
      <c r="K73" s="411"/>
      <c r="L73" s="411"/>
      <c r="M73" s="411"/>
      <c r="N73" s="411"/>
      <c r="O73" s="411"/>
      <c r="P73" s="411"/>
      <c r="Q73" s="411"/>
      <c r="R73" s="411"/>
      <c r="S73" s="412"/>
      <c r="T73" s="88"/>
    </row>
    <row r="74" spans="1:236" s="136" customFormat="1" x14ac:dyDescent="0.35">
      <c r="A74" s="87"/>
      <c r="B74" s="101" t="s">
        <v>167</v>
      </c>
      <c r="C74" s="129" t="s">
        <v>549</v>
      </c>
      <c r="D74" s="102" t="s">
        <v>999</v>
      </c>
      <c r="E74" s="103" t="s">
        <v>1000</v>
      </c>
      <c r="F74" s="104"/>
      <c r="G74" s="83"/>
      <c r="H74" s="410"/>
      <c r="I74" s="411"/>
      <c r="J74" s="411"/>
      <c r="K74" s="411"/>
      <c r="L74" s="411"/>
      <c r="M74" s="411"/>
      <c r="N74" s="411"/>
      <c r="O74" s="411"/>
      <c r="P74" s="411"/>
      <c r="Q74" s="411"/>
      <c r="R74" s="411"/>
      <c r="S74" s="412"/>
      <c r="T74" s="88"/>
      <c r="U74" s="84"/>
      <c r="V74" s="84"/>
      <c r="W74" s="84"/>
      <c r="X74" s="84"/>
      <c r="Y74" s="84"/>
      <c r="Z74" s="84"/>
      <c r="AA74" s="84"/>
      <c r="AB74" s="84"/>
      <c r="AC74" s="84"/>
      <c r="AD74" s="84"/>
      <c r="AE74" s="84"/>
      <c r="AF74" s="84"/>
      <c r="AG74" s="84"/>
      <c r="AH74" s="84"/>
      <c r="AI74" s="84"/>
      <c r="AJ74" s="84"/>
      <c r="AK74" s="84"/>
      <c r="AL74" s="84"/>
      <c r="AM74" s="84"/>
      <c r="AN74" s="84"/>
      <c r="AO74" s="84"/>
      <c r="AP74" s="84"/>
      <c r="AQ74" s="84"/>
      <c r="AR74" s="84"/>
      <c r="AS74" s="84"/>
      <c r="AT74" s="84"/>
      <c r="AU74" s="84"/>
      <c r="AV74" s="84"/>
      <c r="AW74" s="84"/>
      <c r="AX74" s="84"/>
      <c r="AY74" s="84"/>
      <c r="AZ74" s="84"/>
      <c r="BA74" s="84"/>
      <c r="BB74" s="84"/>
      <c r="BC74" s="84"/>
      <c r="BD74" s="84"/>
      <c r="BE74" s="84"/>
      <c r="BF74" s="84"/>
      <c r="BG74" s="84"/>
      <c r="BH74" s="84"/>
      <c r="BI74" s="84"/>
      <c r="BJ74" s="84"/>
      <c r="BK74" s="84"/>
      <c r="BL74" s="84"/>
      <c r="BM74" s="84"/>
      <c r="BN74" s="84"/>
      <c r="BO74" s="84"/>
      <c r="BP74" s="84"/>
      <c r="BQ74" s="84"/>
      <c r="BR74" s="84"/>
      <c r="BS74" s="84"/>
      <c r="BT74" s="84"/>
      <c r="BU74" s="84"/>
      <c r="BV74" s="84"/>
      <c r="BW74" s="84"/>
      <c r="BX74" s="84"/>
      <c r="BY74" s="84"/>
      <c r="BZ74" s="84"/>
      <c r="CA74" s="84"/>
      <c r="CB74" s="84"/>
      <c r="CC74" s="84"/>
      <c r="CD74" s="84"/>
      <c r="CE74" s="84"/>
      <c r="CF74" s="84"/>
      <c r="CG74" s="84"/>
      <c r="CH74" s="84"/>
      <c r="CI74" s="84"/>
      <c r="CJ74" s="84"/>
      <c r="CK74" s="84"/>
      <c r="CL74" s="84"/>
      <c r="CM74" s="84"/>
      <c r="CN74" s="84"/>
      <c r="CO74" s="84"/>
      <c r="CP74" s="84"/>
      <c r="CQ74" s="84"/>
      <c r="CR74" s="84"/>
      <c r="CS74" s="84"/>
      <c r="CT74" s="84"/>
      <c r="CU74" s="84"/>
      <c r="CV74" s="84"/>
      <c r="CW74" s="84"/>
      <c r="CX74" s="84"/>
      <c r="CY74" s="84"/>
      <c r="CZ74" s="84"/>
      <c r="DA74" s="84"/>
      <c r="DB74" s="84"/>
      <c r="DC74" s="84"/>
      <c r="DD74" s="84"/>
      <c r="DE74" s="84"/>
      <c r="DF74" s="84"/>
      <c r="DG74" s="84"/>
      <c r="DH74" s="84"/>
      <c r="DI74" s="84"/>
      <c r="DJ74" s="84"/>
      <c r="DK74" s="84"/>
      <c r="DL74" s="84"/>
      <c r="DM74" s="84"/>
      <c r="DN74" s="84"/>
      <c r="DO74" s="84"/>
      <c r="DP74" s="84"/>
      <c r="DQ74" s="84"/>
      <c r="DR74" s="84"/>
      <c r="DS74" s="84"/>
      <c r="DT74" s="84"/>
      <c r="DU74" s="84"/>
      <c r="DV74" s="84"/>
      <c r="DW74" s="84"/>
      <c r="DX74" s="84"/>
      <c r="DY74" s="84"/>
      <c r="DZ74" s="84"/>
      <c r="EA74" s="84"/>
      <c r="EB74" s="84"/>
      <c r="EC74" s="84"/>
      <c r="ED74" s="84"/>
      <c r="EE74" s="84"/>
      <c r="EF74" s="84"/>
      <c r="EG74" s="84"/>
      <c r="EH74" s="84"/>
      <c r="EI74" s="84"/>
      <c r="EJ74" s="84"/>
      <c r="EK74" s="84"/>
      <c r="EL74" s="84"/>
      <c r="EM74" s="84"/>
      <c r="EN74" s="84"/>
      <c r="EO74" s="84"/>
      <c r="EP74" s="84"/>
      <c r="EQ74" s="84"/>
      <c r="ER74" s="84"/>
      <c r="ES74" s="84"/>
      <c r="ET74" s="84"/>
      <c r="EU74" s="84"/>
      <c r="EV74" s="84"/>
      <c r="EW74" s="84"/>
      <c r="EX74" s="84"/>
      <c r="EY74" s="84"/>
      <c r="EZ74" s="84"/>
      <c r="FA74" s="84"/>
      <c r="FB74" s="84"/>
      <c r="FC74" s="84"/>
      <c r="FD74" s="84"/>
      <c r="FE74" s="84"/>
      <c r="FF74" s="84"/>
      <c r="FG74" s="84"/>
      <c r="FH74" s="84"/>
      <c r="FI74" s="84"/>
      <c r="FJ74" s="84"/>
      <c r="FK74" s="84"/>
      <c r="FL74" s="84"/>
      <c r="FM74" s="84"/>
      <c r="FN74" s="84"/>
      <c r="FO74" s="84"/>
      <c r="FP74" s="84"/>
      <c r="FQ74" s="84"/>
      <c r="FR74" s="84"/>
      <c r="FS74" s="84"/>
      <c r="FT74" s="84"/>
      <c r="FU74" s="84"/>
      <c r="FV74" s="84"/>
      <c r="FW74" s="84"/>
      <c r="FX74" s="84"/>
      <c r="FY74" s="84"/>
      <c r="FZ74" s="84"/>
      <c r="GA74" s="84"/>
      <c r="GB74" s="84"/>
      <c r="GC74" s="84"/>
      <c r="GD74" s="84"/>
      <c r="GE74" s="84"/>
      <c r="GF74" s="84"/>
      <c r="GG74" s="84"/>
      <c r="GH74" s="84"/>
      <c r="GI74" s="84"/>
      <c r="GJ74" s="84"/>
      <c r="GK74" s="84"/>
      <c r="GL74" s="84"/>
      <c r="GM74" s="84"/>
      <c r="GN74" s="84"/>
      <c r="GO74" s="84"/>
      <c r="GP74" s="84"/>
      <c r="GQ74" s="84"/>
      <c r="GR74" s="84"/>
      <c r="GS74" s="84"/>
      <c r="GT74" s="84"/>
      <c r="GU74" s="84"/>
      <c r="GV74" s="84"/>
      <c r="GW74" s="84"/>
      <c r="GX74" s="84"/>
      <c r="GY74" s="84"/>
      <c r="GZ74" s="84"/>
      <c r="HA74" s="84"/>
      <c r="HB74" s="84"/>
      <c r="HC74" s="84"/>
      <c r="HD74" s="84"/>
      <c r="HE74" s="84"/>
      <c r="HF74" s="84"/>
      <c r="HG74" s="84"/>
      <c r="HH74" s="84"/>
      <c r="HI74" s="84"/>
      <c r="HJ74" s="84"/>
      <c r="HK74" s="84"/>
      <c r="HL74" s="84"/>
      <c r="HM74" s="84"/>
      <c r="HN74" s="84"/>
      <c r="HO74" s="84"/>
      <c r="HP74" s="84"/>
      <c r="HQ74" s="84"/>
      <c r="HR74" s="84"/>
      <c r="HS74" s="84"/>
      <c r="HT74" s="84"/>
      <c r="HU74" s="84"/>
      <c r="HV74" s="84"/>
      <c r="HW74" s="84"/>
      <c r="HX74" s="84"/>
      <c r="HY74" s="84"/>
      <c r="HZ74" s="84"/>
      <c r="IA74" s="84"/>
      <c r="IB74" s="84"/>
    </row>
    <row r="75" spans="1:236" s="136" customFormat="1" ht="43.5" x14ac:dyDescent="0.35">
      <c r="A75" s="87"/>
      <c r="B75" s="101" t="s">
        <v>167</v>
      </c>
      <c r="C75" s="129" t="s">
        <v>549</v>
      </c>
      <c r="D75" s="102" t="s">
        <v>1001</v>
      </c>
      <c r="E75" s="103" t="s">
        <v>1002</v>
      </c>
      <c r="F75" s="104"/>
      <c r="G75" s="83"/>
      <c r="H75" s="410"/>
      <c r="I75" s="411"/>
      <c r="J75" s="411"/>
      <c r="K75" s="411"/>
      <c r="L75" s="411"/>
      <c r="M75" s="411"/>
      <c r="N75" s="411"/>
      <c r="O75" s="411"/>
      <c r="P75" s="411"/>
      <c r="Q75" s="411"/>
      <c r="R75" s="411"/>
      <c r="S75" s="412"/>
      <c r="T75" s="88"/>
      <c r="U75" s="84"/>
      <c r="V75" s="84"/>
      <c r="W75" s="84"/>
      <c r="X75" s="84"/>
      <c r="Y75" s="84"/>
      <c r="Z75" s="84"/>
      <c r="AA75" s="84"/>
      <c r="AB75" s="84"/>
      <c r="AC75" s="84"/>
      <c r="AD75" s="84"/>
      <c r="AE75" s="84"/>
      <c r="AF75" s="84"/>
      <c r="AG75" s="84"/>
      <c r="AH75" s="84"/>
      <c r="AI75" s="84"/>
      <c r="AJ75" s="84"/>
      <c r="AK75" s="84"/>
      <c r="AL75" s="84"/>
      <c r="AM75" s="84"/>
      <c r="AN75" s="84"/>
      <c r="AO75" s="84"/>
      <c r="AP75" s="84"/>
      <c r="AQ75" s="84"/>
      <c r="AR75" s="84"/>
      <c r="AS75" s="84"/>
      <c r="AT75" s="84"/>
      <c r="AU75" s="84"/>
      <c r="AV75" s="84"/>
      <c r="AW75" s="84"/>
      <c r="AX75" s="84"/>
      <c r="AY75" s="84"/>
      <c r="AZ75" s="84"/>
      <c r="BA75" s="84"/>
      <c r="BB75" s="84"/>
      <c r="BC75" s="84"/>
      <c r="BD75" s="84"/>
      <c r="BE75" s="84"/>
      <c r="BF75" s="84"/>
      <c r="BG75" s="84"/>
      <c r="BH75" s="84"/>
      <c r="BI75" s="84"/>
      <c r="BJ75" s="84"/>
      <c r="BK75" s="84"/>
      <c r="BL75" s="84"/>
      <c r="BM75" s="84"/>
      <c r="BN75" s="84"/>
      <c r="BO75" s="84"/>
      <c r="BP75" s="84"/>
      <c r="BQ75" s="84"/>
      <c r="BR75" s="84"/>
      <c r="BS75" s="84"/>
      <c r="BT75" s="84"/>
      <c r="BU75" s="84"/>
      <c r="BV75" s="84"/>
      <c r="BW75" s="84"/>
      <c r="BX75" s="84"/>
      <c r="BY75" s="84"/>
      <c r="BZ75" s="84"/>
      <c r="CA75" s="84"/>
      <c r="CB75" s="84"/>
      <c r="CC75" s="84"/>
      <c r="CD75" s="84"/>
      <c r="CE75" s="84"/>
      <c r="CF75" s="84"/>
      <c r="CG75" s="84"/>
      <c r="CH75" s="84"/>
      <c r="CI75" s="84"/>
      <c r="CJ75" s="84"/>
      <c r="CK75" s="84"/>
      <c r="CL75" s="84"/>
      <c r="CM75" s="84"/>
      <c r="CN75" s="84"/>
      <c r="CO75" s="84"/>
      <c r="CP75" s="84"/>
      <c r="CQ75" s="84"/>
      <c r="CR75" s="84"/>
      <c r="CS75" s="84"/>
      <c r="CT75" s="84"/>
      <c r="CU75" s="84"/>
      <c r="CV75" s="84"/>
      <c r="CW75" s="84"/>
      <c r="CX75" s="84"/>
      <c r="CY75" s="84"/>
      <c r="CZ75" s="84"/>
      <c r="DA75" s="84"/>
      <c r="DB75" s="84"/>
      <c r="DC75" s="84"/>
      <c r="DD75" s="84"/>
      <c r="DE75" s="84"/>
      <c r="DF75" s="84"/>
      <c r="DG75" s="84"/>
      <c r="DH75" s="84"/>
      <c r="DI75" s="84"/>
      <c r="DJ75" s="84"/>
      <c r="DK75" s="84"/>
      <c r="DL75" s="84"/>
      <c r="DM75" s="84"/>
      <c r="DN75" s="84"/>
      <c r="DO75" s="84"/>
      <c r="DP75" s="84"/>
      <c r="DQ75" s="84"/>
      <c r="DR75" s="84"/>
      <c r="DS75" s="84"/>
      <c r="DT75" s="84"/>
      <c r="DU75" s="84"/>
      <c r="DV75" s="84"/>
      <c r="DW75" s="84"/>
      <c r="DX75" s="84"/>
      <c r="DY75" s="84"/>
      <c r="DZ75" s="84"/>
      <c r="EA75" s="84"/>
      <c r="EB75" s="84"/>
      <c r="EC75" s="84"/>
      <c r="ED75" s="84"/>
      <c r="EE75" s="84"/>
      <c r="EF75" s="84"/>
      <c r="EG75" s="84"/>
      <c r="EH75" s="84"/>
      <c r="EI75" s="84"/>
      <c r="EJ75" s="84"/>
      <c r="EK75" s="84"/>
      <c r="EL75" s="84"/>
      <c r="EM75" s="84"/>
      <c r="EN75" s="84"/>
      <c r="EO75" s="84"/>
      <c r="EP75" s="84"/>
      <c r="EQ75" s="84"/>
      <c r="ER75" s="84"/>
      <c r="ES75" s="84"/>
      <c r="ET75" s="84"/>
      <c r="EU75" s="84"/>
      <c r="EV75" s="84"/>
      <c r="EW75" s="84"/>
      <c r="EX75" s="84"/>
      <c r="EY75" s="84"/>
      <c r="EZ75" s="84"/>
      <c r="FA75" s="84"/>
      <c r="FB75" s="84"/>
      <c r="FC75" s="84"/>
      <c r="FD75" s="84"/>
      <c r="FE75" s="84"/>
      <c r="FF75" s="84"/>
      <c r="FG75" s="84"/>
      <c r="FH75" s="84"/>
      <c r="FI75" s="84"/>
      <c r="FJ75" s="84"/>
      <c r="FK75" s="84"/>
      <c r="FL75" s="84"/>
      <c r="FM75" s="84"/>
      <c r="FN75" s="84"/>
      <c r="FO75" s="84"/>
      <c r="FP75" s="84"/>
      <c r="FQ75" s="84"/>
      <c r="FR75" s="84"/>
      <c r="FS75" s="84"/>
      <c r="FT75" s="84"/>
      <c r="FU75" s="84"/>
      <c r="FV75" s="84"/>
      <c r="FW75" s="84"/>
      <c r="FX75" s="84"/>
      <c r="FY75" s="84"/>
      <c r="FZ75" s="84"/>
      <c r="GA75" s="84"/>
      <c r="GB75" s="84"/>
      <c r="GC75" s="84"/>
      <c r="GD75" s="84"/>
      <c r="GE75" s="84"/>
      <c r="GF75" s="84"/>
      <c r="GG75" s="84"/>
      <c r="GH75" s="84"/>
      <c r="GI75" s="84"/>
      <c r="GJ75" s="84"/>
      <c r="GK75" s="84"/>
      <c r="GL75" s="84"/>
      <c r="GM75" s="84"/>
      <c r="GN75" s="84"/>
      <c r="GO75" s="84"/>
      <c r="GP75" s="84"/>
      <c r="GQ75" s="84"/>
      <c r="GR75" s="84"/>
      <c r="GS75" s="84"/>
      <c r="GT75" s="84"/>
      <c r="GU75" s="84"/>
      <c r="GV75" s="84"/>
      <c r="GW75" s="84"/>
      <c r="GX75" s="84"/>
      <c r="GY75" s="84"/>
      <c r="GZ75" s="84"/>
      <c r="HA75" s="84"/>
      <c r="HB75" s="84"/>
      <c r="HC75" s="84"/>
      <c r="HD75" s="84"/>
      <c r="HE75" s="84"/>
      <c r="HF75" s="84"/>
      <c r="HG75" s="84"/>
      <c r="HH75" s="84"/>
      <c r="HI75" s="84"/>
      <c r="HJ75" s="84"/>
      <c r="HK75" s="84"/>
      <c r="HL75" s="84"/>
      <c r="HM75" s="84"/>
      <c r="HN75" s="84"/>
      <c r="HO75" s="84"/>
      <c r="HP75" s="84"/>
      <c r="HQ75" s="84"/>
      <c r="HR75" s="84"/>
      <c r="HS75" s="84"/>
      <c r="HT75" s="84"/>
      <c r="HU75" s="84"/>
      <c r="HV75" s="84"/>
      <c r="HW75" s="84"/>
      <c r="HX75" s="84"/>
      <c r="HY75" s="84"/>
      <c r="HZ75" s="84"/>
      <c r="IA75" s="84"/>
      <c r="IB75" s="84"/>
    </row>
    <row r="76" spans="1:236" s="136" customFormat="1" ht="72.5" x14ac:dyDescent="0.35">
      <c r="A76" s="87"/>
      <c r="B76" s="101" t="s">
        <v>167</v>
      </c>
      <c r="C76" s="129" t="s">
        <v>549</v>
      </c>
      <c r="D76" s="102" t="s">
        <v>1019</v>
      </c>
      <c r="E76" s="103" t="s">
        <v>1022</v>
      </c>
      <c r="F76" s="104"/>
      <c r="G76" s="83"/>
      <c r="H76" s="410"/>
      <c r="I76" s="411"/>
      <c r="J76" s="411"/>
      <c r="K76" s="411"/>
      <c r="L76" s="411"/>
      <c r="M76" s="411"/>
      <c r="N76" s="411"/>
      <c r="O76" s="411"/>
      <c r="P76" s="411"/>
      <c r="Q76" s="411"/>
      <c r="R76" s="411"/>
      <c r="S76" s="412"/>
      <c r="T76" s="88"/>
      <c r="U76" s="84"/>
      <c r="V76" s="84"/>
      <c r="W76" s="84"/>
      <c r="X76" s="84"/>
      <c r="Y76" s="84"/>
      <c r="Z76" s="84"/>
      <c r="AA76" s="84"/>
      <c r="AB76" s="84"/>
      <c r="AC76" s="84"/>
      <c r="AD76" s="84"/>
      <c r="AE76" s="84"/>
      <c r="AF76" s="84"/>
      <c r="AG76" s="84"/>
      <c r="AH76" s="84"/>
      <c r="AI76" s="84"/>
      <c r="AJ76" s="84"/>
      <c r="AK76" s="84"/>
      <c r="AL76" s="84"/>
      <c r="AM76" s="84"/>
      <c r="AN76" s="84"/>
      <c r="AO76" s="84"/>
      <c r="AP76" s="84"/>
      <c r="AQ76" s="84"/>
      <c r="AR76" s="84"/>
      <c r="AS76" s="84"/>
      <c r="AT76" s="84"/>
      <c r="AU76" s="84"/>
      <c r="AV76" s="84"/>
      <c r="AW76" s="84"/>
      <c r="AX76" s="84"/>
      <c r="AY76" s="84"/>
      <c r="AZ76" s="84"/>
      <c r="BA76" s="84"/>
      <c r="BB76" s="84"/>
      <c r="BC76" s="84"/>
      <c r="BD76" s="84"/>
      <c r="BE76" s="84"/>
      <c r="BF76" s="84"/>
      <c r="BG76" s="84"/>
      <c r="BH76" s="84"/>
      <c r="BI76" s="84"/>
      <c r="BJ76" s="84"/>
      <c r="BK76" s="84"/>
      <c r="BL76" s="84"/>
      <c r="BM76" s="84"/>
      <c r="BN76" s="84"/>
      <c r="BO76" s="84"/>
      <c r="BP76" s="84"/>
      <c r="BQ76" s="84"/>
      <c r="BR76" s="84"/>
      <c r="BS76" s="84"/>
      <c r="BT76" s="84"/>
      <c r="BU76" s="84"/>
      <c r="BV76" s="84"/>
      <c r="BW76" s="84"/>
      <c r="BX76" s="84"/>
      <c r="BY76" s="84"/>
      <c r="BZ76" s="84"/>
      <c r="CA76" s="84"/>
      <c r="CB76" s="84"/>
      <c r="CC76" s="84"/>
      <c r="CD76" s="84"/>
      <c r="CE76" s="84"/>
      <c r="CF76" s="84"/>
      <c r="CG76" s="84"/>
      <c r="CH76" s="84"/>
      <c r="CI76" s="84"/>
      <c r="CJ76" s="84"/>
      <c r="CK76" s="84"/>
      <c r="CL76" s="84"/>
      <c r="CM76" s="84"/>
      <c r="CN76" s="84"/>
      <c r="CO76" s="84"/>
      <c r="CP76" s="84"/>
      <c r="CQ76" s="84"/>
      <c r="CR76" s="84"/>
      <c r="CS76" s="84"/>
      <c r="CT76" s="84"/>
      <c r="CU76" s="84"/>
      <c r="CV76" s="84"/>
      <c r="CW76" s="84"/>
      <c r="CX76" s="84"/>
      <c r="CY76" s="84"/>
      <c r="CZ76" s="84"/>
      <c r="DA76" s="84"/>
      <c r="DB76" s="84"/>
      <c r="DC76" s="84"/>
      <c r="DD76" s="84"/>
      <c r="DE76" s="84"/>
      <c r="DF76" s="84"/>
      <c r="DG76" s="84"/>
      <c r="DH76" s="84"/>
      <c r="DI76" s="84"/>
      <c r="DJ76" s="84"/>
      <c r="DK76" s="84"/>
      <c r="DL76" s="84"/>
      <c r="DM76" s="84"/>
      <c r="DN76" s="84"/>
      <c r="DO76" s="84"/>
      <c r="DP76" s="84"/>
      <c r="DQ76" s="84"/>
      <c r="DR76" s="84"/>
      <c r="DS76" s="84"/>
      <c r="DT76" s="84"/>
      <c r="DU76" s="84"/>
      <c r="DV76" s="84"/>
      <c r="DW76" s="84"/>
      <c r="DX76" s="84"/>
      <c r="DY76" s="84"/>
      <c r="DZ76" s="84"/>
      <c r="EA76" s="84"/>
      <c r="EB76" s="84"/>
      <c r="EC76" s="84"/>
      <c r="ED76" s="84"/>
      <c r="EE76" s="84"/>
      <c r="EF76" s="84"/>
      <c r="EG76" s="84"/>
      <c r="EH76" s="84"/>
      <c r="EI76" s="84"/>
      <c r="EJ76" s="84"/>
      <c r="EK76" s="84"/>
      <c r="EL76" s="84"/>
      <c r="EM76" s="84"/>
      <c r="EN76" s="84"/>
      <c r="EO76" s="84"/>
      <c r="EP76" s="84"/>
      <c r="EQ76" s="84"/>
      <c r="ER76" s="84"/>
      <c r="ES76" s="84"/>
      <c r="ET76" s="84"/>
      <c r="EU76" s="84"/>
      <c r="EV76" s="84"/>
      <c r="EW76" s="84"/>
      <c r="EX76" s="84"/>
      <c r="EY76" s="84"/>
      <c r="EZ76" s="84"/>
      <c r="FA76" s="84"/>
      <c r="FB76" s="84"/>
      <c r="FC76" s="84"/>
      <c r="FD76" s="84"/>
      <c r="FE76" s="84"/>
      <c r="FF76" s="84"/>
      <c r="FG76" s="84"/>
      <c r="FH76" s="84"/>
      <c r="FI76" s="84"/>
      <c r="FJ76" s="84"/>
      <c r="FK76" s="84"/>
      <c r="FL76" s="84"/>
      <c r="FM76" s="84"/>
      <c r="FN76" s="84"/>
      <c r="FO76" s="84"/>
      <c r="FP76" s="84"/>
      <c r="FQ76" s="84"/>
      <c r="FR76" s="84"/>
      <c r="FS76" s="84"/>
      <c r="FT76" s="84"/>
      <c r="FU76" s="84"/>
      <c r="FV76" s="84"/>
      <c r="FW76" s="84"/>
      <c r="FX76" s="84"/>
      <c r="FY76" s="84"/>
      <c r="FZ76" s="84"/>
      <c r="GA76" s="84"/>
      <c r="GB76" s="84"/>
      <c r="GC76" s="84"/>
      <c r="GD76" s="84"/>
      <c r="GE76" s="84"/>
      <c r="GF76" s="84"/>
      <c r="GG76" s="84"/>
      <c r="GH76" s="84"/>
      <c r="GI76" s="84"/>
      <c r="GJ76" s="84"/>
      <c r="GK76" s="84"/>
      <c r="GL76" s="84"/>
      <c r="GM76" s="84"/>
      <c r="GN76" s="84"/>
      <c r="GO76" s="84"/>
      <c r="GP76" s="84"/>
      <c r="GQ76" s="84"/>
      <c r="GR76" s="84"/>
      <c r="GS76" s="84"/>
      <c r="GT76" s="84"/>
      <c r="GU76" s="84"/>
      <c r="GV76" s="84"/>
      <c r="GW76" s="84"/>
      <c r="GX76" s="84"/>
      <c r="GY76" s="84"/>
      <c r="GZ76" s="84"/>
      <c r="HA76" s="84"/>
      <c r="HB76" s="84"/>
      <c r="HC76" s="84"/>
      <c r="HD76" s="84"/>
      <c r="HE76" s="84"/>
      <c r="HF76" s="84"/>
      <c r="HG76" s="84"/>
      <c r="HH76" s="84"/>
      <c r="HI76" s="84"/>
      <c r="HJ76" s="84"/>
      <c r="HK76" s="84"/>
      <c r="HL76" s="84"/>
      <c r="HM76" s="84"/>
      <c r="HN76" s="84"/>
      <c r="HO76" s="84"/>
      <c r="HP76" s="84"/>
      <c r="HQ76" s="84"/>
      <c r="HR76" s="84"/>
      <c r="HS76" s="84"/>
      <c r="HT76" s="84"/>
      <c r="HU76" s="84"/>
      <c r="HV76" s="84"/>
      <c r="HW76" s="84"/>
      <c r="HX76" s="84"/>
      <c r="HY76" s="84"/>
      <c r="HZ76" s="84"/>
      <c r="IA76" s="84"/>
      <c r="IB76" s="84"/>
    </row>
    <row r="77" spans="1:236" ht="29" x14ac:dyDescent="0.35">
      <c r="A77" s="87"/>
      <c r="B77" s="96" t="s">
        <v>683</v>
      </c>
      <c r="C77" s="144" t="s">
        <v>1023</v>
      </c>
      <c r="D77" s="98"/>
      <c r="E77" s="99" t="s">
        <v>1024</v>
      </c>
      <c r="F77" s="145"/>
      <c r="G77" s="83"/>
      <c r="H77" s="410"/>
      <c r="I77" s="411"/>
      <c r="J77" s="411"/>
      <c r="K77" s="411"/>
      <c r="L77" s="411"/>
      <c r="M77" s="411"/>
      <c r="N77" s="411"/>
      <c r="O77" s="411"/>
      <c r="P77" s="411"/>
      <c r="Q77" s="411"/>
      <c r="R77" s="411"/>
      <c r="S77" s="412"/>
      <c r="T77" s="88"/>
    </row>
    <row r="78" spans="1:236" s="136" customFormat="1" x14ac:dyDescent="0.35">
      <c r="A78" s="87"/>
      <c r="B78" s="101" t="s">
        <v>167</v>
      </c>
      <c r="C78" s="129" t="s">
        <v>549</v>
      </c>
      <c r="D78" s="102" t="s">
        <v>999</v>
      </c>
      <c r="E78" s="103" t="s">
        <v>1000</v>
      </c>
      <c r="F78" s="104"/>
      <c r="G78" s="83"/>
      <c r="H78" s="410"/>
      <c r="I78" s="411"/>
      <c r="J78" s="411"/>
      <c r="K78" s="411"/>
      <c r="L78" s="411"/>
      <c r="M78" s="411"/>
      <c r="N78" s="411"/>
      <c r="O78" s="411"/>
      <c r="P78" s="411"/>
      <c r="Q78" s="411"/>
      <c r="R78" s="411"/>
      <c r="S78" s="412"/>
      <c r="T78" s="88"/>
      <c r="U78" s="84"/>
      <c r="V78" s="84"/>
      <c r="W78" s="84"/>
      <c r="X78" s="84"/>
      <c r="Y78" s="84"/>
      <c r="Z78" s="84"/>
      <c r="AA78" s="84"/>
      <c r="AB78" s="84"/>
      <c r="AC78" s="84"/>
      <c r="AD78" s="84"/>
      <c r="AE78" s="84"/>
      <c r="AF78" s="84"/>
      <c r="AG78" s="84"/>
      <c r="AH78" s="84"/>
      <c r="AI78" s="84"/>
      <c r="AJ78" s="84"/>
      <c r="AK78" s="84"/>
      <c r="AL78" s="84"/>
      <c r="AM78" s="84"/>
      <c r="AN78" s="84"/>
      <c r="AO78" s="84"/>
      <c r="AP78" s="84"/>
      <c r="AQ78" s="84"/>
      <c r="AR78" s="84"/>
      <c r="AS78" s="84"/>
      <c r="AT78" s="84"/>
      <c r="AU78" s="84"/>
      <c r="AV78" s="84"/>
      <c r="AW78" s="84"/>
      <c r="AX78" s="84"/>
      <c r="AY78" s="84"/>
      <c r="AZ78" s="84"/>
      <c r="BA78" s="84"/>
      <c r="BB78" s="84"/>
      <c r="BC78" s="84"/>
      <c r="BD78" s="84"/>
      <c r="BE78" s="84"/>
      <c r="BF78" s="84"/>
      <c r="BG78" s="84"/>
      <c r="BH78" s="84"/>
      <c r="BI78" s="84"/>
      <c r="BJ78" s="84"/>
      <c r="BK78" s="84"/>
      <c r="BL78" s="84"/>
      <c r="BM78" s="84"/>
      <c r="BN78" s="84"/>
      <c r="BO78" s="84"/>
      <c r="BP78" s="84"/>
      <c r="BQ78" s="84"/>
      <c r="BR78" s="84"/>
      <c r="BS78" s="84"/>
      <c r="BT78" s="84"/>
      <c r="BU78" s="84"/>
      <c r="BV78" s="84"/>
      <c r="BW78" s="84"/>
      <c r="BX78" s="84"/>
      <c r="BY78" s="84"/>
      <c r="BZ78" s="84"/>
      <c r="CA78" s="84"/>
      <c r="CB78" s="84"/>
      <c r="CC78" s="84"/>
      <c r="CD78" s="84"/>
      <c r="CE78" s="84"/>
      <c r="CF78" s="84"/>
      <c r="CG78" s="84"/>
      <c r="CH78" s="84"/>
      <c r="CI78" s="84"/>
      <c r="CJ78" s="84"/>
      <c r="CK78" s="84"/>
      <c r="CL78" s="84"/>
      <c r="CM78" s="84"/>
      <c r="CN78" s="84"/>
      <c r="CO78" s="84"/>
      <c r="CP78" s="84"/>
      <c r="CQ78" s="84"/>
      <c r="CR78" s="84"/>
      <c r="CS78" s="84"/>
      <c r="CT78" s="84"/>
      <c r="CU78" s="84"/>
      <c r="CV78" s="84"/>
      <c r="CW78" s="84"/>
      <c r="CX78" s="84"/>
      <c r="CY78" s="84"/>
      <c r="CZ78" s="84"/>
      <c r="DA78" s="84"/>
      <c r="DB78" s="84"/>
      <c r="DC78" s="84"/>
      <c r="DD78" s="84"/>
      <c r="DE78" s="84"/>
      <c r="DF78" s="84"/>
      <c r="DG78" s="84"/>
      <c r="DH78" s="84"/>
      <c r="DI78" s="84"/>
      <c r="DJ78" s="84"/>
      <c r="DK78" s="84"/>
      <c r="DL78" s="84"/>
      <c r="DM78" s="84"/>
      <c r="DN78" s="84"/>
      <c r="DO78" s="84"/>
      <c r="DP78" s="84"/>
      <c r="DQ78" s="84"/>
      <c r="DR78" s="84"/>
      <c r="DS78" s="84"/>
      <c r="DT78" s="84"/>
      <c r="DU78" s="84"/>
      <c r="DV78" s="84"/>
      <c r="DW78" s="84"/>
      <c r="DX78" s="84"/>
      <c r="DY78" s="84"/>
      <c r="DZ78" s="84"/>
      <c r="EA78" s="84"/>
      <c r="EB78" s="84"/>
      <c r="EC78" s="84"/>
      <c r="ED78" s="84"/>
      <c r="EE78" s="84"/>
      <c r="EF78" s="84"/>
      <c r="EG78" s="84"/>
      <c r="EH78" s="84"/>
      <c r="EI78" s="84"/>
      <c r="EJ78" s="84"/>
      <c r="EK78" s="84"/>
      <c r="EL78" s="84"/>
      <c r="EM78" s="84"/>
      <c r="EN78" s="84"/>
      <c r="EO78" s="84"/>
      <c r="EP78" s="84"/>
      <c r="EQ78" s="84"/>
      <c r="ER78" s="84"/>
      <c r="ES78" s="84"/>
      <c r="ET78" s="84"/>
      <c r="EU78" s="84"/>
      <c r="EV78" s="84"/>
      <c r="EW78" s="84"/>
      <c r="EX78" s="84"/>
      <c r="EY78" s="84"/>
      <c r="EZ78" s="84"/>
      <c r="FA78" s="84"/>
      <c r="FB78" s="84"/>
      <c r="FC78" s="84"/>
      <c r="FD78" s="84"/>
      <c r="FE78" s="84"/>
      <c r="FF78" s="84"/>
      <c r="FG78" s="84"/>
      <c r="FH78" s="84"/>
      <c r="FI78" s="84"/>
      <c r="FJ78" s="84"/>
      <c r="FK78" s="84"/>
      <c r="FL78" s="84"/>
      <c r="FM78" s="84"/>
      <c r="FN78" s="84"/>
      <c r="FO78" s="84"/>
      <c r="FP78" s="84"/>
      <c r="FQ78" s="84"/>
      <c r="FR78" s="84"/>
      <c r="FS78" s="84"/>
      <c r="FT78" s="84"/>
      <c r="FU78" s="84"/>
      <c r="FV78" s="84"/>
      <c r="FW78" s="84"/>
      <c r="FX78" s="84"/>
      <c r="FY78" s="84"/>
      <c r="FZ78" s="84"/>
      <c r="GA78" s="84"/>
      <c r="GB78" s="84"/>
      <c r="GC78" s="84"/>
      <c r="GD78" s="84"/>
      <c r="GE78" s="84"/>
      <c r="GF78" s="84"/>
      <c r="GG78" s="84"/>
      <c r="GH78" s="84"/>
      <c r="GI78" s="84"/>
      <c r="GJ78" s="84"/>
      <c r="GK78" s="84"/>
      <c r="GL78" s="84"/>
      <c r="GM78" s="84"/>
      <c r="GN78" s="84"/>
      <c r="GO78" s="84"/>
      <c r="GP78" s="84"/>
      <c r="GQ78" s="84"/>
      <c r="GR78" s="84"/>
      <c r="GS78" s="84"/>
      <c r="GT78" s="84"/>
      <c r="GU78" s="84"/>
      <c r="GV78" s="84"/>
      <c r="GW78" s="84"/>
      <c r="GX78" s="84"/>
      <c r="GY78" s="84"/>
      <c r="GZ78" s="84"/>
      <c r="HA78" s="84"/>
      <c r="HB78" s="84"/>
      <c r="HC78" s="84"/>
      <c r="HD78" s="84"/>
      <c r="HE78" s="84"/>
      <c r="HF78" s="84"/>
      <c r="HG78" s="84"/>
      <c r="HH78" s="84"/>
      <c r="HI78" s="84"/>
      <c r="HJ78" s="84"/>
      <c r="HK78" s="84"/>
      <c r="HL78" s="84"/>
      <c r="HM78" s="84"/>
      <c r="HN78" s="84"/>
      <c r="HO78" s="84"/>
      <c r="HP78" s="84"/>
      <c r="HQ78" s="84"/>
      <c r="HR78" s="84"/>
      <c r="HS78" s="84"/>
      <c r="HT78" s="84"/>
      <c r="HU78" s="84"/>
      <c r="HV78" s="84"/>
      <c r="HW78" s="84"/>
      <c r="HX78" s="84"/>
      <c r="HY78" s="84"/>
      <c r="HZ78" s="84"/>
      <c r="IA78" s="84"/>
      <c r="IB78" s="84"/>
    </row>
    <row r="79" spans="1:236" s="136" customFormat="1" ht="43.5" x14ac:dyDescent="0.35">
      <c r="A79" s="87"/>
      <c r="B79" s="101" t="s">
        <v>167</v>
      </c>
      <c r="C79" s="129" t="s">
        <v>549</v>
      </c>
      <c r="D79" s="102" t="s">
        <v>1001</v>
      </c>
      <c r="E79" s="103" t="s">
        <v>1002</v>
      </c>
      <c r="F79" s="104"/>
      <c r="G79" s="83"/>
      <c r="H79" s="410"/>
      <c r="I79" s="411"/>
      <c r="J79" s="411"/>
      <c r="K79" s="411"/>
      <c r="L79" s="411"/>
      <c r="M79" s="411"/>
      <c r="N79" s="411"/>
      <c r="O79" s="411"/>
      <c r="P79" s="411"/>
      <c r="Q79" s="411"/>
      <c r="R79" s="411"/>
      <c r="S79" s="412"/>
      <c r="T79" s="88"/>
      <c r="U79" s="84"/>
      <c r="V79" s="84"/>
      <c r="W79" s="84"/>
      <c r="X79" s="84"/>
      <c r="Y79" s="84"/>
      <c r="Z79" s="84"/>
      <c r="AA79" s="84"/>
      <c r="AB79" s="84"/>
      <c r="AC79" s="84"/>
      <c r="AD79" s="84"/>
      <c r="AE79" s="84"/>
      <c r="AF79" s="84"/>
      <c r="AG79" s="84"/>
      <c r="AH79" s="84"/>
      <c r="AI79" s="84"/>
      <c r="AJ79" s="84"/>
      <c r="AK79" s="84"/>
      <c r="AL79" s="84"/>
      <c r="AM79" s="84"/>
      <c r="AN79" s="84"/>
      <c r="AO79" s="84"/>
      <c r="AP79" s="84"/>
      <c r="AQ79" s="84"/>
      <c r="AR79" s="84"/>
      <c r="AS79" s="84"/>
      <c r="AT79" s="84"/>
      <c r="AU79" s="84"/>
      <c r="AV79" s="84"/>
      <c r="AW79" s="84"/>
      <c r="AX79" s="84"/>
      <c r="AY79" s="84"/>
      <c r="AZ79" s="84"/>
      <c r="BA79" s="84"/>
      <c r="BB79" s="84"/>
      <c r="BC79" s="84"/>
      <c r="BD79" s="84"/>
      <c r="BE79" s="84"/>
      <c r="BF79" s="84"/>
      <c r="BG79" s="84"/>
      <c r="BH79" s="84"/>
      <c r="BI79" s="84"/>
      <c r="BJ79" s="84"/>
      <c r="BK79" s="84"/>
      <c r="BL79" s="84"/>
      <c r="BM79" s="84"/>
      <c r="BN79" s="84"/>
      <c r="BO79" s="84"/>
      <c r="BP79" s="84"/>
      <c r="BQ79" s="84"/>
      <c r="BR79" s="84"/>
      <c r="BS79" s="84"/>
      <c r="BT79" s="84"/>
      <c r="BU79" s="84"/>
      <c r="BV79" s="84"/>
      <c r="BW79" s="84"/>
      <c r="BX79" s="84"/>
      <c r="BY79" s="84"/>
      <c r="BZ79" s="84"/>
      <c r="CA79" s="84"/>
      <c r="CB79" s="84"/>
      <c r="CC79" s="84"/>
      <c r="CD79" s="84"/>
      <c r="CE79" s="84"/>
      <c r="CF79" s="84"/>
      <c r="CG79" s="84"/>
      <c r="CH79" s="84"/>
      <c r="CI79" s="84"/>
      <c r="CJ79" s="84"/>
      <c r="CK79" s="84"/>
      <c r="CL79" s="84"/>
      <c r="CM79" s="84"/>
      <c r="CN79" s="84"/>
      <c r="CO79" s="84"/>
      <c r="CP79" s="84"/>
      <c r="CQ79" s="84"/>
      <c r="CR79" s="84"/>
      <c r="CS79" s="84"/>
      <c r="CT79" s="84"/>
      <c r="CU79" s="84"/>
      <c r="CV79" s="84"/>
      <c r="CW79" s="84"/>
      <c r="CX79" s="84"/>
      <c r="CY79" s="84"/>
      <c r="CZ79" s="84"/>
      <c r="DA79" s="84"/>
      <c r="DB79" s="84"/>
      <c r="DC79" s="84"/>
      <c r="DD79" s="84"/>
      <c r="DE79" s="84"/>
      <c r="DF79" s="84"/>
      <c r="DG79" s="84"/>
      <c r="DH79" s="84"/>
      <c r="DI79" s="84"/>
      <c r="DJ79" s="84"/>
      <c r="DK79" s="84"/>
      <c r="DL79" s="84"/>
      <c r="DM79" s="84"/>
      <c r="DN79" s="84"/>
      <c r="DO79" s="84"/>
      <c r="DP79" s="84"/>
      <c r="DQ79" s="84"/>
      <c r="DR79" s="84"/>
      <c r="DS79" s="84"/>
      <c r="DT79" s="84"/>
      <c r="DU79" s="84"/>
      <c r="DV79" s="84"/>
      <c r="DW79" s="84"/>
      <c r="DX79" s="84"/>
      <c r="DY79" s="84"/>
      <c r="DZ79" s="84"/>
      <c r="EA79" s="84"/>
      <c r="EB79" s="84"/>
      <c r="EC79" s="84"/>
      <c r="ED79" s="84"/>
      <c r="EE79" s="84"/>
      <c r="EF79" s="84"/>
      <c r="EG79" s="84"/>
      <c r="EH79" s="84"/>
      <c r="EI79" s="84"/>
      <c r="EJ79" s="84"/>
      <c r="EK79" s="84"/>
      <c r="EL79" s="84"/>
      <c r="EM79" s="84"/>
      <c r="EN79" s="84"/>
      <c r="EO79" s="84"/>
      <c r="EP79" s="84"/>
      <c r="EQ79" s="84"/>
      <c r="ER79" s="84"/>
      <c r="ES79" s="84"/>
      <c r="ET79" s="84"/>
      <c r="EU79" s="84"/>
      <c r="EV79" s="84"/>
      <c r="EW79" s="84"/>
      <c r="EX79" s="84"/>
      <c r="EY79" s="84"/>
      <c r="EZ79" s="84"/>
      <c r="FA79" s="84"/>
      <c r="FB79" s="84"/>
      <c r="FC79" s="84"/>
      <c r="FD79" s="84"/>
      <c r="FE79" s="84"/>
      <c r="FF79" s="84"/>
      <c r="FG79" s="84"/>
      <c r="FH79" s="84"/>
      <c r="FI79" s="84"/>
      <c r="FJ79" s="84"/>
      <c r="FK79" s="84"/>
      <c r="FL79" s="84"/>
      <c r="FM79" s="84"/>
      <c r="FN79" s="84"/>
      <c r="FO79" s="84"/>
      <c r="FP79" s="84"/>
      <c r="FQ79" s="84"/>
      <c r="FR79" s="84"/>
      <c r="FS79" s="84"/>
      <c r="FT79" s="84"/>
      <c r="FU79" s="84"/>
      <c r="FV79" s="84"/>
      <c r="FW79" s="84"/>
      <c r="FX79" s="84"/>
      <c r="FY79" s="84"/>
      <c r="FZ79" s="84"/>
      <c r="GA79" s="84"/>
      <c r="GB79" s="84"/>
      <c r="GC79" s="84"/>
      <c r="GD79" s="84"/>
      <c r="GE79" s="84"/>
      <c r="GF79" s="84"/>
      <c r="GG79" s="84"/>
      <c r="GH79" s="84"/>
      <c r="GI79" s="84"/>
      <c r="GJ79" s="84"/>
      <c r="GK79" s="84"/>
      <c r="GL79" s="84"/>
      <c r="GM79" s="84"/>
      <c r="GN79" s="84"/>
      <c r="GO79" s="84"/>
      <c r="GP79" s="84"/>
      <c r="GQ79" s="84"/>
      <c r="GR79" s="84"/>
      <c r="GS79" s="84"/>
      <c r="GT79" s="84"/>
      <c r="GU79" s="84"/>
      <c r="GV79" s="84"/>
      <c r="GW79" s="84"/>
      <c r="GX79" s="84"/>
      <c r="GY79" s="84"/>
      <c r="GZ79" s="84"/>
      <c r="HA79" s="84"/>
      <c r="HB79" s="84"/>
      <c r="HC79" s="84"/>
      <c r="HD79" s="84"/>
      <c r="HE79" s="84"/>
      <c r="HF79" s="84"/>
      <c r="HG79" s="84"/>
      <c r="HH79" s="84"/>
      <c r="HI79" s="84"/>
      <c r="HJ79" s="84"/>
      <c r="HK79" s="84"/>
      <c r="HL79" s="84"/>
      <c r="HM79" s="84"/>
      <c r="HN79" s="84"/>
      <c r="HO79" s="84"/>
      <c r="HP79" s="84"/>
      <c r="HQ79" s="84"/>
      <c r="HR79" s="84"/>
      <c r="HS79" s="84"/>
      <c r="HT79" s="84"/>
      <c r="HU79" s="84"/>
      <c r="HV79" s="84"/>
      <c r="HW79" s="84"/>
      <c r="HX79" s="84"/>
      <c r="HY79" s="84"/>
      <c r="HZ79" s="84"/>
      <c r="IA79" s="84"/>
      <c r="IB79" s="84"/>
    </row>
    <row r="80" spans="1:236" s="136" customFormat="1" ht="72.5" x14ac:dyDescent="0.35">
      <c r="A80" s="87"/>
      <c r="B80" s="101" t="s">
        <v>167</v>
      </c>
      <c r="C80" s="129" t="s">
        <v>549</v>
      </c>
      <c r="D80" s="102" t="s">
        <v>1019</v>
      </c>
      <c r="E80" s="103" t="s">
        <v>1022</v>
      </c>
      <c r="F80" s="104"/>
      <c r="G80" s="83"/>
      <c r="H80" s="410"/>
      <c r="I80" s="411"/>
      <c r="J80" s="411"/>
      <c r="K80" s="411"/>
      <c r="L80" s="411"/>
      <c r="M80" s="411"/>
      <c r="N80" s="411"/>
      <c r="O80" s="411"/>
      <c r="P80" s="411"/>
      <c r="Q80" s="411"/>
      <c r="R80" s="411"/>
      <c r="S80" s="412"/>
      <c r="T80" s="88"/>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4"/>
      <c r="BO80" s="84"/>
      <c r="BP80" s="84"/>
      <c r="BQ80" s="84"/>
      <c r="BR80" s="84"/>
      <c r="BS80" s="84"/>
      <c r="BT80" s="84"/>
      <c r="BU80" s="84"/>
      <c r="BV80" s="84"/>
      <c r="BW80" s="84"/>
      <c r="BX80" s="84"/>
      <c r="BY80" s="84"/>
      <c r="BZ80" s="84"/>
      <c r="CA80" s="84"/>
      <c r="CB80" s="84"/>
      <c r="CC80" s="84"/>
      <c r="CD80" s="84"/>
      <c r="CE80" s="84"/>
      <c r="CF80" s="84"/>
      <c r="CG80" s="84"/>
      <c r="CH80" s="84"/>
      <c r="CI80" s="84"/>
      <c r="CJ80" s="84"/>
      <c r="CK80" s="84"/>
      <c r="CL80" s="84"/>
      <c r="CM80" s="84"/>
      <c r="CN80" s="84"/>
      <c r="CO80" s="84"/>
      <c r="CP80" s="84"/>
      <c r="CQ80" s="84"/>
      <c r="CR80" s="84"/>
      <c r="CS80" s="84"/>
      <c r="CT80" s="84"/>
      <c r="CU80" s="84"/>
      <c r="CV80" s="84"/>
      <c r="CW80" s="84"/>
      <c r="CX80" s="84"/>
      <c r="CY80" s="84"/>
      <c r="CZ80" s="84"/>
      <c r="DA80" s="84"/>
      <c r="DB80" s="84"/>
      <c r="DC80" s="84"/>
      <c r="DD80" s="84"/>
      <c r="DE80" s="84"/>
      <c r="DF80" s="84"/>
      <c r="DG80" s="84"/>
      <c r="DH80" s="84"/>
      <c r="DI80" s="84"/>
      <c r="DJ80" s="84"/>
      <c r="DK80" s="84"/>
      <c r="DL80" s="84"/>
      <c r="DM80" s="84"/>
      <c r="DN80" s="84"/>
      <c r="DO80" s="84"/>
      <c r="DP80" s="84"/>
      <c r="DQ80" s="84"/>
      <c r="DR80" s="84"/>
      <c r="DS80" s="84"/>
      <c r="DT80" s="84"/>
      <c r="DU80" s="84"/>
      <c r="DV80" s="84"/>
      <c r="DW80" s="84"/>
      <c r="DX80" s="84"/>
      <c r="DY80" s="84"/>
      <c r="DZ80" s="84"/>
      <c r="EA80" s="84"/>
      <c r="EB80" s="84"/>
      <c r="EC80" s="84"/>
      <c r="ED80" s="84"/>
      <c r="EE80" s="84"/>
      <c r="EF80" s="84"/>
      <c r="EG80" s="84"/>
      <c r="EH80" s="84"/>
      <c r="EI80" s="84"/>
      <c r="EJ80" s="84"/>
      <c r="EK80" s="84"/>
      <c r="EL80" s="84"/>
      <c r="EM80" s="84"/>
      <c r="EN80" s="84"/>
      <c r="EO80" s="84"/>
      <c r="EP80" s="84"/>
      <c r="EQ80" s="84"/>
      <c r="ER80" s="84"/>
      <c r="ES80" s="84"/>
      <c r="ET80" s="84"/>
      <c r="EU80" s="84"/>
      <c r="EV80" s="84"/>
      <c r="EW80" s="84"/>
      <c r="EX80" s="84"/>
      <c r="EY80" s="84"/>
      <c r="EZ80" s="84"/>
      <c r="FA80" s="84"/>
      <c r="FB80" s="84"/>
      <c r="FC80" s="84"/>
      <c r="FD80" s="84"/>
      <c r="FE80" s="84"/>
      <c r="FF80" s="84"/>
      <c r="FG80" s="84"/>
      <c r="FH80" s="84"/>
      <c r="FI80" s="84"/>
      <c r="FJ80" s="84"/>
      <c r="FK80" s="84"/>
      <c r="FL80" s="84"/>
      <c r="FM80" s="84"/>
      <c r="FN80" s="84"/>
      <c r="FO80" s="84"/>
      <c r="FP80" s="84"/>
      <c r="FQ80" s="84"/>
      <c r="FR80" s="84"/>
      <c r="FS80" s="84"/>
      <c r="FT80" s="84"/>
      <c r="FU80" s="84"/>
      <c r="FV80" s="84"/>
      <c r="FW80" s="84"/>
      <c r="FX80" s="84"/>
      <c r="FY80" s="84"/>
      <c r="FZ80" s="84"/>
      <c r="GA80" s="84"/>
      <c r="GB80" s="84"/>
      <c r="GC80" s="84"/>
      <c r="GD80" s="84"/>
      <c r="GE80" s="84"/>
      <c r="GF80" s="84"/>
      <c r="GG80" s="84"/>
      <c r="GH80" s="84"/>
      <c r="GI80" s="84"/>
      <c r="GJ80" s="84"/>
      <c r="GK80" s="84"/>
      <c r="GL80" s="84"/>
      <c r="GM80" s="84"/>
      <c r="GN80" s="84"/>
      <c r="GO80" s="84"/>
      <c r="GP80" s="84"/>
      <c r="GQ80" s="84"/>
      <c r="GR80" s="84"/>
      <c r="GS80" s="84"/>
      <c r="GT80" s="84"/>
      <c r="GU80" s="84"/>
      <c r="GV80" s="84"/>
      <c r="GW80" s="84"/>
      <c r="GX80" s="84"/>
      <c r="GY80" s="84"/>
      <c r="GZ80" s="84"/>
      <c r="HA80" s="84"/>
      <c r="HB80" s="84"/>
      <c r="HC80" s="84"/>
      <c r="HD80" s="84"/>
      <c r="HE80" s="84"/>
      <c r="HF80" s="84"/>
      <c r="HG80" s="84"/>
      <c r="HH80" s="84"/>
      <c r="HI80" s="84"/>
      <c r="HJ80" s="84"/>
      <c r="HK80" s="84"/>
      <c r="HL80" s="84"/>
      <c r="HM80" s="84"/>
      <c r="HN80" s="84"/>
      <c r="HO80" s="84"/>
      <c r="HP80" s="84"/>
      <c r="HQ80" s="84"/>
      <c r="HR80" s="84"/>
      <c r="HS80" s="84"/>
      <c r="HT80" s="84"/>
      <c r="HU80" s="84"/>
      <c r="HV80" s="84"/>
      <c r="HW80" s="84"/>
      <c r="HX80" s="84"/>
      <c r="HY80" s="84"/>
      <c r="HZ80" s="84"/>
      <c r="IA80" s="84"/>
      <c r="IB80" s="84"/>
    </row>
    <row r="81" spans="1:236" ht="31.5" customHeight="1" x14ac:dyDescent="0.35">
      <c r="A81" s="87"/>
      <c r="B81" s="96" t="s">
        <v>684</v>
      </c>
      <c r="C81" s="144" t="s">
        <v>1025</v>
      </c>
      <c r="D81" s="98"/>
      <c r="E81" s="99" t="s">
        <v>1026</v>
      </c>
      <c r="F81" s="145" t="s">
        <v>1027</v>
      </c>
      <c r="G81" s="83"/>
      <c r="H81" s="410"/>
      <c r="I81" s="411"/>
      <c r="J81" s="411"/>
      <c r="K81" s="411"/>
      <c r="L81" s="411"/>
      <c r="M81" s="411"/>
      <c r="N81" s="411"/>
      <c r="O81" s="411"/>
      <c r="P81" s="411"/>
      <c r="Q81" s="411"/>
      <c r="R81" s="411"/>
      <c r="S81" s="412"/>
      <c r="T81" s="88"/>
    </row>
    <row r="82" spans="1:236" s="136" customFormat="1" x14ac:dyDescent="0.35">
      <c r="A82" s="87"/>
      <c r="B82" s="101" t="s">
        <v>167</v>
      </c>
      <c r="C82" s="129" t="s">
        <v>549</v>
      </c>
      <c r="D82" s="102" t="s">
        <v>999</v>
      </c>
      <c r="E82" s="103" t="s">
        <v>1000</v>
      </c>
      <c r="F82" s="104"/>
      <c r="G82" s="83"/>
      <c r="H82" s="410"/>
      <c r="I82" s="411"/>
      <c r="J82" s="411"/>
      <c r="K82" s="411"/>
      <c r="L82" s="411"/>
      <c r="M82" s="411"/>
      <c r="N82" s="411"/>
      <c r="O82" s="411"/>
      <c r="P82" s="411"/>
      <c r="Q82" s="411"/>
      <c r="R82" s="411"/>
      <c r="S82" s="412"/>
      <c r="T82" s="88"/>
      <c r="U82" s="84"/>
      <c r="V82" s="84"/>
      <c r="W82" s="84"/>
      <c r="X82" s="84"/>
      <c r="Y82" s="84"/>
      <c r="Z82" s="84"/>
      <c r="AA82" s="84"/>
      <c r="AB82" s="84"/>
      <c r="AC82" s="84"/>
      <c r="AD82" s="84"/>
      <c r="AE82" s="84"/>
      <c r="AF82" s="84"/>
      <c r="AG82" s="84"/>
      <c r="AH82" s="84"/>
      <c r="AI82" s="84"/>
      <c r="AJ82" s="84"/>
      <c r="AK82" s="84"/>
      <c r="AL82" s="84"/>
      <c r="AM82" s="84"/>
      <c r="AN82" s="84"/>
      <c r="AO82" s="84"/>
      <c r="AP82" s="84"/>
      <c r="AQ82" s="84"/>
      <c r="AR82" s="84"/>
      <c r="AS82" s="84"/>
      <c r="AT82" s="84"/>
      <c r="AU82" s="84"/>
      <c r="AV82" s="84"/>
      <c r="AW82" s="84"/>
      <c r="AX82" s="84"/>
      <c r="AY82" s="84"/>
      <c r="AZ82" s="84"/>
      <c r="BA82" s="84"/>
      <c r="BB82" s="84"/>
      <c r="BC82" s="84"/>
      <c r="BD82" s="84"/>
      <c r="BE82" s="84"/>
      <c r="BF82" s="84"/>
      <c r="BG82" s="84"/>
      <c r="BH82" s="84"/>
      <c r="BI82" s="84"/>
      <c r="BJ82" s="84"/>
      <c r="BK82" s="84"/>
      <c r="BL82" s="84"/>
      <c r="BM82" s="84"/>
      <c r="BN82" s="84"/>
      <c r="BO82" s="84"/>
      <c r="BP82" s="84"/>
      <c r="BQ82" s="84"/>
      <c r="BR82" s="84"/>
      <c r="BS82" s="84"/>
      <c r="BT82" s="84"/>
      <c r="BU82" s="84"/>
      <c r="BV82" s="84"/>
      <c r="BW82" s="84"/>
      <c r="BX82" s="84"/>
      <c r="BY82" s="84"/>
      <c r="BZ82" s="84"/>
      <c r="CA82" s="84"/>
      <c r="CB82" s="84"/>
      <c r="CC82" s="84"/>
      <c r="CD82" s="84"/>
      <c r="CE82" s="84"/>
      <c r="CF82" s="84"/>
      <c r="CG82" s="84"/>
      <c r="CH82" s="84"/>
      <c r="CI82" s="84"/>
      <c r="CJ82" s="84"/>
      <c r="CK82" s="84"/>
      <c r="CL82" s="84"/>
      <c r="CM82" s="84"/>
      <c r="CN82" s="84"/>
      <c r="CO82" s="84"/>
      <c r="CP82" s="84"/>
      <c r="CQ82" s="84"/>
      <c r="CR82" s="84"/>
      <c r="CS82" s="84"/>
      <c r="CT82" s="84"/>
      <c r="CU82" s="84"/>
      <c r="CV82" s="84"/>
      <c r="CW82" s="84"/>
      <c r="CX82" s="84"/>
      <c r="CY82" s="84"/>
      <c r="CZ82" s="84"/>
      <c r="DA82" s="84"/>
      <c r="DB82" s="84"/>
      <c r="DC82" s="84"/>
      <c r="DD82" s="84"/>
      <c r="DE82" s="84"/>
      <c r="DF82" s="84"/>
      <c r="DG82" s="84"/>
      <c r="DH82" s="84"/>
      <c r="DI82" s="84"/>
      <c r="DJ82" s="84"/>
      <c r="DK82" s="84"/>
      <c r="DL82" s="84"/>
      <c r="DM82" s="84"/>
      <c r="DN82" s="84"/>
      <c r="DO82" s="84"/>
      <c r="DP82" s="84"/>
      <c r="DQ82" s="84"/>
      <c r="DR82" s="84"/>
      <c r="DS82" s="84"/>
      <c r="DT82" s="84"/>
      <c r="DU82" s="84"/>
      <c r="DV82" s="84"/>
      <c r="DW82" s="84"/>
      <c r="DX82" s="84"/>
      <c r="DY82" s="84"/>
      <c r="DZ82" s="84"/>
      <c r="EA82" s="84"/>
      <c r="EB82" s="84"/>
      <c r="EC82" s="84"/>
      <c r="ED82" s="84"/>
      <c r="EE82" s="84"/>
      <c r="EF82" s="84"/>
      <c r="EG82" s="84"/>
      <c r="EH82" s="84"/>
      <c r="EI82" s="84"/>
      <c r="EJ82" s="84"/>
      <c r="EK82" s="84"/>
      <c r="EL82" s="84"/>
      <c r="EM82" s="84"/>
      <c r="EN82" s="84"/>
      <c r="EO82" s="84"/>
      <c r="EP82" s="84"/>
      <c r="EQ82" s="84"/>
      <c r="ER82" s="84"/>
      <c r="ES82" s="84"/>
      <c r="ET82" s="84"/>
      <c r="EU82" s="84"/>
      <c r="EV82" s="84"/>
      <c r="EW82" s="84"/>
      <c r="EX82" s="84"/>
      <c r="EY82" s="84"/>
      <c r="EZ82" s="84"/>
      <c r="FA82" s="84"/>
      <c r="FB82" s="84"/>
      <c r="FC82" s="84"/>
      <c r="FD82" s="84"/>
      <c r="FE82" s="84"/>
      <c r="FF82" s="84"/>
      <c r="FG82" s="84"/>
      <c r="FH82" s="84"/>
      <c r="FI82" s="84"/>
      <c r="FJ82" s="84"/>
      <c r="FK82" s="84"/>
      <c r="FL82" s="84"/>
      <c r="FM82" s="84"/>
      <c r="FN82" s="84"/>
      <c r="FO82" s="84"/>
      <c r="FP82" s="84"/>
      <c r="FQ82" s="84"/>
      <c r="FR82" s="84"/>
      <c r="FS82" s="84"/>
      <c r="FT82" s="84"/>
      <c r="FU82" s="84"/>
      <c r="FV82" s="84"/>
      <c r="FW82" s="84"/>
      <c r="FX82" s="84"/>
      <c r="FY82" s="84"/>
      <c r="FZ82" s="84"/>
      <c r="GA82" s="84"/>
      <c r="GB82" s="84"/>
      <c r="GC82" s="84"/>
      <c r="GD82" s="84"/>
      <c r="GE82" s="84"/>
      <c r="GF82" s="84"/>
      <c r="GG82" s="84"/>
      <c r="GH82" s="84"/>
      <c r="GI82" s="84"/>
      <c r="GJ82" s="84"/>
      <c r="GK82" s="84"/>
      <c r="GL82" s="84"/>
      <c r="GM82" s="84"/>
      <c r="GN82" s="84"/>
      <c r="GO82" s="84"/>
      <c r="GP82" s="84"/>
      <c r="GQ82" s="84"/>
      <c r="GR82" s="84"/>
      <c r="GS82" s="84"/>
      <c r="GT82" s="84"/>
      <c r="GU82" s="84"/>
      <c r="GV82" s="84"/>
      <c r="GW82" s="84"/>
      <c r="GX82" s="84"/>
      <c r="GY82" s="84"/>
      <c r="GZ82" s="84"/>
      <c r="HA82" s="84"/>
      <c r="HB82" s="84"/>
      <c r="HC82" s="84"/>
      <c r="HD82" s="84"/>
      <c r="HE82" s="84"/>
      <c r="HF82" s="84"/>
      <c r="HG82" s="84"/>
      <c r="HH82" s="84"/>
      <c r="HI82" s="84"/>
      <c r="HJ82" s="84"/>
      <c r="HK82" s="84"/>
      <c r="HL82" s="84"/>
      <c r="HM82" s="84"/>
      <c r="HN82" s="84"/>
      <c r="HO82" s="84"/>
      <c r="HP82" s="84"/>
      <c r="HQ82" s="84"/>
      <c r="HR82" s="84"/>
      <c r="HS82" s="84"/>
      <c r="HT82" s="84"/>
      <c r="HU82" s="84"/>
      <c r="HV82" s="84"/>
      <c r="HW82" s="84"/>
      <c r="HX82" s="84"/>
      <c r="HY82" s="84"/>
      <c r="HZ82" s="84"/>
      <c r="IA82" s="84"/>
      <c r="IB82" s="84"/>
    </row>
    <row r="83" spans="1:236" s="136" customFormat="1" ht="43.5" x14ac:dyDescent="0.35">
      <c r="A83" s="87"/>
      <c r="B83" s="101" t="s">
        <v>167</v>
      </c>
      <c r="C83" s="129" t="s">
        <v>549</v>
      </c>
      <c r="D83" s="102" t="s">
        <v>1001</v>
      </c>
      <c r="E83" s="103" t="s">
        <v>1002</v>
      </c>
      <c r="F83" s="104"/>
      <c r="G83" s="83"/>
      <c r="H83" s="410"/>
      <c r="I83" s="411"/>
      <c r="J83" s="411"/>
      <c r="K83" s="411"/>
      <c r="L83" s="411"/>
      <c r="M83" s="411"/>
      <c r="N83" s="411"/>
      <c r="O83" s="411"/>
      <c r="P83" s="411"/>
      <c r="Q83" s="411"/>
      <c r="R83" s="411"/>
      <c r="S83" s="412"/>
      <c r="T83" s="88"/>
      <c r="U83" s="84"/>
      <c r="V83" s="84"/>
      <c r="W83" s="84"/>
      <c r="X83" s="84"/>
      <c r="Y83" s="84"/>
      <c r="Z83" s="84"/>
      <c r="AA83" s="84"/>
      <c r="AB83" s="84"/>
      <c r="AC83" s="84"/>
      <c r="AD83" s="84"/>
      <c r="AE83" s="84"/>
      <c r="AF83" s="84"/>
      <c r="AG83" s="84"/>
      <c r="AH83" s="84"/>
      <c r="AI83" s="84"/>
      <c r="AJ83" s="84"/>
      <c r="AK83" s="84"/>
      <c r="AL83" s="84"/>
      <c r="AM83" s="84"/>
      <c r="AN83" s="84"/>
      <c r="AO83" s="84"/>
      <c r="AP83" s="84"/>
      <c r="AQ83" s="84"/>
      <c r="AR83" s="84"/>
      <c r="AS83" s="84"/>
      <c r="AT83" s="84"/>
      <c r="AU83" s="84"/>
      <c r="AV83" s="84"/>
      <c r="AW83" s="84"/>
      <c r="AX83" s="84"/>
      <c r="AY83" s="84"/>
      <c r="AZ83" s="84"/>
      <c r="BA83" s="84"/>
      <c r="BB83" s="84"/>
      <c r="BC83" s="84"/>
      <c r="BD83" s="84"/>
      <c r="BE83" s="84"/>
      <c r="BF83" s="84"/>
      <c r="BG83" s="84"/>
      <c r="BH83" s="84"/>
      <c r="BI83" s="84"/>
      <c r="BJ83" s="84"/>
      <c r="BK83" s="84"/>
      <c r="BL83" s="84"/>
      <c r="BM83" s="84"/>
      <c r="BN83" s="84"/>
      <c r="BO83" s="84"/>
      <c r="BP83" s="84"/>
      <c r="BQ83" s="84"/>
      <c r="BR83" s="84"/>
      <c r="BS83" s="84"/>
      <c r="BT83" s="84"/>
      <c r="BU83" s="84"/>
      <c r="BV83" s="84"/>
      <c r="BW83" s="84"/>
      <c r="BX83" s="84"/>
      <c r="BY83" s="84"/>
      <c r="BZ83" s="84"/>
      <c r="CA83" s="84"/>
      <c r="CB83" s="84"/>
      <c r="CC83" s="84"/>
      <c r="CD83" s="84"/>
      <c r="CE83" s="84"/>
      <c r="CF83" s="84"/>
      <c r="CG83" s="84"/>
      <c r="CH83" s="84"/>
      <c r="CI83" s="84"/>
      <c r="CJ83" s="84"/>
      <c r="CK83" s="84"/>
      <c r="CL83" s="84"/>
      <c r="CM83" s="84"/>
      <c r="CN83" s="84"/>
      <c r="CO83" s="84"/>
      <c r="CP83" s="84"/>
      <c r="CQ83" s="84"/>
      <c r="CR83" s="84"/>
      <c r="CS83" s="84"/>
      <c r="CT83" s="84"/>
      <c r="CU83" s="84"/>
      <c r="CV83" s="84"/>
      <c r="CW83" s="84"/>
      <c r="CX83" s="84"/>
      <c r="CY83" s="84"/>
      <c r="CZ83" s="84"/>
      <c r="DA83" s="84"/>
      <c r="DB83" s="84"/>
      <c r="DC83" s="84"/>
      <c r="DD83" s="84"/>
      <c r="DE83" s="84"/>
      <c r="DF83" s="84"/>
      <c r="DG83" s="84"/>
      <c r="DH83" s="84"/>
      <c r="DI83" s="84"/>
      <c r="DJ83" s="84"/>
      <c r="DK83" s="84"/>
      <c r="DL83" s="84"/>
      <c r="DM83" s="84"/>
      <c r="DN83" s="84"/>
      <c r="DO83" s="84"/>
      <c r="DP83" s="84"/>
      <c r="DQ83" s="84"/>
      <c r="DR83" s="84"/>
      <c r="DS83" s="84"/>
      <c r="DT83" s="84"/>
      <c r="DU83" s="84"/>
      <c r="DV83" s="84"/>
      <c r="DW83" s="84"/>
      <c r="DX83" s="84"/>
      <c r="DY83" s="84"/>
      <c r="DZ83" s="84"/>
      <c r="EA83" s="84"/>
      <c r="EB83" s="84"/>
      <c r="EC83" s="84"/>
      <c r="ED83" s="84"/>
      <c r="EE83" s="84"/>
      <c r="EF83" s="84"/>
      <c r="EG83" s="84"/>
      <c r="EH83" s="84"/>
      <c r="EI83" s="84"/>
      <c r="EJ83" s="84"/>
      <c r="EK83" s="84"/>
      <c r="EL83" s="84"/>
      <c r="EM83" s="84"/>
      <c r="EN83" s="84"/>
      <c r="EO83" s="84"/>
      <c r="EP83" s="84"/>
      <c r="EQ83" s="84"/>
      <c r="ER83" s="84"/>
      <c r="ES83" s="84"/>
      <c r="ET83" s="84"/>
      <c r="EU83" s="84"/>
      <c r="EV83" s="84"/>
      <c r="EW83" s="84"/>
      <c r="EX83" s="84"/>
      <c r="EY83" s="84"/>
      <c r="EZ83" s="84"/>
      <c r="FA83" s="84"/>
      <c r="FB83" s="84"/>
      <c r="FC83" s="84"/>
      <c r="FD83" s="84"/>
      <c r="FE83" s="84"/>
      <c r="FF83" s="84"/>
      <c r="FG83" s="84"/>
      <c r="FH83" s="84"/>
      <c r="FI83" s="84"/>
      <c r="FJ83" s="84"/>
      <c r="FK83" s="84"/>
      <c r="FL83" s="84"/>
      <c r="FM83" s="84"/>
      <c r="FN83" s="84"/>
      <c r="FO83" s="84"/>
      <c r="FP83" s="84"/>
      <c r="FQ83" s="84"/>
      <c r="FR83" s="84"/>
      <c r="FS83" s="84"/>
      <c r="FT83" s="84"/>
      <c r="FU83" s="84"/>
      <c r="FV83" s="84"/>
      <c r="FW83" s="84"/>
      <c r="FX83" s="84"/>
      <c r="FY83" s="84"/>
      <c r="FZ83" s="84"/>
      <c r="GA83" s="84"/>
      <c r="GB83" s="84"/>
      <c r="GC83" s="84"/>
      <c r="GD83" s="84"/>
      <c r="GE83" s="84"/>
      <c r="GF83" s="84"/>
      <c r="GG83" s="84"/>
      <c r="GH83" s="84"/>
      <c r="GI83" s="84"/>
      <c r="GJ83" s="84"/>
      <c r="GK83" s="84"/>
      <c r="GL83" s="84"/>
      <c r="GM83" s="84"/>
      <c r="GN83" s="84"/>
      <c r="GO83" s="84"/>
      <c r="GP83" s="84"/>
      <c r="GQ83" s="84"/>
      <c r="GR83" s="84"/>
      <c r="GS83" s="84"/>
      <c r="GT83" s="84"/>
      <c r="GU83" s="84"/>
      <c r="GV83" s="84"/>
      <c r="GW83" s="84"/>
      <c r="GX83" s="84"/>
      <c r="GY83" s="84"/>
      <c r="GZ83" s="84"/>
      <c r="HA83" s="84"/>
      <c r="HB83" s="84"/>
      <c r="HC83" s="84"/>
      <c r="HD83" s="84"/>
      <c r="HE83" s="84"/>
      <c r="HF83" s="84"/>
      <c r="HG83" s="84"/>
      <c r="HH83" s="84"/>
      <c r="HI83" s="84"/>
      <c r="HJ83" s="84"/>
      <c r="HK83" s="84"/>
      <c r="HL83" s="84"/>
      <c r="HM83" s="84"/>
      <c r="HN83" s="84"/>
      <c r="HO83" s="84"/>
      <c r="HP83" s="84"/>
      <c r="HQ83" s="84"/>
      <c r="HR83" s="84"/>
      <c r="HS83" s="84"/>
      <c r="HT83" s="84"/>
      <c r="HU83" s="84"/>
      <c r="HV83" s="84"/>
      <c r="HW83" s="84"/>
      <c r="HX83" s="84"/>
      <c r="HY83" s="84"/>
      <c r="HZ83" s="84"/>
      <c r="IA83" s="84"/>
      <c r="IB83" s="84"/>
    </row>
    <row r="84" spans="1:236" s="136" customFormat="1" ht="72.5" x14ac:dyDescent="0.35">
      <c r="A84" s="87"/>
      <c r="B84" s="101" t="s">
        <v>167</v>
      </c>
      <c r="C84" s="129" t="s">
        <v>549</v>
      </c>
      <c r="D84" s="102" t="s">
        <v>1019</v>
      </c>
      <c r="E84" s="103" t="s">
        <v>1022</v>
      </c>
      <c r="F84" s="104"/>
      <c r="G84" s="83"/>
      <c r="H84" s="410"/>
      <c r="I84" s="411"/>
      <c r="J84" s="411"/>
      <c r="K84" s="411"/>
      <c r="L84" s="411"/>
      <c r="M84" s="411"/>
      <c r="N84" s="411"/>
      <c r="O84" s="411"/>
      <c r="P84" s="411"/>
      <c r="Q84" s="411"/>
      <c r="R84" s="411"/>
      <c r="S84" s="412"/>
      <c r="T84" s="88"/>
      <c r="U84" s="84"/>
      <c r="V84" s="84"/>
      <c r="W84" s="84"/>
      <c r="X84" s="84"/>
      <c r="Y84" s="84"/>
      <c r="Z84" s="84"/>
      <c r="AA84" s="84"/>
      <c r="AB84" s="84"/>
      <c r="AC84" s="84"/>
      <c r="AD84" s="84"/>
      <c r="AE84" s="84"/>
      <c r="AF84" s="84"/>
      <c r="AG84" s="84"/>
      <c r="AH84" s="84"/>
      <c r="AI84" s="84"/>
      <c r="AJ84" s="84"/>
      <c r="AK84" s="84"/>
      <c r="AL84" s="84"/>
      <c r="AM84" s="84"/>
      <c r="AN84" s="84"/>
      <c r="AO84" s="84"/>
      <c r="AP84" s="84"/>
      <c r="AQ84" s="84"/>
      <c r="AR84" s="84"/>
      <c r="AS84" s="84"/>
      <c r="AT84" s="84"/>
      <c r="AU84" s="84"/>
      <c r="AV84" s="84"/>
      <c r="AW84" s="84"/>
      <c r="AX84" s="84"/>
      <c r="AY84" s="84"/>
      <c r="AZ84" s="84"/>
      <c r="BA84" s="84"/>
      <c r="BB84" s="84"/>
      <c r="BC84" s="84"/>
      <c r="BD84" s="84"/>
      <c r="BE84" s="84"/>
      <c r="BF84" s="84"/>
      <c r="BG84" s="84"/>
      <c r="BH84" s="84"/>
      <c r="BI84" s="84"/>
      <c r="BJ84" s="84"/>
      <c r="BK84" s="84"/>
      <c r="BL84" s="84"/>
      <c r="BM84" s="84"/>
      <c r="BN84" s="84"/>
      <c r="BO84" s="84"/>
      <c r="BP84" s="84"/>
      <c r="BQ84" s="84"/>
      <c r="BR84" s="84"/>
      <c r="BS84" s="84"/>
      <c r="BT84" s="84"/>
      <c r="BU84" s="84"/>
      <c r="BV84" s="84"/>
      <c r="BW84" s="84"/>
      <c r="BX84" s="84"/>
      <c r="BY84" s="84"/>
      <c r="BZ84" s="84"/>
      <c r="CA84" s="84"/>
      <c r="CB84" s="84"/>
      <c r="CC84" s="84"/>
      <c r="CD84" s="84"/>
      <c r="CE84" s="84"/>
      <c r="CF84" s="84"/>
      <c r="CG84" s="84"/>
      <c r="CH84" s="84"/>
      <c r="CI84" s="84"/>
      <c r="CJ84" s="84"/>
      <c r="CK84" s="84"/>
      <c r="CL84" s="84"/>
      <c r="CM84" s="84"/>
      <c r="CN84" s="84"/>
      <c r="CO84" s="84"/>
      <c r="CP84" s="84"/>
      <c r="CQ84" s="84"/>
      <c r="CR84" s="84"/>
      <c r="CS84" s="84"/>
      <c r="CT84" s="84"/>
      <c r="CU84" s="84"/>
      <c r="CV84" s="84"/>
      <c r="CW84" s="84"/>
      <c r="CX84" s="84"/>
      <c r="CY84" s="84"/>
      <c r="CZ84" s="84"/>
      <c r="DA84" s="84"/>
      <c r="DB84" s="84"/>
      <c r="DC84" s="84"/>
      <c r="DD84" s="84"/>
      <c r="DE84" s="84"/>
      <c r="DF84" s="84"/>
      <c r="DG84" s="84"/>
      <c r="DH84" s="84"/>
      <c r="DI84" s="84"/>
      <c r="DJ84" s="84"/>
      <c r="DK84" s="84"/>
      <c r="DL84" s="84"/>
      <c r="DM84" s="84"/>
      <c r="DN84" s="84"/>
      <c r="DO84" s="84"/>
      <c r="DP84" s="84"/>
      <c r="DQ84" s="84"/>
      <c r="DR84" s="84"/>
      <c r="DS84" s="84"/>
      <c r="DT84" s="84"/>
      <c r="DU84" s="84"/>
      <c r="DV84" s="84"/>
      <c r="DW84" s="84"/>
      <c r="DX84" s="84"/>
      <c r="DY84" s="84"/>
      <c r="DZ84" s="84"/>
      <c r="EA84" s="84"/>
      <c r="EB84" s="84"/>
      <c r="EC84" s="84"/>
      <c r="ED84" s="84"/>
      <c r="EE84" s="84"/>
      <c r="EF84" s="84"/>
      <c r="EG84" s="84"/>
      <c r="EH84" s="84"/>
      <c r="EI84" s="84"/>
      <c r="EJ84" s="84"/>
      <c r="EK84" s="84"/>
      <c r="EL84" s="84"/>
      <c r="EM84" s="84"/>
      <c r="EN84" s="84"/>
      <c r="EO84" s="84"/>
      <c r="EP84" s="84"/>
      <c r="EQ84" s="84"/>
      <c r="ER84" s="84"/>
      <c r="ES84" s="84"/>
      <c r="ET84" s="84"/>
      <c r="EU84" s="84"/>
      <c r="EV84" s="84"/>
      <c r="EW84" s="84"/>
      <c r="EX84" s="84"/>
      <c r="EY84" s="84"/>
      <c r="EZ84" s="84"/>
      <c r="FA84" s="84"/>
      <c r="FB84" s="84"/>
      <c r="FC84" s="84"/>
      <c r="FD84" s="84"/>
      <c r="FE84" s="84"/>
      <c r="FF84" s="84"/>
      <c r="FG84" s="84"/>
      <c r="FH84" s="84"/>
      <c r="FI84" s="84"/>
      <c r="FJ84" s="84"/>
      <c r="FK84" s="84"/>
      <c r="FL84" s="84"/>
      <c r="FM84" s="84"/>
      <c r="FN84" s="84"/>
      <c r="FO84" s="84"/>
      <c r="FP84" s="84"/>
      <c r="FQ84" s="84"/>
      <c r="FR84" s="84"/>
      <c r="FS84" s="84"/>
      <c r="FT84" s="84"/>
      <c r="FU84" s="84"/>
      <c r="FV84" s="84"/>
      <c r="FW84" s="84"/>
      <c r="FX84" s="84"/>
      <c r="FY84" s="84"/>
      <c r="FZ84" s="84"/>
      <c r="GA84" s="84"/>
      <c r="GB84" s="84"/>
      <c r="GC84" s="84"/>
      <c r="GD84" s="84"/>
      <c r="GE84" s="84"/>
      <c r="GF84" s="84"/>
      <c r="GG84" s="84"/>
      <c r="GH84" s="84"/>
      <c r="GI84" s="84"/>
      <c r="GJ84" s="84"/>
      <c r="GK84" s="84"/>
      <c r="GL84" s="84"/>
      <c r="GM84" s="84"/>
      <c r="GN84" s="84"/>
      <c r="GO84" s="84"/>
      <c r="GP84" s="84"/>
      <c r="GQ84" s="84"/>
      <c r="GR84" s="84"/>
      <c r="GS84" s="84"/>
      <c r="GT84" s="84"/>
      <c r="GU84" s="84"/>
      <c r="GV84" s="84"/>
      <c r="GW84" s="84"/>
      <c r="GX84" s="84"/>
      <c r="GY84" s="84"/>
      <c r="GZ84" s="84"/>
      <c r="HA84" s="84"/>
      <c r="HB84" s="84"/>
      <c r="HC84" s="84"/>
      <c r="HD84" s="84"/>
      <c r="HE84" s="84"/>
      <c r="HF84" s="84"/>
      <c r="HG84" s="84"/>
      <c r="HH84" s="84"/>
      <c r="HI84" s="84"/>
      <c r="HJ84" s="84"/>
      <c r="HK84" s="84"/>
      <c r="HL84" s="84"/>
      <c r="HM84" s="84"/>
      <c r="HN84" s="84"/>
      <c r="HO84" s="84"/>
      <c r="HP84" s="84"/>
      <c r="HQ84" s="84"/>
      <c r="HR84" s="84"/>
      <c r="HS84" s="84"/>
      <c r="HT84" s="84"/>
      <c r="HU84" s="84"/>
      <c r="HV84" s="84"/>
      <c r="HW84" s="84"/>
      <c r="HX84" s="84"/>
      <c r="HY84" s="84"/>
      <c r="HZ84" s="84"/>
      <c r="IA84" s="84"/>
      <c r="IB84" s="84"/>
    </row>
    <row r="85" spans="1:236" ht="15.65" customHeight="1" x14ac:dyDescent="0.35">
      <c r="A85" s="87"/>
      <c r="B85" s="143" t="s">
        <v>693</v>
      </c>
      <c r="C85" s="413" t="s">
        <v>1028</v>
      </c>
      <c r="D85" s="414"/>
      <c r="E85" s="414"/>
      <c r="F85" s="415"/>
      <c r="G85" s="83"/>
      <c r="H85" s="410"/>
      <c r="I85" s="411"/>
      <c r="J85" s="411"/>
      <c r="K85" s="411"/>
      <c r="L85" s="411"/>
      <c r="M85" s="411"/>
      <c r="N85" s="411"/>
      <c r="O85" s="411"/>
      <c r="P85" s="411"/>
      <c r="Q85" s="411"/>
      <c r="R85" s="411"/>
      <c r="S85" s="412"/>
      <c r="T85" s="88"/>
    </row>
    <row r="86" spans="1:236" s="136" customFormat="1" x14ac:dyDescent="0.35">
      <c r="A86" s="87"/>
      <c r="B86" s="95" t="s">
        <v>545</v>
      </c>
      <c r="C86" s="439" t="s">
        <v>1029</v>
      </c>
      <c r="D86" s="439"/>
      <c r="E86" s="439"/>
      <c r="F86" s="440"/>
      <c r="G86" s="83"/>
      <c r="H86" s="410"/>
      <c r="I86" s="411"/>
      <c r="J86" s="411"/>
      <c r="K86" s="411"/>
      <c r="L86" s="411"/>
      <c r="M86" s="411"/>
      <c r="N86" s="411"/>
      <c r="O86" s="411"/>
      <c r="P86" s="411"/>
      <c r="Q86" s="411"/>
      <c r="R86" s="411"/>
      <c r="S86" s="412"/>
      <c r="T86" s="88"/>
      <c r="U86" s="84"/>
      <c r="V86" s="84"/>
      <c r="W86" s="84"/>
      <c r="X86" s="84"/>
      <c r="Y86" s="84"/>
      <c r="Z86" s="84"/>
      <c r="AA86" s="84"/>
      <c r="AB86" s="84"/>
      <c r="AC86" s="84"/>
      <c r="AD86" s="84"/>
      <c r="AE86" s="84"/>
      <c r="AF86" s="84"/>
      <c r="AG86" s="84"/>
      <c r="AH86" s="84"/>
      <c r="AI86" s="84"/>
      <c r="AJ86" s="84"/>
      <c r="AK86" s="84"/>
      <c r="AL86" s="84"/>
      <c r="AM86" s="84"/>
      <c r="AN86" s="84"/>
      <c r="AO86" s="84"/>
      <c r="AP86" s="84"/>
      <c r="AQ86" s="84"/>
      <c r="AR86" s="84"/>
      <c r="AS86" s="84"/>
      <c r="AT86" s="84"/>
      <c r="AU86" s="84"/>
      <c r="AV86" s="84"/>
      <c r="AW86" s="84"/>
      <c r="AX86" s="84"/>
      <c r="AY86" s="84"/>
      <c r="AZ86" s="84"/>
      <c r="BA86" s="84"/>
      <c r="BB86" s="84"/>
      <c r="BC86" s="84"/>
      <c r="BD86" s="84"/>
      <c r="BE86" s="84"/>
      <c r="BF86" s="84"/>
      <c r="BG86" s="84"/>
      <c r="BH86" s="84"/>
      <c r="BI86" s="84"/>
      <c r="BJ86" s="84"/>
      <c r="BK86" s="84"/>
      <c r="BL86" s="84"/>
      <c r="BM86" s="84"/>
      <c r="BN86" s="84"/>
      <c r="BO86" s="84"/>
      <c r="BP86" s="84"/>
      <c r="BQ86" s="84"/>
      <c r="BR86" s="84"/>
      <c r="BS86" s="84"/>
      <c r="BT86" s="84"/>
      <c r="BU86" s="84"/>
      <c r="BV86" s="84"/>
      <c r="BW86" s="84"/>
      <c r="BX86" s="84"/>
      <c r="BY86" s="84"/>
      <c r="BZ86" s="84"/>
      <c r="CA86" s="84"/>
      <c r="CB86" s="84"/>
      <c r="CC86" s="84"/>
      <c r="CD86" s="84"/>
      <c r="CE86" s="84"/>
      <c r="CF86" s="84"/>
      <c r="CG86" s="84"/>
      <c r="CH86" s="84"/>
      <c r="CI86" s="84"/>
      <c r="CJ86" s="84"/>
      <c r="CK86" s="84"/>
      <c r="CL86" s="84"/>
      <c r="CM86" s="84"/>
      <c r="CN86" s="84"/>
      <c r="CO86" s="84"/>
      <c r="CP86" s="84"/>
      <c r="CQ86" s="84"/>
      <c r="CR86" s="84"/>
      <c r="CS86" s="84"/>
      <c r="CT86" s="84"/>
      <c r="CU86" s="84"/>
      <c r="CV86" s="84"/>
      <c r="CW86" s="84"/>
      <c r="CX86" s="84"/>
      <c r="CY86" s="84"/>
      <c r="CZ86" s="84"/>
      <c r="DA86" s="84"/>
      <c r="DB86" s="84"/>
      <c r="DC86" s="84"/>
      <c r="DD86" s="84"/>
      <c r="DE86" s="84"/>
      <c r="DF86" s="84"/>
      <c r="DG86" s="84"/>
      <c r="DH86" s="84"/>
      <c r="DI86" s="84"/>
      <c r="DJ86" s="84"/>
      <c r="DK86" s="84"/>
      <c r="DL86" s="84"/>
      <c r="DM86" s="84"/>
      <c r="DN86" s="84"/>
      <c r="DO86" s="84"/>
      <c r="DP86" s="84"/>
      <c r="DQ86" s="84"/>
      <c r="DR86" s="84"/>
      <c r="DS86" s="84"/>
      <c r="DT86" s="84"/>
      <c r="DU86" s="84"/>
      <c r="DV86" s="84"/>
      <c r="DW86" s="84"/>
      <c r="DX86" s="84"/>
      <c r="DY86" s="84"/>
      <c r="DZ86" s="84"/>
      <c r="EA86" s="84"/>
      <c r="EB86" s="84"/>
      <c r="EC86" s="84"/>
      <c r="ED86" s="84"/>
      <c r="EE86" s="84"/>
      <c r="EF86" s="84"/>
      <c r="EG86" s="84"/>
      <c r="EH86" s="84"/>
      <c r="EI86" s="84"/>
      <c r="EJ86" s="84"/>
      <c r="EK86" s="84"/>
      <c r="EL86" s="84"/>
      <c r="EM86" s="84"/>
      <c r="EN86" s="84"/>
      <c r="EO86" s="84"/>
      <c r="EP86" s="84"/>
      <c r="EQ86" s="84"/>
      <c r="ER86" s="84"/>
      <c r="ES86" s="84"/>
      <c r="ET86" s="84"/>
      <c r="EU86" s="84"/>
      <c r="EV86" s="84"/>
      <c r="EW86" s="84"/>
      <c r="EX86" s="84"/>
      <c r="EY86" s="84"/>
      <c r="EZ86" s="84"/>
      <c r="FA86" s="84"/>
      <c r="FB86" s="84"/>
      <c r="FC86" s="84"/>
      <c r="FD86" s="84"/>
      <c r="FE86" s="84"/>
      <c r="FF86" s="84"/>
      <c r="FG86" s="84"/>
      <c r="FH86" s="84"/>
      <c r="FI86" s="84"/>
      <c r="FJ86" s="84"/>
      <c r="FK86" s="84"/>
      <c r="FL86" s="84"/>
      <c r="FM86" s="84"/>
      <c r="FN86" s="84"/>
      <c r="FO86" s="84"/>
      <c r="FP86" s="84"/>
      <c r="FQ86" s="84"/>
      <c r="FR86" s="84"/>
      <c r="FS86" s="84"/>
      <c r="FT86" s="84"/>
      <c r="FU86" s="84"/>
      <c r="FV86" s="84"/>
      <c r="FW86" s="84"/>
      <c r="FX86" s="84"/>
      <c r="FY86" s="84"/>
      <c r="FZ86" s="84"/>
      <c r="GA86" s="84"/>
      <c r="GB86" s="84"/>
      <c r="GC86" s="84"/>
      <c r="GD86" s="84"/>
      <c r="GE86" s="84"/>
      <c r="GF86" s="84"/>
      <c r="GG86" s="84"/>
      <c r="GH86" s="84"/>
      <c r="GI86" s="84"/>
      <c r="GJ86" s="84"/>
      <c r="GK86" s="84"/>
      <c r="GL86" s="84"/>
      <c r="GM86" s="84"/>
      <c r="GN86" s="84"/>
      <c r="GO86" s="84"/>
      <c r="GP86" s="84"/>
      <c r="GQ86" s="84"/>
      <c r="GR86" s="84"/>
      <c r="GS86" s="84"/>
      <c r="GT86" s="84"/>
      <c r="GU86" s="84"/>
      <c r="GV86" s="84"/>
      <c r="GW86" s="84"/>
      <c r="GX86" s="84"/>
      <c r="GY86" s="84"/>
      <c r="GZ86" s="84"/>
      <c r="HA86" s="84"/>
      <c r="HB86" s="84"/>
      <c r="HC86" s="84"/>
      <c r="HD86" s="84"/>
      <c r="HE86" s="84"/>
      <c r="HF86" s="84"/>
      <c r="HG86" s="84"/>
      <c r="HH86" s="84"/>
      <c r="HI86" s="84"/>
      <c r="HJ86" s="84"/>
      <c r="HK86" s="84"/>
      <c r="HL86" s="84"/>
      <c r="HM86" s="84"/>
      <c r="HN86" s="84"/>
      <c r="HO86" s="84"/>
      <c r="HP86" s="84"/>
      <c r="HQ86" s="84"/>
      <c r="HR86" s="84"/>
      <c r="HS86" s="84"/>
      <c r="HT86" s="84"/>
      <c r="HU86" s="84"/>
      <c r="HV86" s="84"/>
      <c r="HW86" s="84"/>
      <c r="HX86" s="84"/>
      <c r="HY86" s="84"/>
      <c r="HZ86" s="84"/>
      <c r="IA86" s="84"/>
      <c r="IB86" s="84"/>
    </row>
    <row r="87" spans="1:236" ht="43.5" x14ac:dyDescent="0.35">
      <c r="A87" s="87"/>
      <c r="B87" s="96" t="s">
        <v>695</v>
      </c>
      <c r="C87" s="97" t="s">
        <v>1030</v>
      </c>
      <c r="D87" s="98"/>
      <c r="E87" s="99"/>
      <c r="F87" s="146" t="s">
        <v>949</v>
      </c>
      <c r="G87" s="83"/>
      <c r="H87" s="410"/>
      <c r="I87" s="411"/>
      <c r="J87" s="411"/>
      <c r="K87" s="411"/>
      <c r="L87" s="411"/>
      <c r="M87" s="411"/>
      <c r="N87" s="411"/>
      <c r="O87" s="411"/>
      <c r="P87" s="411"/>
      <c r="Q87" s="411"/>
      <c r="R87" s="411"/>
      <c r="S87" s="412"/>
      <c r="T87" s="88"/>
    </row>
    <row r="88" spans="1:236" ht="43.5" x14ac:dyDescent="0.35">
      <c r="A88" s="87"/>
      <c r="B88" s="101" t="s">
        <v>167</v>
      </c>
      <c r="C88" s="129" t="s">
        <v>549</v>
      </c>
      <c r="D88" s="102" t="s">
        <v>1031</v>
      </c>
      <c r="E88" s="103" t="s">
        <v>1032</v>
      </c>
      <c r="F88" s="104"/>
      <c r="G88" s="83"/>
      <c r="H88" s="410"/>
      <c r="I88" s="411"/>
      <c r="J88" s="411"/>
      <c r="K88" s="411"/>
      <c r="L88" s="411"/>
      <c r="M88" s="411"/>
      <c r="N88" s="411"/>
      <c r="O88" s="411"/>
      <c r="P88" s="411"/>
      <c r="Q88" s="411"/>
      <c r="R88" s="411"/>
      <c r="S88" s="412"/>
      <c r="T88" s="88"/>
    </row>
    <row r="89" spans="1:236" x14ac:dyDescent="0.35">
      <c r="A89" s="87"/>
      <c r="B89" s="96" t="s">
        <v>696</v>
      </c>
      <c r="C89" s="97" t="s">
        <v>1033</v>
      </c>
      <c r="D89" s="98"/>
      <c r="E89" s="99"/>
      <c r="F89" s="145"/>
      <c r="G89" s="83"/>
      <c r="H89" s="410"/>
      <c r="I89" s="411"/>
      <c r="J89" s="411"/>
      <c r="K89" s="411"/>
      <c r="L89" s="411"/>
      <c r="M89" s="411"/>
      <c r="N89" s="411"/>
      <c r="O89" s="411"/>
      <c r="P89" s="411"/>
      <c r="Q89" s="411"/>
      <c r="R89" s="411"/>
      <c r="S89" s="412"/>
      <c r="T89" s="88"/>
    </row>
    <row r="90" spans="1:236" ht="29" x14ac:dyDescent="0.35">
      <c r="A90" s="87"/>
      <c r="B90" s="101" t="s">
        <v>167</v>
      </c>
      <c r="C90" s="129" t="s">
        <v>549</v>
      </c>
      <c r="D90" s="102" t="s">
        <v>950</v>
      </c>
      <c r="E90" s="103" t="s">
        <v>963</v>
      </c>
      <c r="F90" s="104"/>
      <c r="G90" s="83"/>
      <c r="H90" s="410"/>
      <c r="I90" s="411"/>
      <c r="J90" s="411"/>
      <c r="K90" s="411"/>
      <c r="L90" s="411"/>
      <c r="M90" s="411"/>
      <c r="N90" s="411"/>
      <c r="O90" s="411"/>
      <c r="P90" s="411"/>
      <c r="Q90" s="411"/>
      <c r="R90" s="411"/>
      <c r="S90" s="412"/>
      <c r="T90" s="88"/>
    </row>
    <row r="91" spans="1:236" ht="29" x14ac:dyDescent="0.35">
      <c r="A91" s="87"/>
      <c r="B91" s="101" t="s">
        <v>167</v>
      </c>
      <c r="C91" s="129" t="s">
        <v>549</v>
      </c>
      <c r="D91" s="102" t="s">
        <v>952</v>
      </c>
      <c r="E91" s="103" t="s">
        <v>1034</v>
      </c>
      <c r="F91" s="104"/>
      <c r="G91" s="83"/>
      <c r="H91" s="410"/>
      <c r="I91" s="411"/>
      <c r="J91" s="411"/>
      <c r="K91" s="411"/>
      <c r="L91" s="411"/>
      <c r="M91" s="411"/>
      <c r="N91" s="411"/>
      <c r="O91" s="411"/>
      <c r="P91" s="411"/>
      <c r="Q91" s="411"/>
      <c r="R91" s="411"/>
      <c r="S91" s="412"/>
      <c r="T91" s="88"/>
    </row>
    <row r="92" spans="1:236" x14ac:dyDescent="0.35">
      <c r="A92" s="87"/>
      <c r="B92" s="101" t="s">
        <v>167</v>
      </c>
      <c r="C92" s="129" t="s">
        <v>549</v>
      </c>
      <c r="D92" s="102" t="s">
        <v>1035</v>
      </c>
      <c r="E92" s="103" t="s">
        <v>1036</v>
      </c>
      <c r="F92" s="104"/>
      <c r="G92" s="83"/>
      <c r="H92" s="410"/>
      <c r="I92" s="411"/>
      <c r="J92" s="411"/>
      <c r="K92" s="411"/>
      <c r="L92" s="411"/>
      <c r="M92" s="411"/>
      <c r="N92" s="411"/>
      <c r="O92" s="411"/>
      <c r="P92" s="411"/>
      <c r="Q92" s="411"/>
      <c r="R92" s="411"/>
      <c r="S92" s="412"/>
      <c r="T92" s="88"/>
    </row>
    <row r="93" spans="1:236" x14ac:dyDescent="0.35">
      <c r="A93" s="87"/>
      <c r="B93" s="101" t="s">
        <v>167</v>
      </c>
      <c r="C93" s="129" t="s">
        <v>549</v>
      </c>
      <c r="D93" s="102" t="s">
        <v>954</v>
      </c>
      <c r="E93" s="103" t="s">
        <v>955</v>
      </c>
      <c r="F93" s="104"/>
      <c r="G93" s="83"/>
      <c r="H93" s="410"/>
      <c r="I93" s="411"/>
      <c r="J93" s="411"/>
      <c r="K93" s="411"/>
      <c r="L93" s="411"/>
      <c r="M93" s="411"/>
      <c r="N93" s="411"/>
      <c r="O93" s="411"/>
      <c r="P93" s="411"/>
      <c r="Q93" s="411"/>
      <c r="R93" s="411"/>
      <c r="S93" s="412"/>
      <c r="T93" s="88"/>
    </row>
    <row r="94" spans="1:236" x14ac:dyDescent="0.35">
      <c r="A94" s="87"/>
      <c r="B94" s="101" t="s">
        <v>167</v>
      </c>
      <c r="C94" s="129" t="s">
        <v>549</v>
      </c>
      <c r="D94" s="102" t="s">
        <v>956</v>
      </c>
      <c r="E94" s="103" t="s">
        <v>957</v>
      </c>
      <c r="F94" s="104"/>
      <c r="G94" s="83"/>
      <c r="H94" s="410"/>
      <c r="I94" s="411"/>
      <c r="J94" s="411"/>
      <c r="K94" s="411"/>
      <c r="L94" s="411"/>
      <c r="M94" s="411"/>
      <c r="N94" s="411"/>
      <c r="O94" s="411"/>
      <c r="P94" s="411"/>
      <c r="Q94" s="411"/>
      <c r="R94" s="411"/>
      <c r="S94" s="412"/>
      <c r="T94" s="88"/>
    </row>
    <row r="95" spans="1:236" ht="43.5" x14ac:dyDescent="0.35">
      <c r="A95" s="87"/>
      <c r="B95" s="137" t="s">
        <v>697</v>
      </c>
      <c r="C95" s="138" t="s">
        <v>1037</v>
      </c>
      <c r="D95" s="139"/>
      <c r="E95" s="139"/>
      <c r="F95" s="146" t="s">
        <v>949</v>
      </c>
      <c r="G95" s="83"/>
      <c r="H95" s="410"/>
      <c r="I95" s="411"/>
      <c r="J95" s="411"/>
      <c r="K95" s="411"/>
      <c r="L95" s="411"/>
      <c r="M95" s="411"/>
      <c r="N95" s="411"/>
      <c r="O95" s="411"/>
      <c r="P95" s="411"/>
      <c r="Q95" s="411"/>
      <c r="R95" s="411"/>
      <c r="S95" s="412"/>
      <c r="T95" s="88"/>
    </row>
    <row r="96" spans="1:236" x14ac:dyDescent="0.35">
      <c r="A96" s="87"/>
      <c r="B96" s="101" t="s">
        <v>167</v>
      </c>
      <c r="C96" s="129" t="s">
        <v>549</v>
      </c>
      <c r="D96" s="102" t="s">
        <v>954</v>
      </c>
      <c r="E96" s="103" t="s">
        <v>955</v>
      </c>
      <c r="F96" s="104"/>
      <c r="G96" s="83"/>
      <c r="H96" s="410"/>
      <c r="I96" s="411"/>
      <c r="J96" s="411"/>
      <c r="K96" s="411"/>
      <c r="L96" s="411"/>
      <c r="M96" s="411"/>
      <c r="N96" s="411"/>
      <c r="O96" s="411"/>
      <c r="P96" s="411"/>
      <c r="Q96" s="411"/>
      <c r="R96" s="411"/>
      <c r="S96" s="412"/>
      <c r="T96" s="88"/>
    </row>
    <row r="97" spans="1:236" ht="29" x14ac:dyDescent="0.35">
      <c r="A97" s="87"/>
      <c r="B97" s="101" t="s">
        <v>167</v>
      </c>
      <c r="C97" s="147" t="s">
        <v>549</v>
      </c>
      <c r="D97" s="102" t="s">
        <v>1038</v>
      </c>
      <c r="E97" s="103" t="s">
        <v>1039</v>
      </c>
      <c r="F97" s="104"/>
      <c r="G97" s="83"/>
      <c r="H97" s="410"/>
      <c r="I97" s="411"/>
      <c r="J97" s="411"/>
      <c r="K97" s="411"/>
      <c r="L97" s="411"/>
      <c r="M97" s="411"/>
      <c r="N97" s="411"/>
      <c r="O97" s="411"/>
      <c r="P97" s="411"/>
      <c r="Q97" s="411"/>
      <c r="R97" s="411"/>
      <c r="S97" s="412"/>
      <c r="T97" s="88"/>
    </row>
    <row r="98" spans="1:236" ht="29" x14ac:dyDescent="0.35">
      <c r="A98" s="87"/>
      <c r="B98" s="101" t="s">
        <v>167</v>
      </c>
      <c r="C98" s="147" t="s">
        <v>549</v>
      </c>
      <c r="D98" s="102" t="s">
        <v>1040</v>
      </c>
      <c r="E98" s="103" t="s">
        <v>1041</v>
      </c>
      <c r="F98" s="104"/>
      <c r="G98" s="83"/>
      <c r="H98" s="410"/>
      <c r="I98" s="411"/>
      <c r="J98" s="411"/>
      <c r="K98" s="411"/>
      <c r="L98" s="411"/>
      <c r="M98" s="411"/>
      <c r="N98" s="411"/>
      <c r="O98" s="411"/>
      <c r="P98" s="411"/>
      <c r="Q98" s="411"/>
      <c r="R98" s="411"/>
      <c r="S98" s="412"/>
      <c r="T98" s="88"/>
    </row>
    <row r="99" spans="1:236" ht="29" x14ac:dyDescent="0.35">
      <c r="A99" s="87"/>
      <c r="B99" s="101" t="s">
        <v>167</v>
      </c>
      <c r="C99" s="129" t="s">
        <v>549</v>
      </c>
      <c r="D99" s="102" t="s">
        <v>1042</v>
      </c>
      <c r="E99" s="103" t="s">
        <v>1043</v>
      </c>
      <c r="F99" s="104"/>
      <c r="G99" s="83"/>
      <c r="H99" s="410"/>
      <c r="I99" s="411"/>
      <c r="J99" s="411"/>
      <c r="K99" s="411"/>
      <c r="L99" s="411"/>
      <c r="M99" s="411"/>
      <c r="N99" s="411"/>
      <c r="O99" s="411"/>
      <c r="P99" s="411"/>
      <c r="Q99" s="411"/>
      <c r="R99" s="411"/>
      <c r="S99" s="412"/>
      <c r="T99" s="88"/>
    </row>
    <row r="100" spans="1:236" x14ac:dyDescent="0.35">
      <c r="A100" s="87"/>
      <c r="B100" s="101" t="s">
        <v>167</v>
      </c>
      <c r="C100" s="129" t="s">
        <v>549</v>
      </c>
      <c r="D100" s="140" t="s">
        <v>1044</v>
      </c>
      <c r="E100" s="103"/>
      <c r="F100" s="104"/>
      <c r="G100" s="83"/>
      <c r="H100" s="410"/>
      <c r="I100" s="411"/>
      <c r="J100" s="411"/>
      <c r="K100" s="411"/>
      <c r="L100" s="411"/>
      <c r="M100" s="411"/>
      <c r="N100" s="411"/>
      <c r="O100" s="411"/>
      <c r="P100" s="411"/>
      <c r="Q100" s="411"/>
      <c r="R100" s="411"/>
      <c r="S100" s="412"/>
      <c r="T100" s="88"/>
    </row>
    <row r="101" spans="1:236" ht="15.5" x14ac:dyDescent="0.35">
      <c r="A101" s="87"/>
      <c r="B101" s="126" t="s">
        <v>709</v>
      </c>
      <c r="C101" s="428" t="s">
        <v>1045</v>
      </c>
      <c r="D101" s="429"/>
      <c r="E101" s="429"/>
      <c r="F101" s="430"/>
      <c r="G101" s="83"/>
      <c r="H101" s="410"/>
      <c r="I101" s="411"/>
      <c r="J101" s="411"/>
      <c r="K101" s="411"/>
      <c r="L101" s="411"/>
      <c r="M101" s="411"/>
      <c r="N101" s="411"/>
      <c r="O101" s="411"/>
      <c r="P101" s="411"/>
      <c r="Q101" s="411"/>
      <c r="R101" s="411"/>
      <c r="S101" s="412"/>
      <c r="T101" s="88"/>
    </row>
    <row r="102" spans="1:236" x14ac:dyDescent="0.35">
      <c r="A102" s="87"/>
      <c r="B102" s="95" t="s">
        <v>545</v>
      </c>
      <c r="C102" s="416" t="s">
        <v>1046</v>
      </c>
      <c r="D102" s="417"/>
      <c r="E102" s="417"/>
      <c r="F102" s="418"/>
      <c r="G102" s="83"/>
      <c r="H102" s="410"/>
      <c r="I102" s="411"/>
      <c r="J102" s="411"/>
      <c r="K102" s="411"/>
      <c r="L102" s="411"/>
      <c r="M102" s="411"/>
      <c r="N102" s="411"/>
      <c r="O102" s="411"/>
      <c r="P102" s="411"/>
      <c r="Q102" s="411"/>
      <c r="R102" s="411"/>
      <c r="S102" s="412"/>
      <c r="T102" s="88"/>
    </row>
    <row r="103" spans="1:236" s="136" customFormat="1" ht="29" x14ac:dyDescent="0.35">
      <c r="A103" s="87"/>
      <c r="B103" s="137" t="s">
        <v>711</v>
      </c>
      <c r="C103" s="138" t="s">
        <v>944</v>
      </c>
      <c r="D103" s="139"/>
      <c r="E103" s="139"/>
      <c r="F103" s="146"/>
      <c r="G103" s="83"/>
      <c r="H103" s="410"/>
      <c r="I103" s="411"/>
      <c r="J103" s="411"/>
      <c r="K103" s="411"/>
      <c r="L103" s="411"/>
      <c r="M103" s="411"/>
      <c r="N103" s="411"/>
      <c r="O103" s="411"/>
      <c r="P103" s="411"/>
      <c r="Q103" s="411"/>
      <c r="R103" s="411"/>
      <c r="S103" s="412"/>
      <c r="T103" s="88"/>
      <c r="U103" s="84"/>
      <c r="V103" s="84"/>
      <c r="W103" s="84"/>
      <c r="X103" s="84"/>
      <c r="Y103" s="84"/>
      <c r="Z103" s="84"/>
      <c r="AA103" s="84"/>
      <c r="AB103" s="84"/>
      <c r="AC103" s="84"/>
      <c r="AD103" s="84"/>
      <c r="AE103" s="84"/>
      <c r="AF103" s="84"/>
      <c r="AG103" s="84"/>
      <c r="AH103" s="84"/>
      <c r="AI103" s="84"/>
      <c r="AJ103" s="84"/>
      <c r="AK103" s="84"/>
      <c r="AL103" s="84"/>
      <c r="AM103" s="84"/>
      <c r="AN103" s="84"/>
      <c r="AO103" s="84"/>
      <c r="AP103" s="84"/>
      <c r="AQ103" s="84"/>
      <c r="AR103" s="84"/>
      <c r="AS103" s="84"/>
      <c r="AT103" s="84"/>
      <c r="AU103" s="84"/>
      <c r="AV103" s="84"/>
      <c r="AW103" s="84"/>
      <c r="AX103" s="84"/>
      <c r="AY103" s="84"/>
      <c r="AZ103" s="84"/>
      <c r="BA103" s="84"/>
      <c r="BB103" s="84"/>
      <c r="BC103" s="84"/>
      <c r="BD103" s="84"/>
      <c r="BE103" s="84"/>
      <c r="BF103" s="84"/>
      <c r="BG103" s="84"/>
      <c r="BH103" s="84"/>
      <c r="BI103" s="84"/>
      <c r="BJ103" s="84"/>
      <c r="BK103" s="84"/>
      <c r="BL103" s="84"/>
      <c r="BM103" s="84"/>
      <c r="BN103" s="84"/>
      <c r="BO103" s="84"/>
      <c r="BP103" s="84"/>
      <c r="BQ103" s="84"/>
      <c r="BR103" s="84"/>
      <c r="BS103" s="84"/>
      <c r="BT103" s="84"/>
      <c r="BU103" s="84"/>
      <c r="BV103" s="84"/>
      <c r="BW103" s="84"/>
      <c r="BX103" s="84"/>
      <c r="BY103" s="84"/>
      <c r="BZ103" s="84"/>
      <c r="CA103" s="84"/>
      <c r="CB103" s="84"/>
      <c r="CC103" s="84"/>
      <c r="CD103" s="84"/>
      <c r="CE103" s="84"/>
      <c r="CF103" s="84"/>
      <c r="CG103" s="84"/>
      <c r="CH103" s="84"/>
      <c r="CI103" s="84"/>
      <c r="CJ103" s="84"/>
      <c r="CK103" s="84"/>
      <c r="CL103" s="84"/>
      <c r="CM103" s="84"/>
      <c r="CN103" s="84"/>
      <c r="CO103" s="84"/>
      <c r="CP103" s="84"/>
      <c r="CQ103" s="84"/>
      <c r="CR103" s="84"/>
      <c r="CS103" s="84"/>
      <c r="CT103" s="84"/>
      <c r="CU103" s="84"/>
      <c r="CV103" s="84"/>
      <c r="CW103" s="84"/>
      <c r="CX103" s="84"/>
      <c r="CY103" s="84"/>
      <c r="CZ103" s="84"/>
      <c r="DA103" s="84"/>
      <c r="DB103" s="84"/>
      <c r="DC103" s="84"/>
      <c r="DD103" s="84"/>
      <c r="DE103" s="84"/>
      <c r="DF103" s="84"/>
      <c r="DG103" s="84"/>
      <c r="DH103" s="84"/>
      <c r="DI103" s="84"/>
      <c r="DJ103" s="84"/>
      <c r="DK103" s="84"/>
      <c r="DL103" s="84"/>
      <c r="DM103" s="84"/>
      <c r="DN103" s="84"/>
      <c r="DO103" s="84"/>
      <c r="DP103" s="84"/>
      <c r="DQ103" s="84"/>
      <c r="DR103" s="84"/>
      <c r="DS103" s="84"/>
      <c r="DT103" s="84"/>
      <c r="DU103" s="84"/>
      <c r="DV103" s="84"/>
      <c r="DW103" s="84"/>
      <c r="DX103" s="84"/>
      <c r="DY103" s="84"/>
      <c r="DZ103" s="84"/>
      <c r="EA103" s="84"/>
      <c r="EB103" s="84"/>
      <c r="EC103" s="84"/>
      <c r="ED103" s="84"/>
      <c r="EE103" s="84"/>
      <c r="EF103" s="84"/>
      <c r="EG103" s="84"/>
      <c r="EH103" s="84"/>
      <c r="EI103" s="84"/>
      <c r="EJ103" s="84"/>
      <c r="EK103" s="84"/>
      <c r="EL103" s="84"/>
      <c r="EM103" s="84"/>
      <c r="EN103" s="84"/>
      <c r="EO103" s="84"/>
      <c r="EP103" s="84"/>
      <c r="EQ103" s="84"/>
      <c r="ER103" s="84"/>
      <c r="ES103" s="84"/>
      <c r="ET103" s="84"/>
      <c r="EU103" s="84"/>
      <c r="EV103" s="84"/>
      <c r="EW103" s="84"/>
      <c r="EX103" s="84"/>
      <c r="EY103" s="84"/>
      <c r="EZ103" s="84"/>
      <c r="FA103" s="84"/>
      <c r="FB103" s="84"/>
      <c r="FC103" s="84"/>
      <c r="FD103" s="84"/>
      <c r="FE103" s="84"/>
      <c r="FF103" s="84"/>
      <c r="FG103" s="84"/>
      <c r="FH103" s="84"/>
      <c r="FI103" s="84"/>
      <c r="FJ103" s="84"/>
      <c r="FK103" s="84"/>
      <c r="FL103" s="84"/>
      <c r="FM103" s="84"/>
      <c r="FN103" s="84"/>
      <c r="FO103" s="84"/>
      <c r="FP103" s="84"/>
      <c r="FQ103" s="84"/>
      <c r="FR103" s="84"/>
      <c r="FS103" s="84"/>
      <c r="FT103" s="84"/>
      <c r="FU103" s="84"/>
      <c r="FV103" s="84"/>
      <c r="FW103" s="84"/>
      <c r="FX103" s="84"/>
      <c r="FY103" s="84"/>
      <c r="FZ103" s="84"/>
      <c r="GA103" s="84"/>
      <c r="GB103" s="84"/>
      <c r="GC103" s="84"/>
      <c r="GD103" s="84"/>
      <c r="GE103" s="84"/>
      <c r="GF103" s="84"/>
      <c r="GG103" s="84"/>
      <c r="GH103" s="84"/>
      <c r="GI103" s="84"/>
      <c r="GJ103" s="84"/>
      <c r="GK103" s="84"/>
      <c r="GL103" s="84"/>
      <c r="GM103" s="84"/>
      <c r="GN103" s="84"/>
      <c r="GO103" s="84"/>
      <c r="GP103" s="84"/>
      <c r="GQ103" s="84"/>
      <c r="GR103" s="84"/>
      <c r="GS103" s="84"/>
      <c r="GT103" s="84"/>
      <c r="GU103" s="84"/>
      <c r="GV103" s="84"/>
      <c r="GW103" s="84"/>
      <c r="GX103" s="84"/>
      <c r="GY103" s="84"/>
      <c r="GZ103" s="84"/>
      <c r="HA103" s="84"/>
      <c r="HB103" s="84"/>
      <c r="HC103" s="84"/>
      <c r="HD103" s="84"/>
      <c r="HE103" s="84"/>
      <c r="HF103" s="84"/>
      <c r="HG103" s="84"/>
      <c r="HH103" s="84"/>
      <c r="HI103" s="84"/>
      <c r="HJ103" s="84"/>
      <c r="HK103" s="84"/>
      <c r="HL103" s="84"/>
      <c r="HM103" s="84"/>
      <c r="HN103" s="84"/>
      <c r="HO103" s="84"/>
      <c r="HP103" s="84"/>
      <c r="HQ103" s="84"/>
      <c r="HR103" s="84"/>
      <c r="HS103" s="84"/>
      <c r="HT103" s="84"/>
      <c r="HU103" s="84"/>
      <c r="HV103" s="84"/>
      <c r="HW103" s="84"/>
      <c r="HX103" s="84"/>
      <c r="HY103" s="84"/>
      <c r="HZ103" s="84"/>
      <c r="IA103" s="84"/>
      <c r="IB103" s="84"/>
    </row>
    <row r="104" spans="1:236" s="136" customFormat="1" ht="29" x14ac:dyDescent="0.35">
      <c r="A104" s="87"/>
      <c r="B104" s="101" t="s">
        <v>167</v>
      </c>
      <c r="C104" s="129" t="s">
        <v>549</v>
      </c>
      <c r="D104" s="102" t="s">
        <v>950</v>
      </c>
      <c r="E104" s="103" t="s">
        <v>963</v>
      </c>
      <c r="F104" s="104"/>
      <c r="G104" s="83"/>
      <c r="H104" s="410"/>
      <c r="I104" s="411"/>
      <c r="J104" s="411"/>
      <c r="K104" s="411"/>
      <c r="L104" s="411"/>
      <c r="M104" s="411"/>
      <c r="N104" s="411"/>
      <c r="O104" s="411"/>
      <c r="P104" s="411"/>
      <c r="Q104" s="411"/>
      <c r="R104" s="411"/>
      <c r="S104" s="412"/>
      <c r="T104" s="88"/>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c r="AS104" s="84"/>
      <c r="AT104" s="84"/>
      <c r="AU104" s="84"/>
      <c r="AV104" s="84"/>
      <c r="AW104" s="84"/>
      <c r="AX104" s="84"/>
      <c r="AY104" s="84"/>
      <c r="AZ104" s="84"/>
      <c r="BA104" s="84"/>
      <c r="BB104" s="84"/>
      <c r="BC104" s="84"/>
      <c r="BD104" s="84"/>
      <c r="BE104" s="84"/>
      <c r="BF104" s="84"/>
      <c r="BG104" s="84"/>
      <c r="BH104" s="84"/>
      <c r="BI104" s="84"/>
      <c r="BJ104" s="84"/>
      <c r="BK104" s="84"/>
      <c r="BL104" s="84"/>
      <c r="BM104" s="84"/>
      <c r="BN104" s="84"/>
      <c r="BO104" s="84"/>
      <c r="BP104" s="84"/>
      <c r="BQ104" s="84"/>
      <c r="BR104" s="84"/>
      <c r="BS104" s="84"/>
      <c r="BT104" s="84"/>
      <c r="BU104" s="84"/>
      <c r="BV104" s="84"/>
      <c r="BW104" s="84"/>
      <c r="BX104" s="84"/>
      <c r="BY104" s="84"/>
      <c r="BZ104" s="84"/>
      <c r="CA104" s="84"/>
      <c r="CB104" s="84"/>
      <c r="CC104" s="84"/>
      <c r="CD104" s="84"/>
      <c r="CE104" s="84"/>
      <c r="CF104" s="84"/>
      <c r="CG104" s="84"/>
      <c r="CH104" s="84"/>
      <c r="CI104" s="84"/>
      <c r="CJ104" s="84"/>
      <c r="CK104" s="84"/>
      <c r="CL104" s="84"/>
      <c r="CM104" s="84"/>
      <c r="CN104" s="84"/>
      <c r="CO104" s="84"/>
      <c r="CP104" s="84"/>
      <c r="CQ104" s="84"/>
      <c r="CR104" s="84"/>
      <c r="CS104" s="84"/>
      <c r="CT104" s="84"/>
      <c r="CU104" s="84"/>
      <c r="CV104" s="84"/>
      <c r="CW104" s="84"/>
      <c r="CX104" s="84"/>
      <c r="CY104" s="84"/>
      <c r="CZ104" s="84"/>
      <c r="DA104" s="84"/>
      <c r="DB104" s="84"/>
      <c r="DC104" s="84"/>
      <c r="DD104" s="84"/>
      <c r="DE104" s="84"/>
      <c r="DF104" s="84"/>
      <c r="DG104" s="84"/>
      <c r="DH104" s="84"/>
      <c r="DI104" s="84"/>
      <c r="DJ104" s="84"/>
      <c r="DK104" s="84"/>
      <c r="DL104" s="84"/>
      <c r="DM104" s="84"/>
      <c r="DN104" s="84"/>
      <c r="DO104" s="84"/>
      <c r="DP104" s="84"/>
      <c r="DQ104" s="84"/>
      <c r="DR104" s="84"/>
      <c r="DS104" s="84"/>
      <c r="DT104" s="84"/>
      <c r="DU104" s="84"/>
      <c r="DV104" s="84"/>
      <c r="DW104" s="84"/>
      <c r="DX104" s="84"/>
      <c r="DY104" s="84"/>
      <c r="DZ104" s="84"/>
      <c r="EA104" s="84"/>
      <c r="EB104" s="84"/>
      <c r="EC104" s="84"/>
      <c r="ED104" s="84"/>
      <c r="EE104" s="84"/>
      <c r="EF104" s="84"/>
      <c r="EG104" s="84"/>
      <c r="EH104" s="84"/>
      <c r="EI104" s="84"/>
      <c r="EJ104" s="84"/>
      <c r="EK104" s="84"/>
      <c r="EL104" s="84"/>
      <c r="EM104" s="84"/>
      <c r="EN104" s="84"/>
      <c r="EO104" s="84"/>
      <c r="EP104" s="84"/>
      <c r="EQ104" s="84"/>
      <c r="ER104" s="84"/>
      <c r="ES104" s="84"/>
      <c r="ET104" s="84"/>
      <c r="EU104" s="84"/>
      <c r="EV104" s="84"/>
      <c r="EW104" s="84"/>
      <c r="EX104" s="84"/>
      <c r="EY104" s="84"/>
      <c r="EZ104" s="84"/>
      <c r="FA104" s="84"/>
      <c r="FB104" s="84"/>
      <c r="FC104" s="84"/>
      <c r="FD104" s="84"/>
      <c r="FE104" s="84"/>
      <c r="FF104" s="84"/>
      <c r="FG104" s="84"/>
      <c r="FH104" s="84"/>
      <c r="FI104" s="84"/>
      <c r="FJ104" s="84"/>
      <c r="FK104" s="84"/>
      <c r="FL104" s="84"/>
      <c r="FM104" s="84"/>
      <c r="FN104" s="84"/>
      <c r="FO104" s="84"/>
      <c r="FP104" s="84"/>
      <c r="FQ104" s="84"/>
      <c r="FR104" s="84"/>
      <c r="FS104" s="84"/>
      <c r="FT104" s="84"/>
      <c r="FU104" s="84"/>
      <c r="FV104" s="84"/>
      <c r="FW104" s="84"/>
      <c r="FX104" s="84"/>
      <c r="FY104" s="84"/>
      <c r="FZ104" s="84"/>
      <c r="GA104" s="84"/>
      <c r="GB104" s="84"/>
      <c r="GC104" s="84"/>
      <c r="GD104" s="84"/>
      <c r="GE104" s="84"/>
      <c r="GF104" s="84"/>
      <c r="GG104" s="84"/>
      <c r="GH104" s="84"/>
      <c r="GI104" s="84"/>
      <c r="GJ104" s="84"/>
      <c r="GK104" s="84"/>
      <c r="GL104" s="84"/>
      <c r="GM104" s="84"/>
      <c r="GN104" s="84"/>
      <c r="GO104" s="84"/>
      <c r="GP104" s="84"/>
      <c r="GQ104" s="84"/>
      <c r="GR104" s="84"/>
      <c r="GS104" s="84"/>
      <c r="GT104" s="84"/>
      <c r="GU104" s="84"/>
      <c r="GV104" s="84"/>
      <c r="GW104" s="84"/>
      <c r="GX104" s="84"/>
      <c r="GY104" s="84"/>
      <c r="GZ104" s="84"/>
      <c r="HA104" s="84"/>
      <c r="HB104" s="84"/>
      <c r="HC104" s="84"/>
      <c r="HD104" s="84"/>
      <c r="HE104" s="84"/>
      <c r="HF104" s="84"/>
      <c r="HG104" s="84"/>
      <c r="HH104" s="84"/>
      <c r="HI104" s="84"/>
      <c r="HJ104" s="84"/>
      <c r="HK104" s="84"/>
      <c r="HL104" s="84"/>
      <c r="HM104" s="84"/>
      <c r="HN104" s="84"/>
      <c r="HO104" s="84"/>
      <c r="HP104" s="84"/>
      <c r="HQ104" s="84"/>
      <c r="HR104" s="84"/>
      <c r="HS104" s="84"/>
      <c r="HT104" s="84"/>
      <c r="HU104" s="84"/>
      <c r="HV104" s="84"/>
      <c r="HW104" s="84"/>
      <c r="HX104" s="84"/>
      <c r="HY104" s="84"/>
      <c r="HZ104" s="84"/>
      <c r="IA104" s="84"/>
      <c r="IB104" s="84"/>
    </row>
    <row r="105" spans="1:236" s="136" customFormat="1" ht="29" x14ac:dyDescent="0.35">
      <c r="A105" s="87"/>
      <c r="B105" s="101" t="s">
        <v>167</v>
      </c>
      <c r="C105" s="129" t="s">
        <v>549</v>
      </c>
      <c r="D105" s="102" t="s">
        <v>952</v>
      </c>
      <c r="E105" s="103" t="s">
        <v>1034</v>
      </c>
      <c r="F105" s="104"/>
      <c r="G105" s="83"/>
      <c r="H105" s="410"/>
      <c r="I105" s="411"/>
      <c r="J105" s="411"/>
      <c r="K105" s="411"/>
      <c r="L105" s="411"/>
      <c r="M105" s="411"/>
      <c r="N105" s="411"/>
      <c r="O105" s="411"/>
      <c r="P105" s="411"/>
      <c r="Q105" s="411"/>
      <c r="R105" s="411"/>
      <c r="S105" s="412"/>
      <c r="T105" s="88"/>
      <c r="U105" s="84"/>
      <c r="V105" s="84"/>
      <c r="W105" s="84"/>
      <c r="X105" s="84"/>
      <c r="Y105" s="84"/>
      <c r="Z105" s="84"/>
      <c r="AA105" s="84"/>
      <c r="AB105" s="84"/>
      <c r="AC105" s="84"/>
      <c r="AD105" s="84"/>
      <c r="AE105" s="84"/>
      <c r="AF105" s="84"/>
      <c r="AG105" s="84"/>
      <c r="AH105" s="84"/>
      <c r="AI105" s="84"/>
      <c r="AJ105" s="84"/>
      <c r="AK105" s="84"/>
      <c r="AL105" s="84"/>
      <c r="AM105" s="84"/>
      <c r="AN105" s="84"/>
      <c r="AO105" s="84"/>
      <c r="AP105" s="84"/>
      <c r="AQ105" s="84"/>
      <c r="AR105" s="84"/>
      <c r="AS105" s="84"/>
      <c r="AT105" s="84"/>
      <c r="AU105" s="84"/>
      <c r="AV105" s="84"/>
      <c r="AW105" s="84"/>
      <c r="AX105" s="84"/>
      <c r="AY105" s="84"/>
      <c r="AZ105" s="84"/>
      <c r="BA105" s="84"/>
      <c r="BB105" s="84"/>
      <c r="BC105" s="84"/>
      <c r="BD105" s="84"/>
      <c r="BE105" s="84"/>
      <c r="BF105" s="84"/>
      <c r="BG105" s="84"/>
      <c r="BH105" s="84"/>
      <c r="BI105" s="84"/>
      <c r="BJ105" s="84"/>
      <c r="BK105" s="84"/>
      <c r="BL105" s="84"/>
      <c r="BM105" s="84"/>
      <c r="BN105" s="84"/>
      <c r="BO105" s="84"/>
      <c r="BP105" s="84"/>
      <c r="BQ105" s="84"/>
      <c r="BR105" s="84"/>
      <c r="BS105" s="84"/>
      <c r="BT105" s="84"/>
      <c r="BU105" s="84"/>
      <c r="BV105" s="84"/>
      <c r="BW105" s="84"/>
      <c r="BX105" s="84"/>
      <c r="BY105" s="84"/>
      <c r="BZ105" s="84"/>
      <c r="CA105" s="84"/>
      <c r="CB105" s="84"/>
      <c r="CC105" s="84"/>
      <c r="CD105" s="84"/>
      <c r="CE105" s="84"/>
      <c r="CF105" s="84"/>
      <c r="CG105" s="84"/>
      <c r="CH105" s="84"/>
      <c r="CI105" s="84"/>
      <c r="CJ105" s="84"/>
      <c r="CK105" s="84"/>
      <c r="CL105" s="84"/>
      <c r="CM105" s="84"/>
      <c r="CN105" s="84"/>
      <c r="CO105" s="84"/>
      <c r="CP105" s="84"/>
      <c r="CQ105" s="84"/>
      <c r="CR105" s="84"/>
      <c r="CS105" s="84"/>
      <c r="CT105" s="84"/>
      <c r="CU105" s="84"/>
      <c r="CV105" s="84"/>
      <c r="CW105" s="84"/>
      <c r="CX105" s="84"/>
      <c r="CY105" s="84"/>
      <c r="CZ105" s="84"/>
      <c r="DA105" s="84"/>
      <c r="DB105" s="84"/>
      <c r="DC105" s="84"/>
      <c r="DD105" s="84"/>
      <c r="DE105" s="84"/>
      <c r="DF105" s="84"/>
      <c r="DG105" s="84"/>
      <c r="DH105" s="84"/>
      <c r="DI105" s="84"/>
      <c r="DJ105" s="84"/>
      <c r="DK105" s="84"/>
      <c r="DL105" s="84"/>
      <c r="DM105" s="84"/>
      <c r="DN105" s="84"/>
      <c r="DO105" s="84"/>
      <c r="DP105" s="84"/>
      <c r="DQ105" s="84"/>
      <c r="DR105" s="84"/>
      <c r="DS105" s="84"/>
      <c r="DT105" s="84"/>
      <c r="DU105" s="84"/>
      <c r="DV105" s="84"/>
      <c r="DW105" s="84"/>
      <c r="DX105" s="84"/>
      <c r="DY105" s="84"/>
      <c r="DZ105" s="84"/>
      <c r="EA105" s="84"/>
      <c r="EB105" s="84"/>
      <c r="EC105" s="84"/>
      <c r="ED105" s="84"/>
      <c r="EE105" s="84"/>
      <c r="EF105" s="84"/>
      <c r="EG105" s="84"/>
      <c r="EH105" s="84"/>
      <c r="EI105" s="84"/>
      <c r="EJ105" s="84"/>
      <c r="EK105" s="84"/>
      <c r="EL105" s="84"/>
      <c r="EM105" s="84"/>
      <c r="EN105" s="84"/>
      <c r="EO105" s="84"/>
      <c r="EP105" s="84"/>
      <c r="EQ105" s="84"/>
      <c r="ER105" s="84"/>
      <c r="ES105" s="84"/>
      <c r="ET105" s="84"/>
      <c r="EU105" s="84"/>
      <c r="EV105" s="84"/>
      <c r="EW105" s="84"/>
      <c r="EX105" s="84"/>
      <c r="EY105" s="84"/>
      <c r="EZ105" s="84"/>
      <c r="FA105" s="84"/>
      <c r="FB105" s="84"/>
      <c r="FC105" s="84"/>
      <c r="FD105" s="84"/>
      <c r="FE105" s="84"/>
      <c r="FF105" s="84"/>
      <c r="FG105" s="84"/>
      <c r="FH105" s="84"/>
      <c r="FI105" s="84"/>
      <c r="FJ105" s="84"/>
      <c r="FK105" s="84"/>
      <c r="FL105" s="84"/>
      <c r="FM105" s="84"/>
      <c r="FN105" s="84"/>
      <c r="FO105" s="84"/>
      <c r="FP105" s="84"/>
      <c r="FQ105" s="84"/>
      <c r="FR105" s="84"/>
      <c r="FS105" s="84"/>
      <c r="FT105" s="84"/>
      <c r="FU105" s="84"/>
      <c r="FV105" s="84"/>
      <c r="FW105" s="84"/>
      <c r="FX105" s="84"/>
      <c r="FY105" s="84"/>
      <c r="FZ105" s="84"/>
      <c r="GA105" s="84"/>
      <c r="GB105" s="84"/>
      <c r="GC105" s="84"/>
      <c r="GD105" s="84"/>
      <c r="GE105" s="84"/>
      <c r="GF105" s="84"/>
      <c r="GG105" s="84"/>
      <c r="GH105" s="84"/>
      <c r="GI105" s="84"/>
      <c r="GJ105" s="84"/>
      <c r="GK105" s="84"/>
      <c r="GL105" s="84"/>
      <c r="GM105" s="84"/>
      <c r="GN105" s="84"/>
      <c r="GO105" s="84"/>
      <c r="GP105" s="84"/>
      <c r="GQ105" s="84"/>
      <c r="GR105" s="84"/>
      <c r="GS105" s="84"/>
      <c r="GT105" s="84"/>
      <c r="GU105" s="84"/>
      <c r="GV105" s="84"/>
      <c r="GW105" s="84"/>
      <c r="GX105" s="84"/>
      <c r="GY105" s="84"/>
      <c r="GZ105" s="84"/>
      <c r="HA105" s="84"/>
      <c r="HB105" s="84"/>
      <c r="HC105" s="84"/>
      <c r="HD105" s="84"/>
      <c r="HE105" s="84"/>
      <c r="HF105" s="84"/>
      <c r="HG105" s="84"/>
      <c r="HH105" s="84"/>
      <c r="HI105" s="84"/>
      <c r="HJ105" s="84"/>
      <c r="HK105" s="84"/>
      <c r="HL105" s="84"/>
      <c r="HM105" s="84"/>
      <c r="HN105" s="84"/>
      <c r="HO105" s="84"/>
      <c r="HP105" s="84"/>
      <c r="HQ105" s="84"/>
      <c r="HR105" s="84"/>
      <c r="HS105" s="84"/>
      <c r="HT105" s="84"/>
      <c r="HU105" s="84"/>
      <c r="HV105" s="84"/>
      <c r="HW105" s="84"/>
      <c r="HX105" s="84"/>
      <c r="HY105" s="84"/>
      <c r="HZ105" s="84"/>
      <c r="IA105" s="84"/>
      <c r="IB105" s="84"/>
    </row>
    <row r="106" spans="1:236" s="136" customFormat="1" x14ac:dyDescent="0.35">
      <c r="A106" s="87"/>
      <c r="B106" s="101" t="s">
        <v>167</v>
      </c>
      <c r="C106" s="129" t="s">
        <v>549</v>
      </c>
      <c r="D106" s="102" t="s">
        <v>1035</v>
      </c>
      <c r="E106" s="103" t="s">
        <v>1036</v>
      </c>
      <c r="F106" s="104"/>
      <c r="G106" s="83"/>
      <c r="H106" s="410"/>
      <c r="I106" s="411"/>
      <c r="J106" s="411"/>
      <c r="K106" s="411"/>
      <c r="L106" s="411"/>
      <c r="M106" s="411"/>
      <c r="N106" s="411"/>
      <c r="O106" s="411"/>
      <c r="P106" s="411"/>
      <c r="Q106" s="411"/>
      <c r="R106" s="411"/>
      <c r="S106" s="412"/>
      <c r="T106" s="88"/>
      <c r="U106" s="84"/>
      <c r="V106" s="84"/>
      <c r="W106" s="84"/>
      <c r="X106" s="84"/>
      <c r="Y106" s="84"/>
      <c r="Z106" s="84"/>
      <c r="AA106" s="84"/>
      <c r="AB106" s="84"/>
      <c r="AC106" s="84"/>
      <c r="AD106" s="84"/>
      <c r="AE106" s="84"/>
      <c r="AF106" s="84"/>
      <c r="AG106" s="84"/>
      <c r="AH106" s="84"/>
      <c r="AI106" s="84"/>
      <c r="AJ106" s="84"/>
      <c r="AK106" s="84"/>
      <c r="AL106" s="84"/>
      <c r="AM106" s="84"/>
      <c r="AN106" s="84"/>
      <c r="AO106" s="84"/>
      <c r="AP106" s="84"/>
      <c r="AQ106" s="84"/>
      <c r="AR106" s="84"/>
      <c r="AS106" s="84"/>
      <c r="AT106" s="84"/>
      <c r="AU106" s="84"/>
      <c r="AV106" s="84"/>
      <c r="AW106" s="84"/>
      <c r="AX106" s="84"/>
      <c r="AY106" s="84"/>
      <c r="AZ106" s="84"/>
      <c r="BA106" s="84"/>
      <c r="BB106" s="84"/>
      <c r="BC106" s="84"/>
      <c r="BD106" s="84"/>
      <c r="BE106" s="84"/>
      <c r="BF106" s="84"/>
      <c r="BG106" s="84"/>
      <c r="BH106" s="84"/>
      <c r="BI106" s="84"/>
      <c r="BJ106" s="84"/>
      <c r="BK106" s="84"/>
      <c r="BL106" s="84"/>
      <c r="BM106" s="84"/>
      <c r="BN106" s="84"/>
      <c r="BO106" s="84"/>
      <c r="BP106" s="84"/>
      <c r="BQ106" s="84"/>
      <c r="BR106" s="84"/>
      <c r="BS106" s="84"/>
      <c r="BT106" s="84"/>
      <c r="BU106" s="84"/>
      <c r="BV106" s="84"/>
      <c r="BW106" s="84"/>
      <c r="BX106" s="84"/>
      <c r="BY106" s="84"/>
      <c r="BZ106" s="84"/>
      <c r="CA106" s="84"/>
      <c r="CB106" s="84"/>
      <c r="CC106" s="84"/>
      <c r="CD106" s="84"/>
      <c r="CE106" s="84"/>
      <c r="CF106" s="84"/>
      <c r="CG106" s="84"/>
      <c r="CH106" s="84"/>
      <c r="CI106" s="84"/>
      <c r="CJ106" s="84"/>
      <c r="CK106" s="84"/>
      <c r="CL106" s="84"/>
      <c r="CM106" s="84"/>
      <c r="CN106" s="84"/>
      <c r="CO106" s="84"/>
      <c r="CP106" s="84"/>
      <c r="CQ106" s="84"/>
      <c r="CR106" s="84"/>
      <c r="CS106" s="84"/>
      <c r="CT106" s="84"/>
      <c r="CU106" s="84"/>
      <c r="CV106" s="84"/>
      <c r="CW106" s="84"/>
      <c r="CX106" s="84"/>
      <c r="CY106" s="84"/>
      <c r="CZ106" s="84"/>
      <c r="DA106" s="84"/>
      <c r="DB106" s="84"/>
      <c r="DC106" s="84"/>
      <c r="DD106" s="84"/>
      <c r="DE106" s="84"/>
      <c r="DF106" s="84"/>
      <c r="DG106" s="84"/>
      <c r="DH106" s="84"/>
      <c r="DI106" s="84"/>
      <c r="DJ106" s="84"/>
      <c r="DK106" s="84"/>
      <c r="DL106" s="84"/>
      <c r="DM106" s="84"/>
      <c r="DN106" s="84"/>
      <c r="DO106" s="84"/>
      <c r="DP106" s="84"/>
      <c r="DQ106" s="84"/>
      <c r="DR106" s="84"/>
      <c r="DS106" s="84"/>
      <c r="DT106" s="84"/>
      <c r="DU106" s="84"/>
      <c r="DV106" s="84"/>
      <c r="DW106" s="84"/>
      <c r="DX106" s="84"/>
      <c r="DY106" s="84"/>
      <c r="DZ106" s="84"/>
      <c r="EA106" s="84"/>
      <c r="EB106" s="84"/>
      <c r="EC106" s="84"/>
      <c r="ED106" s="84"/>
      <c r="EE106" s="84"/>
      <c r="EF106" s="84"/>
      <c r="EG106" s="84"/>
      <c r="EH106" s="84"/>
      <c r="EI106" s="84"/>
      <c r="EJ106" s="84"/>
      <c r="EK106" s="84"/>
      <c r="EL106" s="84"/>
      <c r="EM106" s="84"/>
      <c r="EN106" s="84"/>
      <c r="EO106" s="84"/>
      <c r="EP106" s="84"/>
      <c r="EQ106" s="84"/>
      <c r="ER106" s="84"/>
      <c r="ES106" s="84"/>
      <c r="ET106" s="84"/>
      <c r="EU106" s="84"/>
      <c r="EV106" s="84"/>
      <c r="EW106" s="84"/>
      <c r="EX106" s="84"/>
      <c r="EY106" s="84"/>
      <c r="EZ106" s="84"/>
      <c r="FA106" s="84"/>
      <c r="FB106" s="84"/>
      <c r="FC106" s="84"/>
      <c r="FD106" s="84"/>
      <c r="FE106" s="84"/>
      <c r="FF106" s="84"/>
      <c r="FG106" s="84"/>
      <c r="FH106" s="84"/>
      <c r="FI106" s="84"/>
      <c r="FJ106" s="84"/>
      <c r="FK106" s="84"/>
      <c r="FL106" s="84"/>
      <c r="FM106" s="84"/>
      <c r="FN106" s="84"/>
      <c r="FO106" s="84"/>
      <c r="FP106" s="84"/>
      <c r="FQ106" s="84"/>
      <c r="FR106" s="84"/>
      <c r="FS106" s="84"/>
      <c r="FT106" s="84"/>
      <c r="FU106" s="84"/>
      <c r="FV106" s="84"/>
      <c r="FW106" s="84"/>
      <c r="FX106" s="84"/>
      <c r="FY106" s="84"/>
      <c r="FZ106" s="84"/>
      <c r="GA106" s="84"/>
      <c r="GB106" s="84"/>
      <c r="GC106" s="84"/>
      <c r="GD106" s="84"/>
      <c r="GE106" s="84"/>
      <c r="GF106" s="84"/>
      <c r="GG106" s="84"/>
      <c r="GH106" s="84"/>
      <c r="GI106" s="84"/>
      <c r="GJ106" s="84"/>
      <c r="GK106" s="84"/>
      <c r="GL106" s="84"/>
      <c r="GM106" s="84"/>
      <c r="GN106" s="84"/>
      <c r="GO106" s="84"/>
      <c r="GP106" s="84"/>
      <c r="GQ106" s="84"/>
      <c r="GR106" s="84"/>
      <c r="GS106" s="84"/>
      <c r="GT106" s="84"/>
      <c r="GU106" s="84"/>
      <c r="GV106" s="84"/>
      <c r="GW106" s="84"/>
      <c r="GX106" s="84"/>
      <c r="GY106" s="84"/>
      <c r="GZ106" s="84"/>
      <c r="HA106" s="84"/>
      <c r="HB106" s="84"/>
      <c r="HC106" s="84"/>
      <c r="HD106" s="84"/>
      <c r="HE106" s="84"/>
      <c r="HF106" s="84"/>
      <c r="HG106" s="84"/>
      <c r="HH106" s="84"/>
      <c r="HI106" s="84"/>
      <c r="HJ106" s="84"/>
      <c r="HK106" s="84"/>
      <c r="HL106" s="84"/>
      <c r="HM106" s="84"/>
      <c r="HN106" s="84"/>
      <c r="HO106" s="84"/>
      <c r="HP106" s="84"/>
      <c r="HQ106" s="84"/>
      <c r="HR106" s="84"/>
      <c r="HS106" s="84"/>
      <c r="HT106" s="84"/>
      <c r="HU106" s="84"/>
      <c r="HV106" s="84"/>
      <c r="HW106" s="84"/>
      <c r="HX106" s="84"/>
      <c r="HY106" s="84"/>
      <c r="HZ106" s="84"/>
      <c r="IA106" s="84"/>
      <c r="IB106" s="84"/>
    </row>
    <row r="107" spans="1:236" s="136" customFormat="1" x14ac:dyDescent="0.35">
      <c r="A107" s="87"/>
      <c r="B107" s="101" t="s">
        <v>167</v>
      </c>
      <c r="C107" s="129" t="s">
        <v>549</v>
      </c>
      <c r="D107" s="102" t="s">
        <v>954</v>
      </c>
      <c r="E107" s="103" t="s">
        <v>955</v>
      </c>
      <c r="F107" s="104"/>
      <c r="G107" s="83"/>
      <c r="H107" s="410"/>
      <c r="I107" s="411"/>
      <c r="J107" s="411"/>
      <c r="K107" s="411"/>
      <c r="L107" s="411"/>
      <c r="M107" s="411"/>
      <c r="N107" s="411"/>
      <c r="O107" s="411"/>
      <c r="P107" s="411"/>
      <c r="Q107" s="411"/>
      <c r="R107" s="411"/>
      <c r="S107" s="412"/>
      <c r="T107" s="88"/>
      <c r="U107" s="84"/>
      <c r="V107" s="84"/>
      <c r="W107" s="84"/>
      <c r="X107" s="84"/>
      <c r="Y107" s="84"/>
      <c r="Z107" s="84"/>
      <c r="AA107" s="84"/>
      <c r="AB107" s="84"/>
      <c r="AC107" s="84"/>
      <c r="AD107" s="84"/>
      <c r="AE107" s="84"/>
      <c r="AF107" s="84"/>
      <c r="AG107" s="84"/>
      <c r="AH107" s="84"/>
      <c r="AI107" s="84"/>
      <c r="AJ107" s="84"/>
      <c r="AK107" s="84"/>
      <c r="AL107" s="84"/>
      <c r="AM107" s="84"/>
      <c r="AN107" s="84"/>
      <c r="AO107" s="84"/>
      <c r="AP107" s="84"/>
      <c r="AQ107" s="84"/>
      <c r="AR107" s="84"/>
      <c r="AS107" s="84"/>
      <c r="AT107" s="84"/>
      <c r="AU107" s="84"/>
      <c r="AV107" s="84"/>
      <c r="AW107" s="84"/>
      <c r="AX107" s="84"/>
      <c r="AY107" s="84"/>
      <c r="AZ107" s="84"/>
      <c r="BA107" s="84"/>
      <c r="BB107" s="84"/>
      <c r="BC107" s="84"/>
      <c r="BD107" s="84"/>
      <c r="BE107" s="84"/>
      <c r="BF107" s="84"/>
      <c r="BG107" s="84"/>
      <c r="BH107" s="84"/>
      <c r="BI107" s="84"/>
      <c r="BJ107" s="84"/>
      <c r="BK107" s="84"/>
      <c r="BL107" s="84"/>
      <c r="BM107" s="84"/>
      <c r="BN107" s="84"/>
      <c r="BO107" s="84"/>
      <c r="BP107" s="84"/>
      <c r="BQ107" s="84"/>
      <c r="BR107" s="84"/>
      <c r="BS107" s="84"/>
      <c r="BT107" s="84"/>
      <c r="BU107" s="84"/>
      <c r="BV107" s="84"/>
      <c r="BW107" s="84"/>
      <c r="BX107" s="84"/>
      <c r="BY107" s="84"/>
      <c r="BZ107" s="84"/>
      <c r="CA107" s="84"/>
      <c r="CB107" s="84"/>
      <c r="CC107" s="84"/>
      <c r="CD107" s="84"/>
      <c r="CE107" s="84"/>
      <c r="CF107" s="84"/>
      <c r="CG107" s="84"/>
      <c r="CH107" s="84"/>
      <c r="CI107" s="84"/>
      <c r="CJ107" s="84"/>
      <c r="CK107" s="84"/>
      <c r="CL107" s="84"/>
      <c r="CM107" s="84"/>
      <c r="CN107" s="84"/>
      <c r="CO107" s="84"/>
      <c r="CP107" s="84"/>
      <c r="CQ107" s="84"/>
      <c r="CR107" s="84"/>
      <c r="CS107" s="84"/>
      <c r="CT107" s="84"/>
      <c r="CU107" s="84"/>
      <c r="CV107" s="84"/>
      <c r="CW107" s="84"/>
      <c r="CX107" s="84"/>
      <c r="CY107" s="84"/>
      <c r="CZ107" s="84"/>
      <c r="DA107" s="84"/>
      <c r="DB107" s="84"/>
      <c r="DC107" s="84"/>
      <c r="DD107" s="84"/>
      <c r="DE107" s="84"/>
      <c r="DF107" s="84"/>
      <c r="DG107" s="84"/>
      <c r="DH107" s="84"/>
      <c r="DI107" s="84"/>
      <c r="DJ107" s="84"/>
      <c r="DK107" s="84"/>
      <c r="DL107" s="84"/>
      <c r="DM107" s="84"/>
      <c r="DN107" s="84"/>
      <c r="DO107" s="84"/>
      <c r="DP107" s="84"/>
      <c r="DQ107" s="84"/>
      <c r="DR107" s="84"/>
      <c r="DS107" s="84"/>
      <c r="DT107" s="84"/>
      <c r="DU107" s="84"/>
      <c r="DV107" s="84"/>
      <c r="DW107" s="84"/>
      <c r="DX107" s="84"/>
      <c r="DY107" s="84"/>
      <c r="DZ107" s="84"/>
      <c r="EA107" s="84"/>
      <c r="EB107" s="84"/>
      <c r="EC107" s="84"/>
      <c r="ED107" s="84"/>
      <c r="EE107" s="84"/>
      <c r="EF107" s="84"/>
      <c r="EG107" s="84"/>
      <c r="EH107" s="84"/>
      <c r="EI107" s="84"/>
      <c r="EJ107" s="84"/>
      <c r="EK107" s="84"/>
      <c r="EL107" s="84"/>
      <c r="EM107" s="84"/>
      <c r="EN107" s="84"/>
      <c r="EO107" s="84"/>
      <c r="EP107" s="84"/>
      <c r="EQ107" s="84"/>
      <c r="ER107" s="84"/>
      <c r="ES107" s="84"/>
      <c r="ET107" s="84"/>
      <c r="EU107" s="84"/>
      <c r="EV107" s="84"/>
      <c r="EW107" s="84"/>
      <c r="EX107" s="84"/>
      <c r="EY107" s="84"/>
      <c r="EZ107" s="84"/>
      <c r="FA107" s="84"/>
      <c r="FB107" s="84"/>
      <c r="FC107" s="84"/>
      <c r="FD107" s="84"/>
      <c r="FE107" s="84"/>
      <c r="FF107" s="84"/>
      <c r="FG107" s="84"/>
      <c r="FH107" s="84"/>
      <c r="FI107" s="84"/>
      <c r="FJ107" s="84"/>
      <c r="FK107" s="84"/>
      <c r="FL107" s="84"/>
      <c r="FM107" s="84"/>
      <c r="FN107" s="84"/>
      <c r="FO107" s="84"/>
      <c r="FP107" s="84"/>
      <c r="FQ107" s="84"/>
      <c r="FR107" s="84"/>
      <c r="FS107" s="84"/>
      <c r="FT107" s="84"/>
      <c r="FU107" s="84"/>
      <c r="FV107" s="84"/>
      <c r="FW107" s="84"/>
      <c r="FX107" s="84"/>
      <c r="FY107" s="84"/>
      <c r="FZ107" s="84"/>
      <c r="GA107" s="84"/>
      <c r="GB107" s="84"/>
      <c r="GC107" s="84"/>
      <c r="GD107" s="84"/>
      <c r="GE107" s="84"/>
      <c r="GF107" s="84"/>
      <c r="GG107" s="84"/>
      <c r="GH107" s="84"/>
      <c r="GI107" s="84"/>
      <c r="GJ107" s="84"/>
      <c r="GK107" s="84"/>
      <c r="GL107" s="84"/>
      <c r="GM107" s="84"/>
      <c r="GN107" s="84"/>
      <c r="GO107" s="84"/>
      <c r="GP107" s="84"/>
      <c r="GQ107" s="84"/>
      <c r="GR107" s="84"/>
      <c r="GS107" s="84"/>
      <c r="GT107" s="84"/>
      <c r="GU107" s="84"/>
      <c r="GV107" s="84"/>
      <c r="GW107" s="84"/>
      <c r="GX107" s="84"/>
      <c r="GY107" s="84"/>
      <c r="GZ107" s="84"/>
      <c r="HA107" s="84"/>
      <c r="HB107" s="84"/>
      <c r="HC107" s="84"/>
      <c r="HD107" s="84"/>
      <c r="HE107" s="84"/>
      <c r="HF107" s="84"/>
      <c r="HG107" s="84"/>
      <c r="HH107" s="84"/>
      <c r="HI107" s="84"/>
      <c r="HJ107" s="84"/>
      <c r="HK107" s="84"/>
      <c r="HL107" s="84"/>
      <c r="HM107" s="84"/>
      <c r="HN107" s="84"/>
      <c r="HO107" s="84"/>
      <c r="HP107" s="84"/>
      <c r="HQ107" s="84"/>
      <c r="HR107" s="84"/>
      <c r="HS107" s="84"/>
      <c r="HT107" s="84"/>
      <c r="HU107" s="84"/>
      <c r="HV107" s="84"/>
      <c r="HW107" s="84"/>
      <c r="HX107" s="84"/>
      <c r="HY107" s="84"/>
      <c r="HZ107" s="84"/>
      <c r="IA107" s="84"/>
      <c r="IB107" s="84"/>
    </row>
    <row r="108" spans="1:236" s="136" customFormat="1" x14ac:dyDescent="0.35">
      <c r="A108" s="87"/>
      <c r="B108" s="101" t="s">
        <v>167</v>
      </c>
      <c r="C108" s="129" t="s">
        <v>549</v>
      </c>
      <c r="D108" s="102" t="s">
        <v>956</v>
      </c>
      <c r="E108" s="103" t="s">
        <v>957</v>
      </c>
      <c r="F108" s="104"/>
      <c r="G108" s="83"/>
      <c r="H108" s="410"/>
      <c r="I108" s="411"/>
      <c r="J108" s="411"/>
      <c r="K108" s="411"/>
      <c r="L108" s="411"/>
      <c r="M108" s="411"/>
      <c r="N108" s="411"/>
      <c r="O108" s="411"/>
      <c r="P108" s="411"/>
      <c r="Q108" s="411"/>
      <c r="R108" s="411"/>
      <c r="S108" s="412"/>
      <c r="T108" s="88"/>
      <c r="U108" s="84"/>
      <c r="V108" s="84"/>
      <c r="W108" s="84"/>
      <c r="X108" s="84"/>
      <c r="Y108" s="84"/>
      <c r="Z108" s="84"/>
      <c r="AA108" s="84"/>
      <c r="AB108" s="84"/>
      <c r="AC108" s="84"/>
      <c r="AD108" s="84"/>
      <c r="AE108" s="84"/>
      <c r="AF108" s="84"/>
      <c r="AG108" s="84"/>
      <c r="AH108" s="84"/>
      <c r="AI108" s="84"/>
      <c r="AJ108" s="84"/>
      <c r="AK108" s="84"/>
      <c r="AL108" s="84"/>
      <c r="AM108" s="84"/>
      <c r="AN108" s="84"/>
      <c r="AO108" s="84"/>
      <c r="AP108" s="84"/>
      <c r="AQ108" s="84"/>
      <c r="AR108" s="84"/>
      <c r="AS108" s="84"/>
      <c r="AT108" s="84"/>
      <c r="AU108" s="84"/>
      <c r="AV108" s="84"/>
      <c r="AW108" s="84"/>
      <c r="AX108" s="84"/>
      <c r="AY108" s="84"/>
      <c r="AZ108" s="84"/>
      <c r="BA108" s="84"/>
      <c r="BB108" s="84"/>
      <c r="BC108" s="84"/>
      <c r="BD108" s="84"/>
      <c r="BE108" s="84"/>
      <c r="BF108" s="84"/>
      <c r="BG108" s="84"/>
      <c r="BH108" s="84"/>
      <c r="BI108" s="84"/>
      <c r="BJ108" s="84"/>
      <c r="BK108" s="84"/>
      <c r="BL108" s="84"/>
      <c r="BM108" s="84"/>
      <c r="BN108" s="84"/>
      <c r="BO108" s="84"/>
      <c r="BP108" s="84"/>
      <c r="BQ108" s="84"/>
      <c r="BR108" s="84"/>
      <c r="BS108" s="84"/>
      <c r="BT108" s="84"/>
      <c r="BU108" s="84"/>
      <c r="BV108" s="84"/>
      <c r="BW108" s="84"/>
      <c r="BX108" s="84"/>
      <c r="BY108" s="84"/>
      <c r="BZ108" s="84"/>
      <c r="CA108" s="84"/>
      <c r="CB108" s="84"/>
      <c r="CC108" s="84"/>
      <c r="CD108" s="84"/>
      <c r="CE108" s="84"/>
      <c r="CF108" s="84"/>
      <c r="CG108" s="84"/>
      <c r="CH108" s="84"/>
      <c r="CI108" s="84"/>
      <c r="CJ108" s="84"/>
      <c r="CK108" s="84"/>
      <c r="CL108" s="84"/>
      <c r="CM108" s="84"/>
      <c r="CN108" s="84"/>
      <c r="CO108" s="84"/>
      <c r="CP108" s="84"/>
      <c r="CQ108" s="84"/>
      <c r="CR108" s="84"/>
      <c r="CS108" s="84"/>
      <c r="CT108" s="84"/>
      <c r="CU108" s="84"/>
      <c r="CV108" s="84"/>
      <c r="CW108" s="84"/>
      <c r="CX108" s="84"/>
      <c r="CY108" s="84"/>
      <c r="CZ108" s="84"/>
      <c r="DA108" s="84"/>
      <c r="DB108" s="84"/>
      <c r="DC108" s="84"/>
      <c r="DD108" s="84"/>
      <c r="DE108" s="84"/>
      <c r="DF108" s="84"/>
      <c r="DG108" s="84"/>
      <c r="DH108" s="84"/>
      <c r="DI108" s="84"/>
      <c r="DJ108" s="84"/>
      <c r="DK108" s="84"/>
      <c r="DL108" s="84"/>
      <c r="DM108" s="84"/>
      <c r="DN108" s="84"/>
      <c r="DO108" s="84"/>
      <c r="DP108" s="84"/>
      <c r="DQ108" s="84"/>
      <c r="DR108" s="84"/>
      <c r="DS108" s="84"/>
      <c r="DT108" s="84"/>
      <c r="DU108" s="84"/>
      <c r="DV108" s="84"/>
      <c r="DW108" s="84"/>
      <c r="DX108" s="84"/>
      <c r="DY108" s="84"/>
      <c r="DZ108" s="84"/>
      <c r="EA108" s="84"/>
      <c r="EB108" s="84"/>
      <c r="EC108" s="84"/>
      <c r="ED108" s="84"/>
      <c r="EE108" s="84"/>
      <c r="EF108" s="84"/>
      <c r="EG108" s="84"/>
      <c r="EH108" s="84"/>
      <c r="EI108" s="84"/>
      <c r="EJ108" s="84"/>
      <c r="EK108" s="84"/>
      <c r="EL108" s="84"/>
      <c r="EM108" s="84"/>
      <c r="EN108" s="84"/>
      <c r="EO108" s="84"/>
      <c r="EP108" s="84"/>
      <c r="EQ108" s="84"/>
      <c r="ER108" s="84"/>
      <c r="ES108" s="84"/>
      <c r="ET108" s="84"/>
      <c r="EU108" s="84"/>
      <c r="EV108" s="84"/>
      <c r="EW108" s="84"/>
      <c r="EX108" s="84"/>
      <c r="EY108" s="84"/>
      <c r="EZ108" s="84"/>
      <c r="FA108" s="84"/>
      <c r="FB108" s="84"/>
      <c r="FC108" s="84"/>
      <c r="FD108" s="84"/>
      <c r="FE108" s="84"/>
      <c r="FF108" s="84"/>
      <c r="FG108" s="84"/>
      <c r="FH108" s="84"/>
      <c r="FI108" s="84"/>
      <c r="FJ108" s="84"/>
      <c r="FK108" s="84"/>
      <c r="FL108" s="84"/>
      <c r="FM108" s="84"/>
      <c r="FN108" s="84"/>
      <c r="FO108" s="84"/>
      <c r="FP108" s="84"/>
      <c r="FQ108" s="84"/>
      <c r="FR108" s="84"/>
      <c r="FS108" s="84"/>
      <c r="FT108" s="84"/>
      <c r="FU108" s="84"/>
      <c r="FV108" s="84"/>
      <c r="FW108" s="84"/>
      <c r="FX108" s="84"/>
      <c r="FY108" s="84"/>
      <c r="FZ108" s="84"/>
      <c r="GA108" s="84"/>
      <c r="GB108" s="84"/>
      <c r="GC108" s="84"/>
      <c r="GD108" s="84"/>
      <c r="GE108" s="84"/>
      <c r="GF108" s="84"/>
      <c r="GG108" s="84"/>
      <c r="GH108" s="84"/>
      <c r="GI108" s="84"/>
      <c r="GJ108" s="84"/>
      <c r="GK108" s="84"/>
      <c r="GL108" s="84"/>
      <c r="GM108" s="84"/>
      <c r="GN108" s="84"/>
      <c r="GO108" s="84"/>
      <c r="GP108" s="84"/>
      <c r="GQ108" s="84"/>
      <c r="GR108" s="84"/>
      <c r="GS108" s="84"/>
      <c r="GT108" s="84"/>
      <c r="GU108" s="84"/>
      <c r="GV108" s="84"/>
      <c r="GW108" s="84"/>
      <c r="GX108" s="84"/>
      <c r="GY108" s="84"/>
      <c r="GZ108" s="84"/>
      <c r="HA108" s="84"/>
      <c r="HB108" s="84"/>
      <c r="HC108" s="84"/>
      <c r="HD108" s="84"/>
      <c r="HE108" s="84"/>
      <c r="HF108" s="84"/>
      <c r="HG108" s="84"/>
      <c r="HH108" s="84"/>
      <c r="HI108" s="84"/>
      <c r="HJ108" s="84"/>
      <c r="HK108" s="84"/>
      <c r="HL108" s="84"/>
      <c r="HM108" s="84"/>
      <c r="HN108" s="84"/>
      <c r="HO108" s="84"/>
      <c r="HP108" s="84"/>
      <c r="HQ108" s="84"/>
      <c r="HR108" s="84"/>
      <c r="HS108" s="84"/>
      <c r="HT108" s="84"/>
      <c r="HU108" s="84"/>
      <c r="HV108" s="84"/>
      <c r="HW108" s="84"/>
      <c r="HX108" s="84"/>
      <c r="HY108" s="84"/>
      <c r="HZ108" s="84"/>
      <c r="IA108" s="84"/>
      <c r="IB108" s="84"/>
    </row>
    <row r="109" spans="1:236" s="157" customFormat="1" ht="29" x14ac:dyDescent="0.35">
      <c r="A109" s="87"/>
      <c r="B109" s="101" t="s">
        <v>167</v>
      </c>
      <c r="C109" s="147" t="s">
        <v>549</v>
      </c>
      <c r="D109" s="102" t="s">
        <v>1038</v>
      </c>
      <c r="E109" s="103" t="s">
        <v>1039</v>
      </c>
      <c r="F109" s="104"/>
      <c r="G109" s="83"/>
      <c r="H109" s="410"/>
      <c r="I109" s="411"/>
      <c r="J109" s="411"/>
      <c r="K109" s="411"/>
      <c r="L109" s="411"/>
      <c r="M109" s="411"/>
      <c r="N109" s="411"/>
      <c r="O109" s="411"/>
      <c r="P109" s="411"/>
      <c r="Q109" s="411"/>
      <c r="R109" s="411"/>
      <c r="S109" s="412"/>
      <c r="T109" s="88"/>
      <c r="U109" s="84"/>
      <c r="V109" s="84"/>
      <c r="W109" s="84"/>
      <c r="X109" s="84"/>
      <c r="Y109" s="84"/>
      <c r="Z109" s="84"/>
      <c r="AA109" s="84"/>
      <c r="AB109" s="84"/>
      <c r="AC109" s="84"/>
      <c r="AD109" s="84"/>
      <c r="AE109" s="84"/>
      <c r="AF109" s="84"/>
      <c r="AG109" s="84"/>
      <c r="AH109" s="84"/>
      <c r="AI109" s="84"/>
      <c r="AJ109" s="84"/>
      <c r="AK109" s="84"/>
      <c r="AL109" s="84"/>
      <c r="AM109" s="84"/>
      <c r="AN109" s="84"/>
      <c r="AO109" s="84"/>
      <c r="AP109" s="84"/>
      <c r="AQ109" s="84"/>
      <c r="AR109" s="84"/>
      <c r="AS109" s="84"/>
      <c r="AT109" s="84"/>
      <c r="AU109" s="84"/>
      <c r="AV109" s="84"/>
      <c r="AW109" s="84"/>
      <c r="AX109" s="84"/>
      <c r="AY109" s="84"/>
      <c r="AZ109" s="84"/>
      <c r="BA109" s="84"/>
      <c r="BB109" s="84"/>
      <c r="BC109" s="84"/>
      <c r="BD109" s="84"/>
      <c r="BE109" s="84"/>
      <c r="BF109" s="84"/>
      <c r="BG109" s="84"/>
      <c r="BH109" s="84"/>
      <c r="BI109" s="84"/>
      <c r="BJ109" s="84"/>
      <c r="BK109" s="84"/>
      <c r="BL109" s="84"/>
      <c r="BM109" s="84"/>
      <c r="BN109" s="84"/>
      <c r="BO109" s="84"/>
      <c r="BP109" s="84"/>
      <c r="BQ109" s="84"/>
      <c r="BR109" s="84"/>
      <c r="BS109" s="84"/>
      <c r="BT109" s="84"/>
      <c r="BU109" s="84"/>
      <c r="BV109" s="84"/>
      <c r="BW109" s="84"/>
      <c r="BX109" s="84"/>
      <c r="BY109" s="84"/>
      <c r="BZ109" s="84"/>
      <c r="CA109" s="84"/>
      <c r="CB109" s="84"/>
      <c r="CC109" s="84"/>
      <c r="CD109" s="84"/>
      <c r="CE109" s="84"/>
      <c r="CF109" s="84"/>
      <c r="CG109" s="84"/>
      <c r="CH109" s="84"/>
      <c r="CI109" s="84"/>
      <c r="CJ109" s="84"/>
      <c r="CK109" s="84"/>
      <c r="CL109" s="84"/>
      <c r="CM109" s="84"/>
      <c r="CN109" s="84"/>
      <c r="CO109" s="84"/>
      <c r="CP109" s="84"/>
      <c r="CQ109" s="84"/>
      <c r="CR109" s="84"/>
      <c r="CS109" s="84"/>
      <c r="CT109" s="84"/>
      <c r="CU109" s="84"/>
      <c r="CV109" s="84"/>
      <c r="CW109" s="84"/>
      <c r="CX109" s="84"/>
      <c r="CY109" s="84"/>
      <c r="CZ109" s="84"/>
      <c r="DA109" s="84"/>
      <c r="DB109" s="84"/>
      <c r="DC109" s="84"/>
      <c r="DD109" s="84"/>
      <c r="DE109" s="84"/>
      <c r="DF109" s="84"/>
      <c r="DG109" s="84"/>
      <c r="DH109" s="84"/>
      <c r="DI109" s="84"/>
      <c r="DJ109" s="84"/>
      <c r="DK109" s="84"/>
      <c r="DL109" s="84"/>
      <c r="DM109" s="84"/>
      <c r="DN109" s="84"/>
      <c r="DO109" s="84"/>
      <c r="DP109" s="84"/>
      <c r="DQ109" s="84"/>
      <c r="DR109" s="84"/>
      <c r="DS109" s="84"/>
      <c r="DT109" s="84"/>
      <c r="DU109" s="84"/>
      <c r="DV109" s="84"/>
      <c r="DW109" s="84"/>
      <c r="DX109" s="84"/>
      <c r="DY109" s="84"/>
      <c r="DZ109" s="84"/>
      <c r="EA109" s="84"/>
      <c r="EB109" s="84"/>
      <c r="EC109" s="84"/>
      <c r="ED109" s="84"/>
      <c r="EE109" s="84"/>
      <c r="EF109" s="84"/>
      <c r="EG109" s="84"/>
      <c r="EH109" s="84"/>
      <c r="EI109" s="84"/>
      <c r="EJ109" s="84"/>
      <c r="EK109" s="84"/>
      <c r="EL109" s="84"/>
      <c r="EM109" s="84"/>
      <c r="EN109" s="84"/>
      <c r="EO109" s="84"/>
      <c r="EP109" s="84"/>
      <c r="EQ109" s="84"/>
      <c r="ER109" s="84"/>
      <c r="ES109" s="84"/>
      <c r="ET109" s="84"/>
      <c r="EU109" s="84"/>
      <c r="EV109" s="84"/>
      <c r="EW109" s="84"/>
      <c r="EX109" s="84"/>
      <c r="EY109" s="84"/>
      <c r="EZ109" s="84"/>
      <c r="FA109" s="84"/>
      <c r="FB109" s="84"/>
      <c r="FC109" s="84"/>
      <c r="FD109" s="84"/>
      <c r="FE109" s="84"/>
      <c r="FF109" s="84"/>
      <c r="FG109" s="84"/>
      <c r="FH109" s="84"/>
      <c r="FI109" s="84"/>
      <c r="FJ109" s="84"/>
      <c r="FK109" s="84"/>
      <c r="FL109" s="84"/>
      <c r="FM109" s="84"/>
      <c r="FN109" s="84"/>
      <c r="FO109" s="84"/>
      <c r="FP109" s="84"/>
      <c r="FQ109" s="84"/>
      <c r="FR109" s="84"/>
      <c r="FS109" s="84"/>
      <c r="FT109" s="84"/>
      <c r="FU109" s="84"/>
      <c r="FV109" s="84"/>
      <c r="FW109" s="84"/>
      <c r="FX109" s="84"/>
      <c r="FY109" s="84"/>
      <c r="FZ109" s="84"/>
      <c r="GA109" s="84"/>
      <c r="GB109" s="84"/>
      <c r="GC109" s="84"/>
      <c r="GD109" s="84"/>
      <c r="GE109" s="84"/>
      <c r="GF109" s="84"/>
      <c r="GG109" s="84"/>
      <c r="GH109" s="84"/>
      <c r="GI109" s="84"/>
      <c r="GJ109" s="84"/>
      <c r="GK109" s="84"/>
      <c r="GL109" s="84"/>
      <c r="GM109" s="84"/>
      <c r="GN109" s="84"/>
      <c r="GO109" s="84"/>
      <c r="GP109" s="84"/>
      <c r="GQ109" s="84"/>
      <c r="GR109" s="84"/>
      <c r="GS109" s="84"/>
      <c r="GT109" s="84"/>
      <c r="GU109" s="84"/>
      <c r="GV109" s="84"/>
      <c r="GW109" s="84"/>
      <c r="GX109" s="84"/>
      <c r="GY109" s="84"/>
      <c r="GZ109" s="84"/>
      <c r="HA109" s="84"/>
      <c r="HB109" s="84"/>
      <c r="HC109" s="84"/>
      <c r="HD109" s="84"/>
      <c r="HE109" s="84"/>
      <c r="HF109" s="84"/>
      <c r="HG109" s="84"/>
      <c r="HH109" s="84"/>
      <c r="HI109" s="84"/>
      <c r="HJ109" s="84"/>
      <c r="HK109" s="84"/>
      <c r="HL109" s="84"/>
      <c r="HM109" s="84"/>
      <c r="HN109" s="84"/>
      <c r="HO109" s="84"/>
      <c r="HP109" s="84"/>
      <c r="HQ109" s="84"/>
      <c r="HR109" s="84"/>
      <c r="HS109" s="84"/>
      <c r="HT109" s="84"/>
      <c r="HU109" s="84"/>
      <c r="HV109" s="84"/>
      <c r="HW109" s="84"/>
      <c r="HX109" s="84"/>
      <c r="HY109" s="84"/>
      <c r="HZ109" s="84"/>
      <c r="IA109" s="84"/>
      <c r="IB109" s="84"/>
    </row>
    <row r="110" spans="1:236" s="157" customFormat="1" ht="29" x14ac:dyDescent="0.35">
      <c r="A110" s="87"/>
      <c r="B110" s="101" t="s">
        <v>167</v>
      </c>
      <c r="C110" s="147" t="s">
        <v>549</v>
      </c>
      <c r="D110" s="102" t="s">
        <v>1047</v>
      </c>
      <c r="E110" s="103" t="s">
        <v>1041</v>
      </c>
      <c r="F110" s="104"/>
      <c r="G110" s="83"/>
      <c r="H110" s="410"/>
      <c r="I110" s="411"/>
      <c r="J110" s="411"/>
      <c r="K110" s="411"/>
      <c r="L110" s="411"/>
      <c r="M110" s="411"/>
      <c r="N110" s="411"/>
      <c r="O110" s="411"/>
      <c r="P110" s="411"/>
      <c r="Q110" s="411"/>
      <c r="R110" s="411"/>
      <c r="S110" s="412"/>
      <c r="T110" s="88"/>
      <c r="U110" s="84"/>
      <c r="V110" s="84"/>
      <c r="W110" s="84"/>
      <c r="X110" s="84"/>
      <c r="Y110" s="84"/>
      <c r="Z110" s="84"/>
      <c r="AA110" s="84"/>
      <c r="AB110" s="84"/>
      <c r="AC110" s="84"/>
      <c r="AD110" s="84"/>
      <c r="AE110" s="84"/>
      <c r="AF110" s="84"/>
      <c r="AG110" s="84"/>
      <c r="AH110" s="84"/>
      <c r="AI110" s="84"/>
      <c r="AJ110" s="84"/>
      <c r="AK110" s="84"/>
      <c r="AL110" s="84"/>
      <c r="AM110" s="84"/>
      <c r="AN110" s="84"/>
      <c r="AO110" s="84"/>
      <c r="AP110" s="84"/>
      <c r="AQ110" s="84"/>
      <c r="AR110" s="84"/>
      <c r="AS110" s="84"/>
      <c r="AT110" s="84"/>
      <c r="AU110" s="84"/>
      <c r="AV110" s="84"/>
      <c r="AW110" s="84"/>
      <c r="AX110" s="84"/>
      <c r="AY110" s="84"/>
      <c r="AZ110" s="84"/>
      <c r="BA110" s="84"/>
      <c r="BB110" s="84"/>
      <c r="BC110" s="84"/>
      <c r="BD110" s="84"/>
      <c r="BE110" s="84"/>
      <c r="BF110" s="84"/>
      <c r="BG110" s="84"/>
      <c r="BH110" s="84"/>
      <c r="BI110" s="84"/>
      <c r="BJ110" s="84"/>
      <c r="BK110" s="84"/>
      <c r="BL110" s="84"/>
      <c r="BM110" s="84"/>
      <c r="BN110" s="84"/>
      <c r="BO110" s="84"/>
      <c r="BP110" s="84"/>
      <c r="BQ110" s="84"/>
      <c r="BR110" s="84"/>
      <c r="BS110" s="84"/>
      <c r="BT110" s="84"/>
      <c r="BU110" s="84"/>
      <c r="BV110" s="84"/>
      <c r="BW110" s="84"/>
      <c r="BX110" s="84"/>
      <c r="BY110" s="84"/>
      <c r="BZ110" s="84"/>
      <c r="CA110" s="84"/>
      <c r="CB110" s="84"/>
      <c r="CC110" s="84"/>
      <c r="CD110" s="84"/>
      <c r="CE110" s="84"/>
      <c r="CF110" s="84"/>
      <c r="CG110" s="84"/>
      <c r="CH110" s="84"/>
      <c r="CI110" s="84"/>
      <c r="CJ110" s="84"/>
      <c r="CK110" s="84"/>
      <c r="CL110" s="84"/>
      <c r="CM110" s="84"/>
      <c r="CN110" s="84"/>
      <c r="CO110" s="84"/>
      <c r="CP110" s="84"/>
      <c r="CQ110" s="84"/>
      <c r="CR110" s="84"/>
      <c r="CS110" s="84"/>
      <c r="CT110" s="84"/>
      <c r="CU110" s="84"/>
      <c r="CV110" s="84"/>
      <c r="CW110" s="84"/>
      <c r="CX110" s="84"/>
      <c r="CY110" s="84"/>
      <c r="CZ110" s="84"/>
      <c r="DA110" s="84"/>
      <c r="DB110" s="84"/>
      <c r="DC110" s="84"/>
      <c r="DD110" s="84"/>
      <c r="DE110" s="84"/>
      <c r="DF110" s="84"/>
      <c r="DG110" s="84"/>
      <c r="DH110" s="84"/>
      <c r="DI110" s="84"/>
      <c r="DJ110" s="84"/>
      <c r="DK110" s="84"/>
      <c r="DL110" s="84"/>
      <c r="DM110" s="84"/>
      <c r="DN110" s="84"/>
      <c r="DO110" s="84"/>
      <c r="DP110" s="84"/>
      <c r="DQ110" s="84"/>
      <c r="DR110" s="84"/>
      <c r="DS110" s="84"/>
      <c r="DT110" s="84"/>
      <c r="DU110" s="84"/>
      <c r="DV110" s="84"/>
      <c r="DW110" s="84"/>
      <c r="DX110" s="84"/>
      <c r="DY110" s="84"/>
      <c r="DZ110" s="84"/>
      <c r="EA110" s="84"/>
      <c r="EB110" s="84"/>
      <c r="EC110" s="84"/>
      <c r="ED110" s="84"/>
      <c r="EE110" s="84"/>
      <c r="EF110" s="84"/>
      <c r="EG110" s="84"/>
      <c r="EH110" s="84"/>
      <c r="EI110" s="84"/>
      <c r="EJ110" s="84"/>
      <c r="EK110" s="84"/>
      <c r="EL110" s="84"/>
      <c r="EM110" s="84"/>
      <c r="EN110" s="84"/>
      <c r="EO110" s="84"/>
      <c r="EP110" s="84"/>
      <c r="EQ110" s="84"/>
      <c r="ER110" s="84"/>
      <c r="ES110" s="84"/>
      <c r="ET110" s="84"/>
      <c r="EU110" s="84"/>
      <c r="EV110" s="84"/>
      <c r="EW110" s="84"/>
      <c r="EX110" s="84"/>
      <c r="EY110" s="84"/>
      <c r="EZ110" s="84"/>
      <c r="FA110" s="84"/>
      <c r="FB110" s="84"/>
      <c r="FC110" s="84"/>
      <c r="FD110" s="84"/>
      <c r="FE110" s="84"/>
      <c r="FF110" s="84"/>
      <c r="FG110" s="84"/>
      <c r="FH110" s="84"/>
      <c r="FI110" s="84"/>
      <c r="FJ110" s="84"/>
      <c r="FK110" s="84"/>
      <c r="FL110" s="84"/>
      <c r="FM110" s="84"/>
      <c r="FN110" s="84"/>
      <c r="FO110" s="84"/>
      <c r="FP110" s="84"/>
      <c r="FQ110" s="84"/>
      <c r="FR110" s="84"/>
      <c r="FS110" s="84"/>
      <c r="FT110" s="84"/>
      <c r="FU110" s="84"/>
      <c r="FV110" s="84"/>
      <c r="FW110" s="84"/>
      <c r="FX110" s="84"/>
      <c r="FY110" s="84"/>
      <c r="FZ110" s="84"/>
      <c r="GA110" s="84"/>
      <c r="GB110" s="84"/>
      <c r="GC110" s="84"/>
      <c r="GD110" s="84"/>
      <c r="GE110" s="84"/>
      <c r="GF110" s="84"/>
      <c r="GG110" s="84"/>
      <c r="GH110" s="84"/>
      <c r="GI110" s="84"/>
      <c r="GJ110" s="84"/>
      <c r="GK110" s="84"/>
      <c r="GL110" s="84"/>
      <c r="GM110" s="84"/>
      <c r="GN110" s="84"/>
      <c r="GO110" s="84"/>
      <c r="GP110" s="84"/>
      <c r="GQ110" s="84"/>
      <c r="GR110" s="84"/>
      <c r="GS110" s="84"/>
      <c r="GT110" s="84"/>
      <c r="GU110" s="84"/>
      <c r="GV110" s="84"/>
      <c r="GW110" s="84"/>
      <c r="GX110" s="84"/>
      <c r="GY110" s="84"/>
      <c r="GZ110" s="84"/>
      <c r="HA110" s="84"/>
      <c r="HB110" s="84"/>
      <c r="HC110" s="84"/>
      <c r="HD110" s="84"/>
      <c r="HE110" s="84"/>
      <c r="HF110" s="84"/>
      <c r="HG110" s="84"/>
      <c r="HH110" s="84"/>
      <c r="HI110" s="84"/>
      <c r="HJ110" s="84"/>
      <c r="HK110" s="84"/>
      <c r="HL110" s="84"/>
      <c r="HM110" s="84"/>
      <c r="HN110" s="84"/>
      <c r="HO110" s="84"/>
      <c r="HP110" s="84"/>
      <c r="HQ110" s="84"/>
      <c r="HR110" s="84"/>
      <c r="HS110" s="84"/>
      <c r="HT110" s="84"/>
      <c r="HU110" s="84"/>
      <c r="HV110" s="84"/>
      <c r="HW110" s="84"/>
      <c r="HX110" s="84"/>
      <c r="HY110" s="84"/>
      <c r="HZ110" s="84"/>
      <c r="IA110" s="84"/>
      <c r="IB110" s="84"/>
    </row>
    <row r="111" spans="1:236" ht="29" x14ac:dyDescent="0.35">
      <c r="A111" s="87"/>
      <c r="B111" s="137" t="s">
        <v>713</v>
      </c>
      <c r="C111" s="156" t="s">
        <v>1048</v>
      </c>
      <c r="D111" s="98"/>
      <c r="E111" s="99"/>
      <c r="F111" s="145"/>
      <c r="G111" s="83"/>
      <c r="H111" s="410"/>
      <c r="I111" s="411"/>
      <c r="J111" s="411"/>
      <c r="K111" s="411"/>
      <c r="L111" s="411"/>
      <c r="M111" s="411"/>
      <c r="N111" s="411"/>
      <c r="O111" s="411"/>
      <c r="P111" s="411"/>
      <c r="Q111" s="411"/>
      <c r="R111" s="411"/>
      <c r="S111" s="412"/>
      <c r="T111" s="88"/>
    </row>
    <row r="112" spans="1:236" ht="29" x14ac:dyDescent="0.35">
      <c r="A112" s="87"/>
      <c r="B112" s="101" t="s">
        <v>167</v>
      </c>
      <c r="C112" s="134" t="s">
        <v>549</v>
      </c>
      <c r="D112" s="135" t="s">
        <v>1049</v>
      </c>
      <c r="E112" s="154" t="s">
        <v>1050</v>
      </c>
      <c r="F112" s="104"/>
      <c r="G112" s="83"/>
      <c r="H112" s="410"/>
      <c r="I112" s="411"/>
      <c r="J112" s="411"/>
      <c r="K112" s="411"/>
      <c r="L112" s="411"/>
      <c r="M112" s="411"/>
      <c r="N112" s="411"/>
      <c r="O112" s="411"/>
      <c r="P112" s="411"/>
      <c r="Q112" s="411"/>
      <c r="R112" s="411"/>
      <c r="S112" s="412"/>
      <c r="T112" s="88"/>
    </row>
    <row r="113" spans="1:236" x14ac:dyDescent="0.35">
      <c r="A113" s="87"/>
      <c r="B113" s="137" t="s">
        <v>715</v>
      </c>
      <c r="C113" s="97" t="s">
        <v>1051</v>
      </c>
      <c r="D113" s="98"/>
      <c r="E113" s="99"/>
      <c r="F113" s="145"/>
      <c r="G113" s="83"/>
      <c r="H113" s="410"/>
      <c r="I113" s="411"/>
      <c r="J113" s="411"/>
      <c r="K113" s="411"/>
      <c r="L113" s="411"/>
      <c r="M113" s="411"/>
      <c r="N113" s="411"/>
      <c r="O113" s="411"/>
      <c r="P113" s="411"/>
      <c r="Q113" s="411"/>
      <c r="R113" s="411"/>
      <c r="S113" s="412"/>
      <c r="T113" s="88"/>
    </row>
    <row r="114" spans="1:236" s="136" customFormat="1" ht="29" x14ac:dyDescent="0.35">
      <c r="A114" s="87"/>
      <c r="B114" s="101" t="s">
        <v>167</v>
      </c>
      <c r="C114" s="129" t="s">
        <v>549</v>
      </c>
      <c r="D114" s="102" t="s">
        <v>968</v>
      </c>
      <c r="E114" s="103" t="s">
        <v>963</v>
      </c>
      <c r="F114" s="104"/>
      <c r="G114" s="83"/>
      <c r="H114" s="410"/>
      <c r="I114" s="411"/>
      <c r="J114" s="411"/>
      <c r="K114" s="411"/>
      <c r="L114" s="411"/>
      <c r="M114" s="411"/>
      <c r="N114" s="411"/>
      <c r="O114" s="411"/>
      <c r="P114" s="411"/>
      <c r="Q114" s="411"/>
      <c r="R114" s="411"/>
      <c r="S114" s="412"/>
      <c r="T114" s="88"/>
      <c r="U114" s="84"/>
      <c r="V114" s="84"/>
      <c r="W114" s="84"/>
      <c r="X114" s="84"/>
      <c r="Y114" s="84"/>
      <c r="Z114" s="84"/>
      <c r="AA114" s="84"/>
      <c r="AB114" s="84"/>
      <c r="AC114" s="84"/>
      <c r="AD114" s="84"/>
      <c r="AE114" s="84"/>
      <c r="AF114" s="84"/>
      <c r="AG114" s="84"/>
      <c r="AH114" s="84"/>
      <c r="AI114" s="84"/>
      <c r="AJ114" s="84"/>
      <c r="AK114" s="84"/>
      <c r="AL114" s="84"/>
      <c r="AM114" s="84"/>
      <c r="AN114" s="84"/>
      <c r="AO114" s="84"/>
      <c r="AP114" s="84"/>
      <c r="AQ114" s="84"/>
      <c r="AR114" s="84"/>
      <c r="AS114" s="84"/>
      <c r="AT114" s="84"/>
      <c r="AU114" s="84"/>
      <c r="AV114" s="84"/>
      <c r="AW114" s="84"/>
      <c r="AX114" s="84"/>
      <c r="AY114" s="84"/>
      <c r="AZ114" s="84"/>
      <c r="BA114" s="84"/>
      <c r="BB114" s="84"/>
      <c r="BC114" s="84"/>
      <c r="BD114" s="84"/>
      <c r="BE114" s="84"/>
      <c r="BF114" s="84"/>
      <c r="BG114" s="84"/>
      <c r="BH114" s="84"/>
      <c r="BI114" s="84"/>
      <c r="BJ114" s="84"/>
      <c r="BK114" s="84"/>
      <c r="BL114" s="84"/>
      <c r="BM114" s="84"/>
      <c r="BN114" s="84"/>
      <c r="BO114" s="84"/>
      <c r="BP114" s="84"/>
      <c r="BQ114" s="84"/>
      <c r="BR114" s="84"/>
      <c r="BS114" s="84"/>
      <c r="BT114" s="84"/>
      <c r="BU114" s="84"/>
      <c r="BV114" s="84"/>
      <c r="BW114" s="84"/>
      <c r="BX114" s="84"/>
      <c r="BY114" s="84"/>
      <c r="BZ114" s="84"/>
      <c r="CA114" s="84"/>
      <c r="CB114" s="84"/>
      <c r="CC114" s="84"/>
      <c r="CD114" s="84"/>
      <c r="CE114" s="84"/>
      <c r="CF114" s="84"/>
      <c r="CG114" s="84"/>
      <c r="CH114" s="84"/>
      <c r="CI114" s="84"/>
      <c r="CJ114" s="84"/>
      <c r="CK114" s="84"/>
      <c r="CL114" s="84"/>
      <c r="CM114" s="84"/>
      <c r="CN114" s="84"/>
      <c r="CO114" s="84"/>
      <c r="CP114" s="84"/>
      <c r="CQ114" s="84"/>
      <c r="CR114" s="84"/>
      <c r="CS114" s="84"/>
      <c r="CT114" s="84"/>
      <c r="CU114" s="84"/>
      <c r="CV114" s="84"/>
      <c r="CW114" s="84"/>
      <c r="CX114" s="84"/>
      <c r="CY114" s="84"/>
      <c r="CZ114" s="84"/>
      <c r="DA114" s="84"/>
      <c r="DB114" s="84"/>
      <c r="DC114" s="84"/>
      <c r="DD114" s="84"/>
      <c r="DE114" s="84"/>
      <c r="DF114" s="84"/>
      <c r="DG114" s="84"/>
      <c r="DH114" s="84"/>
      <c r="DI114" s="84"/>
      <c r="DJ114" s="84"/>
      <c r="DK114" s="84"/>
      <c r="DL114" s="84"/>
      <c r="DM114" s="84"/>
      <c r="DN114" s="84"/>
      <c r="DO114" s="84"/>
      <c r="DP114" s="84"/>
      <c r="DQ114" s="84"/>
      <c r="DR114" s="84"/>
      <c r="DS114" s="84"/>
      <c r="DT114" s="84"/>
      <c r="DU114" s="84"/>
      <c r="DV114" s="84"/>
      <c r="DW114" s="84"/>
      <c r="DX114" s="84"/>
      <c r="DY114" s="84"/>
      <c r="DZ114" s="84"/>
      <c r="EA114" s="84"/>
      <c r="EB114" s="84"/>
      <c r="EC114" s="84"/>
      <c r="ED114" s="84"/>
      <c r="EE114" s="84"/>
      <c r="EF114" s="84"/>
      <c r="EG114" s="84"/>
      <c r="EH114" s="84"/>
      <c r="EI114" s="84"/>
      <c r="EJ114" s="84"/>
      <c r="EK114" s="84"/>
      <c r="EL114" s="84"/>
      <c r="EM114" s="84"/>
      <c r="EN114" s="84"/>
      <c r="EO114" s="84"/>
      <c r="EP114" s="84"/>
      <c r="EQ114" s="84"/>
      <c r="ER114" s="84"/>
      <c r="ES114" s="84"/>
      <c r="ET114" s="84"/>
      <c r="EU114" s="84"/>
      <c r="EV114" s="84"/>
      <c r="EW114" s="84"/>
      <c r="EX114" s="84"/>
      <c r="EY114" s="84"/>
      <c r="EZ114" s="84"/>
      <c r="FA114" s="84"/>
      <c r="FB114" s="84"/>
      <c r="FC114" s="84"/>
      <c r="FD114" s="84"/>
      <c r="FE114" s="84"/>
      <c r="FF114" s="84"/>
      <c r="FG114" s="84"/>
      <c r="FH114" s="84"/>
      <c r="FI114" s="84"/>
      <c r="FJ114" s="84"/>
      <c r="FK114" s="84"/>
      <c r="FL114" s="84"/>
      <c r="FM114" s="84"/>
      <c r="FN114" s="84"/>
      <c r="FO114" s="84"/>
      <c r="FP114" s="84"/>
      <c r="FQ114" s="84"/>
      <c r="FR114" s="84"/>
      <c r="FS114" s="84"/>
      <c r="FT114" s="84"/>
      <c r="FU114" s="84"/>
      <c r="FV114" s="84"/>
      <c r="FW114" s="84"/>
      <c r="FX114" s="84"/>
      <c r="FY114" s="84"/>
      <c r="FZ114" s="84"/>
      <c r="GA114" s="84"/>
      <c r="GB114" s="84"/>
      <c r="GC114" s="84"/>
      <c r="GD114" s="84"/>
      <c r="GE114" s="84"/>
      <c r="GF114" s="84"/>
      <c r="GG114" s="84"/>
      <c r="GH114" s="84"/>
      <c r="GI114" s="84"/>
      <c r="GJ114" s="84"/>
      <c r="GK114" s="84"/>
      <c r="GL114" s="84"/>
      <c r="GM114" s="84"/>
      <c r="GN114" s="84"/>
      <c r="GO114" s="84"/>
      <c r="GP114" s="84"/>
      <c r="GQ114" s="84"/>
      <c r="GR114" s="84"/>
      <c r="GS114" s="84"/>
      <c r="GT114" s="84"/>
      <c r="GU114" s="84"/>
      <c r="GV114" s="84"/>
      <c r="GW114" s="84"/>
      <c r="GX114" s="84"/>
      <c r="GY114" s="84"/>
      <c r="GZ114" s="84"/>
      <c r="HA114" s="84"/>
      <c r="HB114" s="84"/>
      <c r="HC114" s="84"/>
      <c r="HD114" s="84"/>
      <c r="HE114" s="84"/>
      <c r="HF114" s="84"/>
      <c r="HG114" s="84"/>
      <c r="HH114" s="84"/>
      <c r="HI114" s="84"/>
      <c r="HJ114" s="84"/>
      <c r="HK114" s="84"/>
      <c r="HL114" s="84"/>
      <c r="HM114" s="84"/>
      <c r="HN114" s="84"/>
      <c r="HO114" s="84"/>
      <c r="HP114" s="84"/>
      <c r="HQ114" s="84"/>
      <c r="HR114" s="84"/>
      <c r="HS114" s="84"/>
      <c r="HT114" s="84"/>
      <c r="HU114" s="84"/>
      <c r="HV114" s="84"/>
      <c r="HW114" s="84"/>
      <c r="HX114" s="84"/>
      <c r="HY114" s="84"/>
      <c r="HZ114" s="84"/>
      <c r="IA114" s="84"/>
      <c r="IB114" s="84"/>
    </row>
    <row r="115" spans="1:236" s="157" customFormat="1" ht="43.5" x14ac:dyDescent="0.35">
      <c r="A115" s="87"/>
      <c r="B115" s="101" t="s">
        <v>167</v>
      </c>
      <c r="C115" s="147" t="s">
        <v>549</v>
      </c>
      <c r="D115" s="102" t="s">
        <v>1052</v>
      </c>
      <c r="E115" s="103" t="s">
        <v>1053</v>
      </c>
      <c r="F115" s="104"/>
      <c r="G115" s="83"/>
      <c r="H115" s="410"/>
      <c r="I115" s="411"/>
      <c r="J115" s="411"/>
      <c r="K115" s="411"/>
      <c r="L115" s="411"/>
      <c r="M115" s="411"/>
      <c r="N115" s="411"/>
      <c r="O115" s="411"/>
      <c r="P115" s="411"/>
      <c r="Q115" s="411"/>
      <c r="R115" s="411"/>
      <c r="S115" s="412"/>
      <c r="T115" s="88"/>
      <c r="U115" s="84"/>
      <c r="V115" s="84"/>
      <c r="W115" s="84"/>
      <c r="X115" s="84"/>
      <c r="Y115" s="84"/>
      <c r="Z115" s="84"/>
      <c r="AA115" s="84"/>
      <c r="AB115" s="84"/>
      <c r="AC115" s="84"/>
      <c r="AD115" s="84"/>
      <c r="AE115" s="84"/>
      <c r="AF115" s="84"/>
      <c r="AG115" s="84"/>
      <c r="AH115" s="84"/>
      <c r="AI115" s="84"/>
      <c r="AJ115" s="84"/>
      <c r="AK115" s="84"/>
      <c r="AL115" s="84"/>
      <c r="AM115" s="84"/>
      <c r="AN115" s="84"/>
      <c r="AO115" s="84"/>
      <c r="AP115" s="84"/>
      <c r="AQ115" s="84"/>
      <c r="AR115" s="84"/>
      <c r="AS115" s="84"/>
      <c r="AT115" s="84"/>
      <c r="AU115" s="84"/>
      <c r="AV115" s="84"/>
      <c r="AW115" s="84"/>
      <c r="AX115" s="84"/>
      <c r="AY115" s="84"/>
      <c r="AZ115" s="84"/>
      <c r="BA115" s="84"/>
      <c r="BB115" s="84"/>
      <c r="BC115" s="84"/>
      <c r="BD115" s="84"/>
      <c r="BE115" s="84"/>
      <c r="BF115" s="84"/>
      <c r="BG115" s="84"/>
      <c r="BH115" s="84"/>
      <c r="BI115" s="84"/>
      <c r="BJ115" s="84"/>
      <c r="BK115" s="84"/>
      <c r="BL115" s="84"/>
      <c r="BM115" s="84"/>
      <c r="BN115" s="84"/>
      <c r="BO115" s="84"/>
      <c r="BP115" s="84"/>
      <c r="BQ115" s="84"/>
      <c r="BR115" s="84"/>
      <c r="BS115" s="84"/>
      <c r="BT115" s="84"/>
      <c r="BU115" s="84"/>
      <c r="BV115" s="84"/>
      <c r="BW115" s="84"/>
      <c r="BX115" s="84"/>
      <c r="BY115" s="84"/>
      <c r="BZ115" s="84"/>
      <c r="CA115" s="84"/>
      <c r="CB115" s="84"/>
      <c r="CC115" s="84"/>
      <c r="CD115" s="84"/>
      <c r="CE115" s="84"/>
      <c r="CF115" s="84"/>
      <c r="CG115" s="84"/>
      <c r="CH115" s="84"/>
      <c r="CI115" s="84"/>
      <c r="CJ115" s="84"/>
      <c r="CK115" s="84"/>
      <c r="CL115" s="84"/>
      <c r="CM115" s="84"/>
      <c r="CN115" s="84"/>
      <c r="CO115" s="84"/>
      <c r="CP115" s="84"/>
      <c r="CQ115" s="84"/>
      <c r="CR115" s="84"/>
      <c r="CS115" s="84"/>
      <c r="CT115" s="84"/>
      <c r="CU115" s="84"/>
      <c r="CV115" s="84"/>
      <c r="CW115" s="84"/>
      <c r="CX115" s="84"/>
      <c r="CY115" s="84"/>
      <c r="CZ115" s="84"/>
      <c r="DA115" s="84"/>
      <c r="DB115" s="84"/>
      <c r="DC115" s="84"/>
      <c r="DD115" s="84"/>
      <c r="DE115" s="84"/>
      <c r="DF115" s="84"/>
      <c r="DG115" s="84"/>
      <c r="DH115" s="84"/>
      <c r="DI115" s="84"/>
      <c r="DJ115" s="84"/>
      <c r="DK115" s="84"/>
      <c r="DL115" s="84"/>
      <c r="DM115" s="84"/>
      <c r="DN115" s="84"/>
      <c r="DO115" s="84"/>
      <c r="DP115" s="84"/>
      <c r="DQ115" s="84"/>
      <c r="DR115" s="84"/>
      <c r="DS115" s="84"/>
      <c r="DT115" s="84"/>
      <c r="DU115" s="84"/>
      <c r="DV115" s="84"/>
      <c r="DW115" s="84"/>
      <c r="DX115" s="84"/>
      <c r="DY115" s="84"/>
      <c r="DZ115" s="84"/>
      <c r="EA115" s="84"/>
      <c r="EB115" s="84"/>
      <c r="EC115" s="84"/>
      <c r="ED115" s="84"/>
      <c r="EE115" s="84"/>
      <c r="EF115" s="84"/>
      <c r="EG115" s="84"/>
      <c r="EH115" s="84"/>
      <c r="EI115" s="84"/>
      <c r="EJ115" s="84"/>
      <c r="EK115" s="84"/>
      <c r="EL115" s="84"/>
      <c r="EM115" s="84"/>
      <c r="EN115" s="84"/>
      <c r="EO115" s="84"/>
      <c r="EP115" s="84"/>
      <c r="EQ115" s="84"/>
      <c r="ER115" s="84"/>
      <c r="ES115" s="84"/>
      <c r="ET115" s="84"/>
      <c r="EU115" s="84"/>
      <c r="EV115" s="84"/>
      <c r="EW115" s="84"/>
      <c r="EX115" s="84"/>
      <c r="EY115" s="84"/>
      <c r="EZ115" s="84"/>
      <c r="FA115" s="84"/>
      <c r="FB115" s="84"/>
      <c r="FC115" s="84"/>
      <c r="FD115" s="84"/>
      <c r="FE115" s="84"/>
      <c r="FF115" s="84"/>
      <c r="FG115" s="84"/>
      <c r="FH115" s="84"/>
      <c r="FI115" s="84"/>
      <c r="FJ115" s="84"/>
      <c r="FK115" s="84"/>
      <c r="FL115" s="84"/>
      <c r="FM115" s="84"/>
      <c r="FN115" s="84"/>
      <c r="FO115" s="84"/>
      <c r="FP115" s="84"/>
      <c r="FQ115" s="84"/>
      <c r="FR115" s="84"/>
      <c r="FS115" s="84"/>
      <c r="FT115" s="84"/>
      <c r="FU115" s="84"/>
      <c r="FV115" s="84"/>
      <c r="FW115" s="84"/>
      <c r="FX115" s="84"/>
      <c r="FY115" s="84"/>
      <c r="FZ115" s="84"/>
      <c r="GA115" s="84"/>
      <c r="GB115" s="84"/>
      <c r="GC115" s="84"/>
      <c r="GD115" s="84"/>
      <c r="GE115" s="84"/>
      <c r="GF115" s="84"/>
      <c r="GG115" s="84"/>
      <c r="GH115" s="84"/>
      <c r="GI115" s="84"/>
      <c r="GJ115" s="84"/>
      <c r="GK115" s="84"/>
      <c r="GL115" s="84"/>
      <c r="GM115" s="84"/>
      <c r="GN115" s="84"/>
      <c r="GO115" s="84"/>
      <c r="GP115" s="84"/>
      <c r="GQ115" s="84"/>
      <c r="GR115" s="84"/>
      <c r="GS115" s="84"/>
      <c r="GT115" s="84"/>
      <c r="GU115" s="84"/>
      <c r="GV115" s="84"/>
      <c r="GW115" s="84"/>
      <c r="GX115" s="84"/>
      <c r="GY115" s="84"/>
      <c r="GZ115" s="84"/>
      <c r="HA115" s="84"/>
      <c r="HB115" s="84"/>
      <c r="HC115" s="84"/>
      <c r="HD115" s="84"/>
      <c r="HE115" s="84"/>
      <c r="HF115" s="84"/>
      <c r="HG115" s="84"/>
      <c r="HH115" s="84"/>
      <c r="HI115" s="84"/>
      <c r="HJ115" s="84"/>
      <c r="HK115" s="84"/>
      <c r="HL115" s="84"/>
      <c r="HM115" s="84"/>
      <c r="HN115" s="84"/>
      <c r="HO115" s="84"/>
      <c r="HP115" s="84"/>
      <c r="HQ115" s="84"/>
      <c r="HR115" s="84"/>
      <c r="HS115" s="84"/>
      <c r="HT115" s="84"/>
      <c r="HU115" s="84"/>
      <c r="HV115" s="84"/>
      <c r="HW115" s="84"/>
      <c r="HX115" s="84"/>
      <c r="HY115" s="84"/>
      <c r="HZ115" s="84"/>
      <c r="IA115" s="84"/>
      <c r="IB115" s="84"/>
    </row>
    <row r="116" spans="1:236" ht="15.5" x14ac:dyDescent="0.35">
      <c r="A116" s="87"/>
      <c r="B116" s="126" t="s">
        <v>729</v>
      </c>
      <c r="C116" s="428" t="s">
        <v>1054</v>
      </c>
      <c r="D116" s="429"/>
      <c r="E116" s="429"/>
      <c r="F116" s="430"/>
      <c r="G116" s="83"/>
      <c r="H116" s="410"/>
      <c r="I116" s="411"/>
      <c r="J116" s="411"/>
      <c r="K116" s="411"/>
      <c r="L116" s="411"/>
      <c r="M116" s="411"/>
      <c r="N116" s="411"/>
      <c r="O116" s="411"/>
      <c r="P116" s="411"/>
      <c r="Q116" s="411"/>
      <c r="R116" s="411"/>
      <c r="S116" s="412"/>
      <c r="T116" s="88"/>
    </row>
    <row r="117" spans="1:236" x14ac:dyDescent="0.35">
      <c r="A117" s="87"/>
      <c r="B117" s="95" t="s">
        <v>545</v>
      </c>
      <c r="C117" s="416" t="s">
        <v>1046</v>
      </c>
      <c r="D117" s="417"/>
      <c r="E117" s="417"/>
      <c r="F117" s="418"/>
      <c r="G117" s="83"/>
      <c r="H117" s="410"/>
      <c r="I117" s="411"/>
      <c r="J117" s="411"/>
      <c r="K117" s="411"/>
      <c r="L117" s="411"/>
      <c r="M117" s="411"/>
      <c r="N117" s="411"/>
      <c r="O117" s="411"/>
      <c r="P117" s="411"/>
      <c r="Q117" s="411"/>
      <c r="R117" s="411"/>
      <c r="S117" s="412"/>
      <c r="T117" s="88"/>
    </row>
    <row r="118" spans="1:236" s="136" customFormat="1" ht="29" x14ac:dyDescent="0.35">
      <c r="A118" s="87"/>
      <c r="B118" s="137" t="s">
        <v>731</v>
      </c>
      <c r="C118" s="138" t="s">
        <v>944</v>
      </c>
      <c r="D118" s="139"/>
      <c r="E118" s="139"/>
      <c r="F118" s="146"/>
      <c r="G118" s="83"/>
      <c r="H118" s="410"/>
      <c r="I118" s="411"/>
      <c r="J118" s="411"/>
      <c r="K118" s="411"/>
      <c r="L118" s="411"/>
      <c r="M118" s="411"/>
      <c r="N118" s="411"/>
      <c r="O118" s="411"/>
      <c r="P118" s="411"/>
      <c r="Q118" s="411"/>
      <c r="R118" s="411"/>
      <c r="S118" s="412"/>
      <c r="T118" s="88"/>
      <c r="U118" s="84"/>
      <c r="V118" s="84"/>
      <c r="W118" s="84"/>
      <c r="X118" s="84"/>
      <c r="Y118" s="84"/>
      <c r="Z118" s="84"/>
      <c r="AA118" s="84"/>
      <c r="AB118" s="84"/>
      <c r="AC118" s="84"/>
      <c r="AD118" s="84"/>
      <c r="AE118" s="84"/>
      <c r="AF118" s="84"/>
      <c r="AG118" s="84"/>
      <c r="AH118" s="84"/>
      <c r="AI118" s="84"/>
      <c r="AJ118" s="84"/>
      <c r="AK118" s="84"/>
      <c r="AL118" s="84"/>
      <c r="AM118" s="84"/>
      <c r="AN118" s="84"/>
      <c r="AO118" s="84"/>
      <c r="AP118" s="84"/>
      <c r="AQ118" s="84"/>
      <c r="AR118" s="84"/>
      <c r="AS118" s="84"/>
      <c r="AT118" s="84"/>
      <c r="AU118" s="84"/>
      <c r="AV118" s="84"/>
      <c r="AW118" s="84"/>
      <c r="AX118" s="84"/>
      <c r="AY118" s="84"/>
      <c r="AZ118" s="84"/>
      <c r="BA118" s="84"/>
      <c r="BB118" s="84"/>
      <c r="BC118" s="84"/>
      <c r="BD118" s="84"/>
      <c r="BE118" s="84"/>
      <c r="BF118" s="84"/>
      <c r="BG118" s="84"/>
      <c r="BH118" s="84"/>
      <c r="BI118" s="84"/>
      <c r="BJ118" s="84"/>
      <c r="BK118" s="84"/>
      <c r="BL118" s="84"/>
      <c r="BM118" s="84"/>
      <c r="BN118" s="84"/>
      <c r="BO118" s="84"/>
      <c r="BP118" s="84"/>
      <c r="BQ118" s="84"/>
      <c r="BR118" s="84"/>
      <c r="BS118" s="84"/>
      <c r="BT118" s="84"/>
      <c r="BU118" s="84"/>
      <c r="BV118" s="84"/>
      <c r="BW118" s="84"/>
      <c r="BX118" s="84"/>
      <c r="BY118" s="84"/>
      <c r="BZ118" s="84"/>
      <c r="CA118" s="84"/>
      <c r="CB118" s="84"/>
      <c r="CC118" s="84"/>
      <c r="CD118" s="84"/>
      <c r="CE118" s="84"/>
      <c r="CF118" s="84"/>
      <c r="CG118" s="84"/>
      <c r="CH118" s="84"/>
      <c r="CI118" s="84"/>
      <c r="CJ118" s="84"/>
      <c r="CK118" s="84"/>
      <c r="CL118" s="84"/>
      <c r="CM118" s="84"/>
      <c r="CN118" s="84"/>
      <c r="CO118" s="84"/>
      <c r="CP118" s="84"/>
      <c r="CQ118" s="84"/>
      <c r="CR118" s="84"/>
      <c r="CS118" s="84"/>
      <c r="CT118" s="84"/>
      <c r="CU118" s="84"/>
      <c r="CV118" s="84"/>
      <c r="CW118" s="84"/>
      <c r="CX118" s="84"/>
      <c r="CY118" s="84"/>
      <c r="CZ118" s="84"/>
      <c r="DA118" s="84"/>
      <c r="DB118" s="84"/>
      <c r="DC118" s="84"/>
      <c r="DD118" s="84"/>
      <c r="DE118" s="84"/>
      <c r="DF118" s="84"/>
      <c r="DG118" s="84"/>
      <c r="DH118" s="84"/>
      <c r="DI118" s="84"/>
      <c r="DJ118" s="84"/>
      <c r="DK118" s="84"/>
      <c r="DL118" s="84"/>
      <c r="DM118" s="84"/>
      <c r="DN118" s="84"/>
      <c r="DO118" s="84"/>
      <c r="DP118" s="84"/>
      <c r="DQ118" s="84"/>
      <c r="DR118" s="84"/>
      <c r="DS118" s="84"/>
      <c r="DT118" s="84"/>
      <c r="DU118" s="84"/>
      <c r="DV118" s="84"/>
      <c r="DW118" s="84"/>
      <c r="DX118" s="84"/>
      <c r="DY118" s="84"/>
      <c r="DZ118" s="84"/>
      <c r="EA118" s="84"/>
      <c r="EB118" s="84"/>
      <c r="EC118" s="84"/>
      <c r="ED118" s="84"/>
      <c r="EE118" s="84"/>
      <c r="EF118" s="84"/>
      <c r="EG118" s="84"/>
      <c r="EH118" s="84"/>
      <c r="EI118" s="84"/>
      <c r="EJ118" s="84"/>
      <c r="EK118" s="84"/>
      <c r="EL118" s="84"/>
      <c r="EM118" s="84"/>
      <c r="EN118" s="84"/>
      <c r="EO118" s="84"/>
      <c r="EP118" s="84"/>
      <c r="EQ118" s="84"/>
      <c r="ER118" s="84"/>
      <c r="ES118" s="84"/>
      <c r="ET118" s="84"/>
      <c r="EU118" s="84"/>
      <c r="EV118" s="84"/>
      <c r="EW118" s="84"/>
      <c r="EX118" s="84"/>
      <c r="EY118" s="84"/>
      <c r="EZ118" s="84"/>
      <c r="FA118" s="84"/>
      <c r="FB118" s="84"/>
      <c r="FC118" s="84"/>
      <c r="FD118" s="84"/>
      <c r="FE118" s="84"/>
      <c r="FF118" s="84"/>
      <c r="FG118" s="84"/>
      <c r="FH118" s="84"/>
      <c r="FI118" s="84"/>
      <c r="FJ118" s="84"/>
      <c r="FK118" s="84"/>
      <c r="FL118" s="84"/>
      <c r="FM118" s="84"/>
      <c r="FN118" s="84"/>
      <c r="FO118" s="84"/>
      <c r="FP118" s="84"/>
      <c r="FQ118" s="84"/>
      <c r="FR118" s="84"/>
      <c r="FS118" s="84"/>
      <c r="FT118" s="84"/>
      <c r="FU118" s="84"/>
      <c r="FV118" s="84"/>
      <c r="FW118" s="84"/>
      <c r="FX118" s="84"/>
      <c r="FY118" s="84"/>
      <c r="FZ118" s="84"/>
      <c r="GA118" s="84"/>
      <c r="GB118" s="84"/>
      <c r="GC118" s="84"/>
      <c r="GD118" s="84"/>
      <c r="GE118" s="84"/>
      <c r="GF118" s="84"/>
      <c r="GG118" s="84"/>
      <c r="GH118" s="84"/>
      <c r="GI118" s="84"/>
      <c r="GJ118" s="84"/>
      <c r="GK118" s="84"/>
      <c r="GL118" s="84"/>
      <c r="GM118" s="84"/>
      <c r="GN118" s="84"/>
      <c r="GO118" s="84"/>
      <c r="GP118" s="84"/>
      <c r="GQ118" s="84"/>
      <c r="GR118" s="84"/>
      <c r="GS118" s="84"/>
      <c r="GT118" s="84"/>
      <c r="GU118" s="84"/>
      <c r="GV118" s="84"/>
      <c r="GW118" s="84"/>
      <c r="GX118" s="84"/>
      <c r="GY118" s="84"/>
      <c r="GZ118" s="84"/>
      <c r="HA118" s="84"/>
      <c r="HB118" s="84"/>
      <c r="HC118" s="84"/>
      <c r="HD118" s="84"/>
      <c r="HE118" s="84"/>
      <c r="HF118" s="84"/>
      <c r="HG118" s="84"/>
      <c r="HH118" s="84"/>
      <c r="HI118" s="84"/>
      <c r="HJ118" s="84"/>
      <c r="HK118" s="84"/>
      <c r="HL118" s="84"/>
      <c r="HM118" s="84"/>
      <c r="HN118" s="84"/>
      <c r="HO118" s="84"/>
      <c r="HP118" s="84"/>
      <c r="HQ118" s="84"/>
      <c r="HR118" s="84"/>
      <c r="HS118" s="84"/>
      <c r="HT118" s="84"/>
      <c r="HU118" s="84"/>
      <c r="HV118" s="84"/>
      <c r="HW118" s="84"/>
      <c r="HX118" s="84"/>
      <c r="HY118" s="84"/>
      <c r="HZ118" s="84"/>
      <c r="IA118" s="84"/>
      <c r="IB118" s="84"/>
    </row>
    <row r="119" spans="1:236" s="136" customFormat="1" ht="29" x14ac:dyDescent="0.35">
      <c r="A119" s="87"/>
      <c r="B119" s="101" t="s">
        <v>167</v>
      </c>
      <c r="C119" s="129" t="s">
        <v>549</v>
      </c>
      <c r="D119" s="102" t="s">
        <v>950</v>
      </c>
      <c r="E119" s="103" t="s">
        <v>963</v>
      </c>
      <c r="F119" s="104"/>
      <c r="G119" s="83"/>
      <c r="H119" s="410"/>
      <c r="I119" s="411"/>
      <c r="J119" s="411"/>
      <c r="K119" s="411"/>
      <c r="L119" s="411"/>
      <c r="M119" s="411"/>
      <c r="N119" s="411"/>
      <c r="O119" s="411"/>
      <c r="P119" s="411"/>
      <c r="Q119" s="411"/>
      <c r="R119" s="411"/>
      <c r="S119" s="412"/>
      <c r="T119" s="88"/>
      <c r="U119" s="84"/>
      <c r="V119" s="84"/>
      <c r="W119" s="84"/>
      <c r="X119" s="84"/>
      <c r="Y119" s="84"/>
      <c r="Z119" s="84"/>
      <c r="AA119" s="84"/>
      <c r="AB119" s="84"/>
      <c r="AC119" s="84"/>
      <c r="AD119" s="84"/>
      <c r="AE119" s="84"/>
      <c r="AF119" s="84"/>
      <c r="AG119" s="84"/>
      <c r="AH119" s="84"/>
      <c r="AI119" s="84"/>
      <c r="AJ119" s="84"/>
      <c r="AK119" s="84"/>
      <c r="AL119" s="84"/>
      <c r="AM119" s="84"/>
      <c r="AN119" s="84"/>
      <c r="AO119" s="84"/>
      <c r="AP119" s="84"/>
      <c r="AQ119" s="84"/>
      <c r="AR119" s="84"/>
      <c r="AS119" s="84"/>
      <c r="AT119" s="84"/>
      <c r="AU119" s="84"/>
      <c r="AV119" s="84"/>
      <c r="AW119" s="84"/>
      <c r="AX119" s="84"/>
      <c r="AY119" s="84"/>
      <c r="AZ119" s="84"/>
      <c r="BA119" s="84"/>
      <c r="BB119" s="84"/>
      <c r="BC119" s="84"/>
      <c r="BD119" s="84"/>
      <c r="BE119" s="84"/>
      <c r="BF119" s="84"/>
      <c r="BG119" s="84"/>
      <c r="BH119" s="84"/>
      <c r="BI119" s="84"/>
      <c r="BJ119" s="84"/>
      <c r="BK119" s="84"/>
      <c r="BL119" s="84"/>
      <c r="BM119" s="84"/>
      <c r="BN119" s="84"/>
      <c r="BO119" s="84"/>
      <c r="BP119" s="84"/>
      <c r="BQ119" s="84"/>
      <c r="BR119" s="84"/>
      <c r="BS119" s="84"/>
      <c r="BT119" s="84"/>
      <c r="BU119" s="84"/>
      <c r="BV119" s="84"/>
      <c r="BW119" s="84"/>
      <c r="BX119" s="84"/>
      <c r="BY119" s="84"/>
      <c r="BZ119" s="84"/>
      <c r="CA119" s="84"/>
      <c r="CB119" s="84"/>
      <c r="CC119" s="84"/>
      <c r="CD119" s="84"/>
      <c r="CE119" s="84"/>
      <c r="CF119" s="84"/>
      <c r="CG119" s="84"/>
      <c r="CH119" s="84"/>
      <c r="CI119" s="84"/>
      <c r="CJ119" s="84"/>
      <c r="CK119" s="84"/>
      <c r="CL119" s="84"/>
      <c r="CM119" s="84"/>
      <c r="CN119" s="84"/>
      <c r="CO119" s="84"/>
      <c r="CP119" s="84"/>
      <c r="CQ119" s="84"/>
      <c r="CR119" s="84"/>
      <c r="CS119" s="84"/>
      <c r="CT119" s="84"/>
      <c r="CU119" s="84"/>
      <c r="CV119" s="84"/>
      <c r="CW119" s="84"/>
      <c r="CX119" s="84"/>
      <c r="CY119" s="84"/>
      <c r="CZ119" s="84"/>
      <c r="DA119" s="84"/>
      <c r="DB119" s="84"/>
      <c r="DC119" s="84"/>
      <c r="DD119" s="84"/>
      <c r="DE119" s="84"/>
      <c r="DF119" s="84"/>
      <c r="DG119" s="84"/>
      <c r="DH119" s="84"/>
      <c r="DI119" s="84"/>
      <c r="DJ119" s="84"/>
      <c r="DK119" s="84"/>
      <c r="DL119" s="84"/>
      <c r="DM119" s="84"/>
      <c r="DN119" s="84"/>
      <c r="DO119" s="84"/>
      <c r="DP119" s="84"/>
      <c r="DQ119" s="84"/>
      <c r="DR119" s="84"/>
      <c r="DS119" s="84"/>
      <c r="DT119" s="84"/>
      <c r="DU119" s="84"/>
      <c r="DV119" s="84"/>
      <c r="DW119" s="84"/>
      <c r="DX119" s="84"/>
      <c r="DY119" s="84"/>
      <c r="DZ119" s="84"/>
      <c r="EA119" s="84"/>
      <c r="EB119" s="84"/>
      <c r="EC119" s="84"/>
      <c r="ED119" s="84"/>
      <c r="EE119" s="84"/>
      <c r="EF119" s="84"/>
      <c r="EG119" s="84"/>
      <c r="EH119" s="84"/>
      <c r="EI119" s="84"/>
      <c r="EJ119" s="84"/>
      <c r="EK119" s="84"/>
      <c r="EL119" s="84"/>
      <c r="EM119" s="84"/>
      <c r="EN119" s="84"/>
      <c r="EO119" s="84"/>
      <c r="EP119" s="84"/>
      <c r="EQ119" s="84"/>
      <c r="ER119" s="84"/>
      <c r="ES119" s="84"/>
      <c r="ET119" s="84"/>
      <c r="EU119" s="84"/>
      <c r="EV119" s="84"/>
      <c r="EW119" s="84"/>
      <c r="EX119" s="84"/>
      <c r="EY119" s="84"/>
      <c r="EZ119" s="84"/>
      <c r="FA119" s="84"/>
      <c r="FB119" s="84"/>
      <c r="FC119" s="84"/>
      <c r="FD119" s="84"/>
      <c r="FE119" s="84"/>
      <c r="FF119" s="84"/>
      <c r="FG119" s="84"/>
      <c r="FH119" s="84"/>
      <c r="FI119" s="84"/>
      <c r="FJ119" s="84"/>
      <c r="FK119" s="84"/>
      <c r="FL119" s="84"/>
      <c r="FM119" s="84"/>
      <c r="FN119" s="84"/>
      <c r="FO119" s="84"/>
      <c r="FP119" s="84"/>
      <c r="FQ119" s="84"/>
      <c r="FR119" s="84"/>
      <c r="FS119" s="84"/>
      <c r="FT119" s="84"/>
      <c r="FU119" s="84"/>
      <c r="FV119" s="84"/>
      <c r="FW119" s="84"/>
      <c r="FX119" s="84"/>
      <c r="FY119" s="84"/>
      <c r="FZ119" s="84"/>
      <c r="GA119" s="84"/>
      <c r="GB119" s="84"/>
      <c r="GC119" s="84"/>
      <c r="GD119" s="84"/>
      <c r="GE119" s="84"/>
      <c r="GF119" s="84"/>
      <c r="GG119" s="84"/>
      <c r="GH119" s="84"/>
      <c r="GI119" s="84"/>
      <c r="GJ119" s="84"/>
      <c r="GK119" s="84"/>
      <c r="GL119" s="84"/>
      <c r="GM119" s="84"/>
      <c r="GN119" s="84"/>
      <c r="GO119" s="84"/>
      <c r="GP119" s="84"/>
      <c r="GQ119" s="84"/>
      <c r="GR119" s="84"/>
      <c r="GS119" s="84"/>
      <c r="GT119" s="84"/>
      <c r="GU119" s="84"/>
      <c r="GV119" s="84"/>
      <c r="GW119" s="84"/>
      <c r="GX119" s="84"/>
      <c r="GY119" s="84"/>
      <c r="GZ119" s="84"/>
      <c r="HA119" s="84"/>
      <c r="HB119" s="84"/>
      <c r="HC119" s="84"/>
      <c r="HD119" s="84"/>
      <c r="HE119" s="84"/>
      <c r="HF119" s="84"/>
      <c r="HG119" s="84"/>
      <c r="HH119" s="84"/>
      <c r="HI119" s="84"/>
      <c r="HJ119" s="84"/>
      <c r="HK119" s="84"/>
      <c r="HL119" s="84"/>
      <c r="HM119" s="84"/>
      <c r="HN119" s="84"/>
      <c r="HO119" s="84"/>
      <c r="HP119" s="84"/>
      <c r="HQ119" s="84"/>
      <c r="HR119" s="84"/>
      <c r="HS119" s="84"/>
      <c r="HT119" s="84"/>
      <c r="HU119" s="84"/>
      <c r="HV119" s="84"/>
      <c r="HW119" s="84"/>
      <c r="HX119" s="84"/>
      <c r="HY119" s="84"/>
      <c r="HZ119" s="84"/>
      <c r="IA119" s="84"/>
      <c r="IB119" s="84"/>
    </row>
    <row r="120" spans="1:236" s="136" customFormat="1" ht="29" x14ac:dyDescent="0.35">
      <c r="A120" s="87"/>
      <c r="B120" s="101" t="s">
        <v>167</v>
      </c>
      <c r="C120" s="129" t="s">
        <v>549</v>
      </c>
      <c r="D120" s="102" t="s">
        <v>952</v>
      </c>
      <c r="E120" s="103" t="s">
        <v>1034</v>
      </c>
      <c r="F120" s="104"/>
      <c r="G120" s="83"/>
      <c r="H120" s="410"/>
      <c r="I120" s="411"/>
      <c r="J120" s="411"/>
      <c r="K120" s="411"/>
      <c r="L120" s="411"/>
      <c r="M120" s="411"/>
      <c r="N120" s="411"/>
      <c r="O120" s="411"/>
      <c r="P120" s="411"/>
      <c r="Q120" s="411"/>
      <c r="R120" s="411"/>
      <c r="S120" s="412"/>
      <c r="T120" s="88"/>
      <c r="U120" s="84"/>
      <c r="V120" s="84"/>
      <c r="W120" s="84"/>
      <c r="X120" s="84"/>
      <c r="Y120" s="84"/>
      <c r="Z120" s="84"/>
      <c r="AA120" s="84"/>
      <c r="AB120" s="84"/>
      <c r="AC120" s="84"/>
      <c r="AD120" s="84"/>
      <c r="AE120" s="84"/>
      <c r="AF120" s="84"/>
      <c r="AG120" s="84"/>
      <c r="AH120" s="84"/>
      <c r="AI120" s="84"/>
      <c r="AJ120" s="84"/>
      <c r="AK120" s="84"/>
      <c r="AL120" s="84"/>
      <c r="AM120" s="84"/>
      <c r="AN120" s="84"/>
      <c r="AO120" s="84"/>
      <c r="AP120" s="84"/>
      <c r="AQ120" s="84"/>
      <c r="AR120" s="84"/>
      <c r="AS120" s="84"/>
      <c r="AT120" s="84"/>
      <c r="AU120" s="84"/>
      <c r="AV120" s="84"/>
      <c r="AW120" s="84"/>
      <c r="AX120" s="84"/>
      <c r="AY120" s="84"/>
      <c r="AZ120" s="84"/>
      <c r="BA120" s="84"/>
      <c r="BB120" s="84"/>
      <c r="BC120" s="84"/>
      <c r="BD120" s="84"/>
      <c r="BE120" s="84"/>
      <c r="BF120" s="84"/>
      <c r="BG120" s="84"/>
      <c r="BH120" s="84"/>
      <c r="BI120" s="84"/>
      <c r="BJ120" s="84"/>
      <c r="BK120" s="84"/>
      <c r="BL120" s="84"/>
      <c r="BM120" s="84"/>
      <c r="BN120" s="84"/>
      <c r="BO120" s="84"/>
      <c r="BP120" s="84"/>
      <c r="BQ120" s="84"/>
      <c r="BR120" s="84"/>
      <c r="BS120" s="84"/>
      <c r="BT120" s="84"/>
      <c r="BU120" s="84"/>
      <c r="BV120" s="84"/>
      <c r="BW120" s="84"/>
      <c r="BX120" s="84"/>
      <c r="BY120" s="84"/>
      <c r="BZ120" s="84"/>
      <c r="CA120" s="84"/>
      <c r="CB120" s="84"/>
      <c r="CC120" s="84"/>
      <c r="CD120" s="84"/>
      <c r="CE120" s="84"/>
      <c r="CF120" s="84"/>
      <c r="CG120" s="84"/>
      <c r="CH120" s="84"/>
      <c r="CI120" s="84"/>
      <c r="CJ120" s="84"/>
      <c r="CK120" s="84"/>
      <c r="CL120" s="84"/>
      <c r="CM120" s="84"/>
      <c r="CN120" s="84"/>
      <c r="CO120" s="84"/>
      <c r="CP120" s="84"/>
      <c r="CQ120" s="84"/>
      <c r="CR120" s="84"/>
      <c r="CS120" s="84"/>
      <c r="CT120" s="84"/>
      <c r="CU120" s="84"/>
      <c r="CV120" s="84"/>
      <c r="CW120" s="84"/>
      <c r="CX120" s="84"/>
      <c r="CY120" s="84"/>
      <c r="CZ120" s="84"/>
      <c r="DA120" s="84"/>
      <c r="DB120" s="84"/>
      <c r="DC120" s="84"/>
      <c r="DD120" s="84"/>
      <c r="DE120" s="84"/>
      <c r="DF120" s="84"/>
      <c r="DG120" s="84"/>
      <c r="DH120" s="84"/>
      <c r="DI120" s="84"/>
      <c r="DJ120" s="84"/>
      <c r="DK120" s="84"/>
      <c r="DL120" s="84"/>
      <c r="DM120" s="84"/>
      <c r="DN120" s="84"/>
      <c r="DO120" s="84"/>
      <c r="DP120" s="84"/>
      <c r="DQ120" s="84"/>
      <c r="DR120" s="84"/>
      <c r="DS120" s="84"/>
      <c r="DT120" s="84"/>
      <c r="DU120" s="84"/>
      <c r="DV120" s="84"/>
      <c r="DW120" s="84"/>
      <c r="DX120" s="84"/>
      <c r="DY120" s="84"/>
      <c r="DZ120" s="84"/>
      <c r="EA120" s="84"/>
      <c r="EB120" s="84"/>
      <c r="EC120" s="84"/>
      <c r="ED120" s="84"/>
      <c r="EE120" s="84"/>
      <c r="EF120" s="84"/>
      <c r="EG120" s="84"/>
      <c r="EH120" s="84"/>
      <c r="EI120" s="84"/>
      <c r="EJ120" s="84"/>
      <c r="EK120" s="84"/>
      <c r="EL120" s="84"/>
      <c r="EM120" s="84"/>
      <c r="EN120" s="84"/>
      <c r="EO120" s="84"/>
      <c r="EP120" s="84"/>
      <c r="EQ120" s="84"/>
      <c r="ER120" s="84"/>
      <c r="ES120" s="84"/>
      <c r="ET120" s="84"/>
      <c r="EU120" s="84"/>
      <c r="EV120" s="84"/>
      <c r="EW120" s="84"/>
      <c r="EX120" s="84"/>
      <c r="EY120" s="84"/>
      <c r="EZ120" s="84"/>
      <c r="FA120" s="84"/>
      <c r="FB120" s="84"/>
      <c r="FC120" s="84"/>
      <c r="FD120" s="84"/>
      <c r="FE120" s="84"/>
      <c r="FF120" s="84"/>
      <c r="FG120" s="84"/>
      <c r="FH120" s="84"/>
      <c r="FI120" s="84"/>
      <c r="FJ120" s="84"/>
      <c r="FK120" s="84"/>
      <c r="FL120" s="84"/>
      <c r="FM120" s="84"/>
      <c r="FN120" s="84"/>
      <c r="FO120" s="84"/>
      <c r="FP120" s="84"/>
      <c r="FQ120" s="84"/>
      <c r="FR120" s="84"/>
      <c r="FS120" s="84"/>
      <c r="FT120" s="84"/>
      <c r="FU120" s="84"/>
      <c r="FV120" s="84"/>
      <c r="FW120" s="84"/>
      <c r="FX120" s="84"/>
      <c r="FY120" s="84"/>
      <c r="FZ120" s="84"/>
      <c r="GA120" s="84"/>
      <c r="GB120" s="84"/>
      <c r="GC120" s="84"/>
      <c r="GD120" s="84"/>
      <c r="GE120" s="84"/>
      <c r="GF120" s="84"/>
      <c r="GG120" s="84"/>
      <c r="GH120" s="84"/>
      <c r="GI120" s="84"/>
      <c r="GJ120" s="84"/>
      <c r="GK120" s="84"/>
      <c r="GL120" s="84"/>
      <c r="GM120" s="84"/>
      <c r="GN120" s="84"/>
      <c r="GO120" s="84"/>
      <c r="GP120" s="84"/>
      <c r="GQ120" s="84"/>
      <c r="GR120" s="84"/>
      <c r="GS120" s="84"/>
      <c r="GT120" s="84"/>
      <c r="GU120" s="84"/>
      <c r="GV120" s="84"/>
      <c r="GW120" s="84"/>
      <c r="GX120" s="84"/>
      <c r="GY120" s="84"/>
      <c r="GZ120" s="84"/>
      <c r="HA120" s="84"/>
      <c r="HB120" s="84"/>
      <c r="HC120" s="84"/>
      <c r="HD120" s="84"/>
      <c r="HE120" s="84"/>
      <c r="HF120" s="84"/>
      <c r="HG120" s="84"/>
      <c r="HH120" s="84"/>
      <c r="HI120" s="84"/>
      <c r="HJ120" s="84"/>
      <c r="HK120" s="84"/>
      <c r="HL120" s="84"/>
      <c r="HM120" s="84"/>
      <c r="HN120" s="84"/>
      <c r="HO120" s="84"/>
      <c r="HP120" s="84"/>
      <c r="HQ120" s="84"/>
      <c r="HR120" s="84"/>
      <c r="HS120" s="84"/>
      <c r="HT120" s="84"/>
      <c r="HU120" s="84"/>
      <c r="HV120" s="84"/>
      <c r="HW120" s="84"/>
      <c r="HX120" s="84"/>
      <c r="HY120" s="84"/>
      <c r="HZ120" s="84"/>
      <c r="IA120" s="84"/>
      <c r="IB120" s="84"/>
    </row>
    <row r="121" spans="1:236" s="136" customFormat="1" x14ac:dyDescent="0.35">
      <c r="A121" s="87"/>
      <c r="B121" s="101" t="s">
        <v>167</v>
      </c>
      <c r="C121" s="129" t="s">
        <v>549</v>
      </c>
      <c r="D121" s="102" t="s">
        <v>1035</v>
      </c>
      <c r="E121" s="103" t="s">
        <v>1036</v>
      </c>
      <c r="F121" s="104"/>
      <c r="G121" s="83"/>
      <c r="H121" s="410"/>
      <c r="I121" s="411"/>
      <c r="J121" s="411"/>
      <c r="K121" s="411"/>
      <c r="L121" s="411"/>
      <c r="M121" s="411"/>
      <c r="N121" s="411"/>
      <c r="O121" s="411"/>
      <c r="P121" s="411"/>
      <c r="Q121" s="411"/>
      <c r="R121" s="411"/>
      <c r="S121" s="412"/>
      <c r="T121" s="88"/>
      <c r="U121" s="84"/>
      <c r="V121" s="84"/>
      <c r="W121" s="84"/>
      <c r="X121" s="84"/>
      <c r="Y121" s="84"/>
      <c r="Z121" s="84"/>
      <c r="AA121" s="84"/>
      <c r="AB121" s="84"/>
      <c r="AC121" s="84"/>
      <c r="AD121" s="84"/>
      <c r="AE121" s="84"/>
      <c r="AF121" s="84"/>
      <c r="AG121" s="84"/>
      <c r="AH121" s="84"/>
      <c r="AI121" s="84"/>
      <c r="AJ121" s="84"/>
      <c r="AK121" s="84"/>
      <c r="AL121" s="84"/>
      <c r="AM121" s="84"/>
      <c r="AN121" s="84"/>
      <c r="AO121" s="84"/>
      <c r="AP121" s="84"/>
      <c r="AQ121" s="84"/>
      <c r="AR121" s="84"/>
      <c r="AS121" s="84"/>
      <c r="AT121" s="84"/>
      <c r="AU121" s="84"/>
      <c r="AV121" s="84"/>
      <c r="AW121" s="84"/>
      <c r="AX121" s="84"/>
      <c r="AY121" s="84"/>
      <c r="AZ121" s="84"/>
      <c r="BA121" s="84"/>
      <c r="BB121" s="84"/>
      <c r="BC121" s="84"/>
      <c r="BD121" s="84"/>
      <c r="BE121" s="84"/>
      <c r="BF121" s="84"/>
      <c r="BG121" s="84"/>
      <c r="BH121" s="84"/>
      <c r="BI121" s="84"/>
      <c r="BJ121" s="84"/>
      <c r="BK121" s="84"/>
      <c r="BL121" s="84"/>
      <c r="BM121" s="84"/>
      <c r="BN121" s="84"/>
      <c r="BO121" s="84"/>
      <c r="BP121" s="84"/>
      <c r="BQ121" s="84"/>
      <c r="BR121" s="84"/>
      <c r="BS121" s="84"/>
      <c r="BT121" s="84"/>
      <c r="BU121" s="84"/>
      <c r="BV121" s="84"/>
      <c r="BW121" s="84"/>
      <c r="BX121" s="84"/>
      <c r="BY121" s="84"/>
      <c r="BZ121" s="84"/>
      <c r="CA121" s="84"/>
      <c r="CB121" s="84"/>
      <c r="CC121" s="84"/>
      <c r="CD121" s="84"/>
      <c r="CE121" s="84"/>
      <c r="CF121" s="84"/>
      <c r="CG121" s="84"/>
      <c r="CH121" s="84"/>
      <c r="CI121" s="84"/>
      <c r="CJ121" s="84"/>
      <c r="CK121" s="84"/>
      <c r="CL121" s="84"/>
      <c r="CM121" s="84"/>
      <c r="CN121" s="84"/>
      <c r="CO121" s="84"/>
      <c r="CP121" s="84"/>
      <c r="CQ121" s="84"/>
      <c r="CR121" s="84"/>
      <c r="CS121" s="84"/>
      <c r="CT121" s="84"/>
      <c r="CU121" s="84"/>
      <c r="CV121" s="84"/>
      <c r="CW121" s="84"/>
      <c r="CX121" s="84"/>
      <c r="CY121" s="84"/>
      <c r="CZ121" s="84"/>
      <c r="DA121" s="84"/>
      <c r="DB121" s="84"/>
      <c r="DC121" s="84"/>
      <c r="DD121" s="84"/>
      <c r="DE121" s="84"/>
      <c r="DF121" s="84"/>
      <c r="DG121" s="84"/>
      <c r="DH121" s="84"/>
      <c r="DI121" s="84"/>
      <c r="DJ121" s="84"/>
      <c r="DK121" s="84"/>
      <c r="DL121" s="84"/>
      <c r="DM121" s="84"/>
      <c r="DN121" s="84"/>
      <c r="DO121" s="84"/>
      <c r="DP121" s="84"/>
      <c r="DQ121" s="84"/>
      <c r="DR121" s="84"/>
      <c r="DS121" s="84"/>
      <c r="DT121" s="84"/>
      <c r="DU121" s="84"/>
      <c r="DV121" s="84"/>
      <c r="DW121" s="84"/>
      <c r="DX121" s="84"/>
      <c r="DY121" s="84"/>
      <c r="DZ121" s="84"/>
      <c r="EA121" s="84"/>
      <c r="EB121" s="84"/>
      <c r="EC121" s="84"/>
      <c r="ED121" s="84"/>
      <c r="EE121" s="84"/>
      <c r="EF121" s="84"/>
      <c r="EG121" s="84"/>
      <c r="EH121" s="84"/>
      <c r="EI121" s="84"/>
      <c r="EJ121" s="84"/>
      <c r="EK121" s="84"/>
      <c r="EL121" s="84"/>
      <c r="EM121" s="84"/>
      <c r="EN121" s="84"/>
      <c r="EO121" s="84"/>
      <c r="EP121" s="84"/>
      <c r="EQ121" s="84"/>
      <c r="ER121" s="84"/>
      <c r="ES121" s="84"/>
      <c r="ET121" s="84"/>
      <c r="EU121" s="84"/>
      <c r="EV121" s="84"/>
      <c r="EW121" s="84"/>
      <c r="EX121" s="84"/>
      <c r="EY121" s="84"/>
      <c r="EZ121" s="84"/>
      <c r="FA121" s="84"/>
      <c r="FB121" s="84"/>
      <c r="FC121" s="84"/>
      <c r="FD121" s="84"/>
      <c r="FE121" s="84"/>
      <c r="FF121" s="84"/>
      <c r="FG121" s="84"/>
      <c r="FH121" s="84"/>
      <c r="FI121" s="84"/>
      <c r="FJ121" s="84"/>
      <c r="FK121" s="84"/>
      <c r="FL121" s="84"/>
      <c r="FM121" s="84"/>
      <c r="FN121" s="84"/>
      <c r="FO121" s="84"/>
      <c r="FP121" s="84"/>
      <c r="FQ121" s="84"/>
      <c r="FR121" s="84"/>
      <c r="FS121" s="84"/>
      <c r="FT121" s="84"/>
      <c r="FU121" s="84"/>
      <c r="FV121" s="84"/>
      <c r="FW121" s="84"/>
      <c r="FX121" s="84"/>
      <c r="FY121" s="84"/>
      <c r="FZ121" s="84"/>
      <c r="GA121" s="84"/>
      <c r="GB121" s="84"/>
      <c r="GC121" s="84"/>
      <c r="GD121" s="84"/>
      <c r="GE121" s="84"/>
      <c r="GF121" s="84"/>
      <c r="GG121" s="84"/>
      <c r="GH121" s="84"/>
      <c r="GI121" s="84"/>
      <c r="GJ121" s="84"/>
      <c r="GK121" s="84"/>
      <c r="GL121" s="84"/>
      <c r="GM121" s="84"/>
      <c r="GN121" s="84"/>
      <c r="GO121" s="84"/>
      <c r="GP121" s="84"/>
      <c r="GQ121" s="84"/>
      <c r="GR121" s="84"/>
      <c r="GS121" s="84"/>
      <c r="GT121" s="84"/>
      <c r="GU121" s="84"/>
      <c r="GV121" s="84"/>
      <c r="GW121" s="84"/>
      <c r="GX121" s="84"/>
      <c r="GY121" s="84"/>
      <c r="GZ121" s="84"/>
      <c r="HA121" s="84"/>
      <c r="HB121" s="84"/>
      <c r="HC121" s="84"/>
      <c r="HD121" s="84"/>
      <c r="HE121" s="84"/>
      <c r="HF121" s="84"/>
      <c r="HG121" s="84"/>
      <c r="HH121" s="84"/>
      <c r="HI121" s="84"/>
      <c r="HJ121" s="84"/>
      <c r="HK121" s="84"/>
      <c r="HL121" s="84"/>
      <c r="HM121" s="84"/>
      <c r="HN121" s="84"/>
      <c r="HO121" s="84"/>
      <c r="HP121" s="84"/>
      <c r="HQ121" s="84"/>
      <c r="HR121" s="84"/>
      <c r="HS121" s="84"/>
      <c r="HT121" s="84"/>
      <c r="HU121" s="84"/>
      <c r="HV121" s="84"/>
      <c r="HW121" s="84"/>
      <c r="HX121" s="84"/>
      <c r="HY121" s="84"/>
      <c r="HZ121" s="84"/>
      <c r="IA121" s="84"/>
      <c r="IB121" s="84"/>
    </row>
    <row r="122" spans="1:236" s="136" customFormat="1" x14ac:dyDescent="0.35">
      <c r="A122" s="87"/>
      <c r="B122" s="101" t="s">
        <v>167</v>
      </c>
      <c r="C122" s="129" t="s">
        <v>549</v>
      </c>
      <c r="D122" s="102" t="s">
        <v>954</v>
      </c>
      <c r="E122" s="103" t="s">
        <v>955</v>
      </c>
      <c r="F122" s="104"/>
      <c r="G122" s="83"/>
      <c r="H122" s="410"/>
      <c r="I122" s="411"/>
      <c r="J122" s="411"/>
      <c r="K122" s="411"/>
      <c r="L122" s="411"/>
      <c r="M122" s="411"/>
      <c r="N122" s="411"/>
      <c r="O122" s="411"/>
      <c r="P122" s="411"/>
      <c r="Q122" s="411"/>
      <c r="R122" s="411"/>
      <c r="S122" s="412"/>
      <c r="T122" s="88"/>
      <c r="U122" s="84"/>
      <c r="V122" s="84"/>
      <c r="W122" s="84"/>
      <c r="X122" s="84"/>
      <c r="Y122" s="84"/>
      <c r="Z122" s="84"/>
      <c r="AA122" s="84"/>
      <c r="AB122" s="84"/>
      <c r="AC122" s="84"/>
      <c r="AD122" s="84"/>
      <c r="AE122" s="84"/>
      <c r="AF122" s="84"/>
      <c r="AG122" s="84"/>
      <c r="AH122" s="84"/>
      <c r="AI122" s="84"/>
      <c r="AJ122" s="84"/>
      <c r="AK122" s="84"/>
      <c r="AL122" s="84"/>
      <c r="AM122" s="84"/>
      <c r="AN122" s="84"/>
      <c r="AO122" s="84"/>
      <c r="AP122" s="84"/>
      <c r="AQ122" s="84"/>
      <c r="AR122" s="84"/>
      <c r="AS122" s="84"/>
      <c r="AT122" s="84"/>
      <c r="AU122" s="84"/>
      <c r="AV122" s="84"/>
      <c r="AW122" s="84"/>
      <c r="AX122" s="84"/>
      <c r="AY122" s="84"/>
      <c r="AZ122" s="84"/>
      <c r="BA122" s="84"/>
      <c r="BB122" s="84"/>
      <c r="BC122" s="84"/>
      <c r="BD122" s="84"/>
      <c r="BE122" s="84"/>
      <c r="BF122" s="84"/>
      <c r="BG122" s="84"/>
      <c r="BH122" s="84"/>
      <c r="BI122" s="84"/>
      <c r="BJ122" s="84"/>
      <c r="BK122" s="84"/>
      <c r="BL122" s="84"/>
      <c r="BM122" s="84"/>
      <c r="BN122" s="84"/>
      <c r="BO122" s="84"/>
      <c r="BP122" s="84"/>
      <c r="BQ122" s="84"/>
      <c r="BR122" s="84"/>
      <c r="BS122" s="84"/>
      <c r="BT122" s="84"/>
      <c r="BU122" s="84"/>
      <c r="BV122" s="84"/>
      <c r="BW122" s="84"/>
      <c r="BX122" s="84"/>
      <c r="BY122" s="84"/>
      <c r="BZ122" s="84"/>
      <c r="CA122" s="84"/>
      <c r="CB122" s="84"/>
      <c r="CC122" s="84"/>
      <c r="CD122" s="84"/>
      <c r="CE122" s="84"/>
      <c r="CF122" s="84"/>
      <c r="CG122" s="84"/>
      <c r="CH122" s="84"/>
      <c r="CI122" s="84"/>
      <c r="CJ122" s="84"/>
      <c r="CK122" s="84"/>
      <c r="CL122" s="84"/>
      <c r="CM122" s="84"/>
      <c r="CN122" s="84"/>
      <c r="CO122" s="84"/>
      <c r="CP122" s="84"/>
      <c r="CQ122" s="84"/>
      <c r="CR122" s="84"/>
      <c r="CS122" s="84"/>
      <c r="CT122" s="84"/>
      <c r="CU122" s="84"/>
      <c r="CV122" s="84"/>
      <c r="CW122" s="84"/>
      <c r="CX122" s="84"/>
      <c r="CY122" s="84"/>
      <c r="CZ122" s="84"/>
      <c r="DA122" s="84"/>
      <c r="DB122" s="84"/>
      <c r="DC122" s="84"/>
      <c r="DD122" s="84"/>
      <c r="DE122" s="84"/>
      <c r="DF122" s="84"/>
      <c r="DG122" s="84"/>
      <c r="DH122" s="84"/>
      <c r="DI122" s="84"/>
      <c r="DJ122" s="84"/>
      <c r="DK122" s="84"/>
      <c r="DL122" s="84"/>
      <c r="DM122" s="84"/>
      <c r="DN122" s="84"/>
      <c r="DO122" s="84"/>
      <c r="DP122" s="84"/>
      <c r="DQ122" s="84"/>
      <c r="DR122" s="84"/>
      <c r="DS122" s="84"/>
      <c r="DT122" s="84"/>
      <c r="DU122" s="84"/>
      <c r="DV122" s="84"/>
      <c r="DW122" s="84"/>
      <c r="DX122" s="84"/>
      <c r="DY122" s="84"/>
      <c r="DZ122" s="84"/>
      <c r="EA122" s="84"/>
      <c r="EB122" s="84"/>
      <c r="EC122" s="84"/>
      <c r="ED122" s="84"/>
      <c r="EE122" s="84"/>
      <c r="EF122" s="84"/>
      <c r="EG122" s="84"/>
      <c r="EH122" s="84"/>
      <c r="EI122" s="84"/>
      <c r="EJ122" s="84"/>
      <c r="EK122" s="84"/>
      <c r="EL122" s="84"/>
      <c r="EM122" s="84"/>
      <c r="EN122" s="84"/>
      <c r="EO122" s="84"/>
      <c r="EP122" s="84"/>
      <c r="EQ122" s="84"/>
      <c r="ER122" s="84"/>
      <c r="ES122" s="84"/>
      <c r="ET122" s="84"/>
      <c r="EU122" s="84"/>
      <c r="EV122" s="84"/>
      <c r="EW122" s="84"/>
      <c r="EX122" s="84"/>
      <c r="EY122" s="84"/>
      <c r="EZ122" s="84"/>
      <c r="FA122" s="84"/>
      <c r="FB122" s="84"/>
      <c r="FC122" s="84"/>
      <c r="FD122" s="84"/>
      <c r="FE122" s="84"/>
      <c r="FF122" s="84"/>
      <c r="FG122" s="84"/>
      <c r="FH122" s="84"/>
      <c r="FI122" s="84"/>
      <c r="FJ122" s="84"/>
      <c r="FK122" s="84"/>
      <c r="FL122" s="84"/>
      <c r="FM122" s="84"/>
      <c r="FN122" s="84"/>
      <c r="FO122" s="84"/>
      <c r="FP122" s="84"/>
      <c r="FQ122" s="84"/>
      <c r="FR122" s="84"/>
      <c r="FS122" s="84"/>
      <c r="FT122" s="84"/>
      <c r="FU122" s="84"/>
      <c r="FV122" s="84"/>
      <c r="FW122" s="84"/>
      <c r="FX122" s="84"/>
      <c r="FY122" s="84"/>
      <c r="FZ122" s="84"/>
      <c r="GA122" s="84"/>
      <c r="GB122" s="84"/>
      <c r="GC122" s="84"/>
      <c r="GD122" s="84"/>
      <c r="GE122" s="84"/>
      <c r="GF122" s="84"/>
      <c r="GG122" s="84"/>
      <c r="GH122" s="84"/>
      <c r="GI122" s="84"/>
      <c r="GJ122" s="84"/>
      <c r="GK122" s="84"/>
      <c r="GL122" s="84"/>
      <c r="GM122" s="84"/>
      <c r="GN122" s="84"/>
      <c r="GO122" s="84"/>
      <c r="GP122" s="84"/>
      <c r="GQ122" s="84"/>
      <c r="GR122" s="84"/>
      <c r="GS122" s="84"/>
      <c r="GT122" s="84"/>
      <c r="GU122" s="84"/>
      <c r="GV122" s="84"/>
      <c r="GW122" s="84"/>
      <c r="GX122" s="84"/>
      <c r="GY122" s="84"/>
      <c r="GZ122" s="84"/>
      <c r="HA122" s="84"/>
      <c r="HB122" s="84"/>
      <c r="HC122" s="84"/>
      <c r="HD122" s="84"/>
      <c r="HE122" s="84"/>
      <c r="HF122" s="84"/>
      <c r="HG122" s="84"/>
      <c r="HH122" s="84"/>
      <c r="HI122" s="84"/>
      <c r="HJ122" s="84"/>
      <c r="HK122" s="84"/>
      <c r="HL122" s="84"/>
      <c r="HM122" s="84"/>
      <c r="HN122" s="84"/>
      <c r="HO122" s="84"/>
      <c r="HP122" s="84"/>
      <c r="HQ122" s="84"/>
      <c r="HR122" s="84"/>
      <c r="HS122" s="84"/>
      <c r="HT122" s="84"/>
      <c r="HU122" s="84"/>
      <c r="HV122" s="84"/>
      <c r="HW122" s="84"/>
      <c r="HX122" s="84"/>
      <c r="HY122" s="84"/>
      <c r="HZ122" s="84"/>
      <c r="IA122" s="84"/>
      <c r="IB122" s="84"/>
    </row>
    <row r="123" spans="1:236" s="136" customFormat="1" x14ac:dyDescent="0.35">
      <c r="A123" s="87"/>
      <c r="B123" s="101" t="s">
        <v>167</v>
      </c>
      <c r="C123" s="129" t="s">
        <v>549</v>
      </c>
      <c r="D123" s="102" t="s">
        <v>956</v>
      </c>
      <c r="E123" s="103" t="s">
        <v>957</v>
      </c>
      <c r="F123" s="104"/>
      <c r="G123" s="83"/>
      <c r="H123" s="410"/>
      <c r="I123" s="411"/>
      <c r="J123" s="411"/>
      <c r="K123" s="411"/>
      <c r="L123" s="411"/>
      <c r="M123" s="411"/>
      <c r="N123" s="411"/>
      <c r="O123" s="411"/>
      <c r="P123" s="411"/>
      <c r="Q123" s="411"/>
      <c r="R123" s="411"/>
      <c r="S123" s="412"/>
      <c r="T123" s="88"/>
      <c r="U123" s="84"/>
      <c r="V123" s="84"/>
      <c r="W123" s="84"/>
      <c r="X123" s="84"/>
      <c r="Y123" s="84"/>
      <c r="Z123" s="84"/>
      <c r="AA123" s="84"/>
      <c r="AB123" s="84"/>
      <c r="AC123" s="84"/>
      <c r="AD123" s="84"/>
      <c r="AE123" s="84"/>
      <c r="AF123" s="84"/>
      <c r="AG123" s="84"/>
      <c r="AH123" s="84"/>
      <c r="AI123" s="84"/>
      <c r="AJ123" s="84"/>
      <c r="AK123" s="84"/>
      <c r="AL123" s="84"/>
      <c r="AM123" s="84"/>
      <c r="AN123" s="84"/>
      <c r="AO123" s="84"/>
      <c r="AP123" s="84"/>
      <c r="AQ123" s="84"/>
      <c r="AR123" s="84"/>
      <c r="AS123" s="84"/>
      <c r="AT123" s="84"/>
      <c r="AU123" s="84"/>
      <c r="AV123" s="84"/>
      <c r="AW123" s="84"/>
      <c r="AX123" s="84"/>
      <c r="AY123" s="84"/>
      <c r="AZ123" s="84"/>
      <c r="BA123" s="84"/>
      <c r="BB123" s="84"/>
      <c r="BC123" s="84"/>
      <c r="BD123" s="84"/>
      <c r="BE123" s="84"/>
      <c r="BF123" s="84"/>
      <c r="BG123" s="84"/>
      <c r="BH123" s="84"/>
      <c r="BI123" s="84"/>
      <c r="BJ123" s="84"/>
      <c r="BK123" s="84"/>
      <c r="BL123" s="84"/>
      <c r="BM123" s="84"/>
      <c r="BN123" s="84"/>
      <c r="BO123" s="84"/>
      <c r="BP123" s="84"/>
      <c r="BQ123" s="84"/>
      <c r="BR123" s="84"/>
      <c r="BS123" s="84"/>
      <c r="BT123" s="84"/>
      <c r="BU123" s="84"/>
      <c r="BV123" s="84"/>
      <c r="BW123" s="84"/>
      <c r="BX123" s="84"/>
      <c r="BY123" s="84"/>
      <c r="BZ123" s="84"/>
      <c r="CA123" s="84"/>
      <c r="CB123" s="84"/>
      <c r="CC123" s="84"/>
      <c r="CD123" s="84"/>
      <c r="CE123" s="84"/>
      <c r="CF123" s="84"/>
      <c r="CG123" s="84"/>
      <c r="CH123" s="84"/>
      <c r="CI123" s="84"/>
      <c r="CJ123" s="84"/>
      <c r="CK123" s="84"/>
      <c r="CL123" s="84"/>
      <c r="CM123" s="84"/>
      <c r="CN123" s="84"/>
      <c r="CO123" s="84"/>
      <c r="CP123" s="84"/>
      <c r="CQ123" s="84"/>
      <c r="CR123" s="84"/>
      <c r="CS123" s="84"/>
      <c r="CT123" s="84"/>
      <c r="CU123" s="84"/>
      <c r="CV123" s="84"/>
      <c r="CW123" s="84"/>
      <c r="CX123" s="84"/>
      <c r="CY123" s="84"/>
      <c r="CZ123" s="84"/>
      <c r="DA123" s="84"/>
      <c r="DB123" s="84"/>
      <c r="DC123" s="84"/>
      <c r="DD123" s="84"/>
      <c r="DE123" s="84"/>
      <c r="DF123" s="84"/>
      <c r="DG123" s="84"/>
      <c r="DH123" s="84"/>
      <c r="DI123" s="84"/>
      <c r="DJ123" s="84"/>
      <c r="DK123" s="84"/>
      <c r="DL123" s="84"/>
      <c r="DM123" s="84"/>
      <c r="DN123" s="84"/>
      <c r="DO123" s="84"/>
      <c r="DP123" s="84"/>
      <c r="DQ123" s="84"/>
      <c r="DR123" s="84"/>
      <c r="DS123" s="84"/>
      <c r="DT123" s="84"/>
      <c r="DU123" s="84"/>
      <c r="DV123" s="84"/>
      <c r="DW123" s="84"/>
      <c r="DX123" s="84"/>
      <c r="DY123" s="84"/>
      <c r="DZ123" s="84"/>
      <c r="EA123" s="84"/>
      <c r="EB123" s="84"/>
      <c r="EC123" s="84"/>
      <c r="ED123" s="84"/>
      <c r="EE123" s="84"/>
      <c r="EF123" s="84"/>
      <c r="EG123" s="84"/>
      <c r="EH123" s="84"/>
      <c r="EI123" s="84"/>
      <c r="EJ123" s="84"/>
      <c r="EK123" s="84"/>
      <c r="EL123" s="84"/>
      <c r="EM123" s="84"/>
      <c r="EN123" s="84"/>
      <c r="EO123" s="84"/>
      <c r="EP123" s="84"/>
      <c r="EQ123" s="84"/>
      <c r="ER123" s="84"/>
      <c r="ES123" s="84"/>
      <c r="ET123" s="84"/>
      <c r="EU123" s="84"/>
      <c r="EV123" s="84"/>
      <c r="EW123" s="84"/>
      <c r="EX123" s="84"/>
      <c r="EY123" s="84"/>
      <c r="EZ123" s="84"/>
      <c r="FA123" s="84"/>
      <c r="FB123" s="84"/>
      <c r="FC123" s="84"/>
      <c r="FD123" s="84"/>
      <c r="FE123" s="84"/>
      <c r="FF123" s="84"/>
      <c r="FG123" s="84"/>
      <c r="FH123" s="84"/>
      <c r="FI123" s="84"/>
      <c r="FJ123" s="84"/>
      <c r="FK123" s="84"/>
      <c r="FL123" s="84"/>
      <c r="FM123" s="84"/>
      <c r="FN123" s="84"/>
      <c r="FO123" s="84"/>
      <c r="FP123" s="84"/>
      <c r="FQ123" s="84"/>
      <c r="FR123" s="84"/>
      <c r="FS123" s="84"/>
      <c r="FT123" s="84"/>
      <c r="FU123" s="84"/>
      <c r="FV123" s="84"/>
      <c r="FW123" s="84"/>
      <c r="FX123" s="84"/>
      <c r="FY123" s="84"/>
      <c r="FZ123" s="84"/>
      <c r="GA123" s="84"/>
      <c r="GB123" s="84"/>
      <c r="GC123" s="84"/>
      <c r="GD123" s="84"/>
      <c r="GE123" s="84"/>
      <c r="GF123" s="84"/>
      <c r="GG123" s="84"/>
      <c r="GH123" s="84"/>
      <c r="GI123" s="84"/>
      <c r="GJ123" s="84"/>
      <c r="GK123" s="84"/>
      <c r="GL123" s="84"/>
      <c r="GM123" s="84"/>
      <c r="GN123" s="84"/>
      <c r="GO123" s="84"/>
      <c r="GP123" s="84"/>
      <c r="GQ123" s="84"/>
      <c r="GR123" s="84"/>
      <c r="GS123" s="84"/>
      <c r="GT123" s="84"/>
      <c r="GU123" s="84"/>
      <c r="GV123" s="84"/>
      <c r="GW123" s="84"/>
      <c r="GX123" s="84"/>
      <c r="GY123" s="84"/>
      <c r="GZ123" s="84"/>
      <c r="HA123" s="84"/>
      <c r="HB123" s="84"/>
      <c r="HC123" s="84"/>
      <c r="HD123" s="84"/>
      <c r="HE123" s="84"/>
      <c r="HF123" s="84"/>
      <c r="HG123" s="84"/>
      <c r="HH123" s="84"/>
      <c r="HI123" s="84"/>
      <c r="HJ123" s="84"/>
      <c r="HK123" s="84"/>
      <c r="HL123" s="84"/>
      <c r="HM123" s="84"/>
      <c r="HN123" s="84"/>
      <c r="HO123" s="84"/>
      <c r="HP123" s="84"/>
      <c r="HQ123" s="84"/>
      <c r="HR123" s="84"/>
      <c r="HS123" s="84"/>
      <c r="HT123" s="84"/>
      <c r="HU123" s="84"/>
      <c r="HV123" s="84"/>
      <c r="HW123" s="84"/>
      <c r="HX123" s="84"/>
      <c r="HY123" s="84"/>
      <c r="HZ123" s="84"/>
      <c r="IA123" s="84"/>
      <c r="IB123" s="84"/>
    </row>
    <row r="124" spans="1:236" s="157" customFormat="1" ht="29" x14ac:dyDescent="0.35">
      <c r="A124" s="87"/>
      <c r="B124" s="101" t="s">
        <v>167</v>
      </c>
      <c r="C124" s="147" t="s">
        <v>549</v>
      </c>
      <c r="D124" s="102" t="s">
        <v>1038</v>
      </c>
      <c r="E124" s="103" t="s">
        <v>1039</v>
      </c>
      <c r="F124" s="104"/>
      <c r="G124" s="83"/>
      <c r="H124" s="410"/>
      <c r="I124" s="411"/>
      <c r="J124" s="411"/>
      <c r="K124" s="411"/>
      <c r="L124" s="411"/>
      <c r="M124" s="411"/>
      <c r="N124" s="411"/>
      <c r="O124" s="411"/>
      <c r="P124" s="411"/>
      <c r="Q124" s="411"/>
      <c r="R124" s="411"/>
      <c r="S124" s="412"/>
      <c r="T124" s="88"/>
      <c r="U124" s="84"/>
      <c r="V124" s="84"/>
      <c r="W124" s="84"/>
      <c r="X124" s="84"/>
      <c r="Y124" s="84"/>
      <c r="Z124" s="84"/>
      <c r="AA124" s="84"/>
      <c r="AB124" s="84"/>
      <c r="AC124" s="84"/>
      <c r="AD124" s="84"/>
      <c r="AE124" s="84"/>
      <c r="AF124" s="84"/>
      <c r="AG124" s="84"/>
      <c r="AH124" s="84"/>
      <c r="AI124" s="84"/>
      <c r="AJ124" s="84"/>
      <c r="AK124" s="84"/>
      <c r="AL124" s="84"/>
      <c r="AM124" s="84"/>
      <c r="AN124" s="84"/>
      <c r="AO124" s="84"/>
      <c r="AP124" s="84"/>
      <c r="AQ124" s="84"/>
      <c r="AR124" s="84"/>
      <c r="AS124" s="84"/>
      <c r="AT124" s="84"/>
      <c r="AU124" s="84"/>
      <c r="AV124" s="84"/>
      <c r="AW124" s="84"/>
      <c r="AX124" s="84"/>
      <c r="AY124" s="84"/>
      <c r="AZ124" s="84"/>
      <c r="BA124" s="84"/>
      <c r="BB124" s="84"/>
      <c r="BC124" s="84"/>
      <c r="BD124" s="84"/>
      <c r="BE124" s="84"/>
      <c r="BF124" s="84"/>
      <c r="BG124" s="84"/>
      <c r="BH124" s="84"/>
      <c r="BI124" s="84"/>
      <c r="BJ124" s="84"/>
      <c r="BK124" s="84"/>
      <c r="BL124" s="84"/>
      <c r="BM124" s="84"/>
      <c r="BN124" s="84"/>
      <c r="BO124" s="84"/>
      <c r="BP124" s="84"/>
      <c r="BQ124" s="84"/>
      <c r="BR124" s="84"/>
      <c r="BS124" s="84"/>
      <c r="BT124" s="84"/>
      <c r="BU124" s="84"/>
      <c r="BV124" s="84"/>
      <c r="BW124" s="84"/>
      <c r="BX124" s="84"/>
      <c r="BY124" s="84"/>
      <c r="BZ124" s="84"/>
      <c r="CA124" s="84"/>
      <c r="CB124" s="84"/>
      <c r="CC124" s="84"/>
      <c r="CD124" s="84"/>
      <c r="CE124" s="84"/>
      <c r="CF124" s="84"/>
      <c r="CG124" s="84"/>
      <c r="CH124" s="84"/>
      <c r="CI124" s="84"/>
      <c r="CJ124" s="84"/>
      <c r="CK124" s="84"/>
      <c r="CL124" s="84"/>
      <c r="CM124" s="84"/>
      <c r="CN124" s="84"/>
      <c r="CO124" s="84"/>
      <c r="CP124" s="84"/>
      <c r="CQ124" s="84"/>
      <c r="CR124" s="84"/>
      <c r="CS124" s="84"/>
      <c r="CT124" s="84"/>
      <c r="CU124" s="84"/>
      <c r="CV124" s="84"/>
      <c r="CW124" s="84"/>
      <c r="CX124" s="84"/>
      <c r="CY124" s="84"/>
      <c r="CZ124" s="84"/>
      <c r="DA124" s="84"/>
      <c r="DB124" s="84"/>
      <c r="DC124" s="84"/>
      <c r="DD124" s="84"/>
      <c r="DE124" s="84"/>
      <c r="DF124" s="84"/>
      <c r="DG124" s="84"/>
      <c r="DH124" s="84"/>
      <c r="DI124" s="84"/>
      <c r="DJ124" s="84"/>
      <c r="DK124" s="84"/>
      <c r="DL124" s="84"/>
      <c r="DM124" s="84"/>
      <c r="DN124" s="84"/>
      <c r="DO124" s="84"/>
      <c r="DP124" s="84"/>
      <c r="DQ124" s="84"/>
      <c r="DR124" s="84"/>
      <c r="DS124" s="84"/>
      <c r="DT124" s="84"/>
      <c r="DU124" s="84"/>
      <c r="DV124" s="84"/>
      <c r="DW124" s="84"/>
      <c r="DX124" s="84"/>
      <c r="DY124" s="84"/>
      <c r="DZ124" s="84"/>
      <c r="EA124" s="84"/>
      <c r="EB124" s="84"/>
      <c r="EC124" s="84"/>
      <c r="ED124" s="84"/>
      <c r="EE124" s="84"/>
      <c r="EF124" s="84"/>
      <c r="EG124" s="84"/>
      <c r="EH124" s="84"/>
      <c r="EI124" s="84"/>
      <c r="EJ124" s="84"/>
      <c r="EK124" s="84"/>
      <c r="EL124" s="84"/>
      <c r="EM124" s="84"/>
      <c r="EN124" s="84"/>
      <c r="EO124" s="84"/>
      <c r="EP124" s="84"/>
      <c r="EQ124" s="84"/>
      <c r="ER124" s="84"/>
      <c r="ES124" s="84"/>
      <c r="ET124" s="84"/>
      <c r="EU124" s="84"/>
      <c r="EV124" s="84"/>
      <c r="EW124" s="84"/>
      <c r="EX124" s="84"/>
      <c r="EY124" s="84"/>
      <c r="EZ124" s="84"/>
      <c r="FA124" s="84"/>
      <c r="FB124" s="84"/>
      <c r="FC124" s="84"/>
      <c r="FD124" s="84"/>
      <c r="FE124" s="84"/>
      <c r="FF124" s="84"/>
      <c r="FG124" s="84"/>
      <c r="FH124" s="84"/>
      <c r="FI124" s="84"/>
      <c r="FJ124" s="84"/>
      <c r="FK124" s="84"/>
      <c r="FL124" s="84"/>
      <c r="FM124" s="84"/>
      <c r="FN124" s="84"/>
      <c r="FO124" s="84"/>
      <c r="FP124" s="84"/>
      <c r="FQ124" s="84"/>
      <c r="FR124" s="84"/>
      <c r="FS124" s="84"/>
      <c r="FT124" s="84"/>
      <c r="FU124" s="84"/>
      <c r="FV124" s="84"/>
      <c r="FW124" s="84"/>
      <c r="FX124" s="84"/>
      <c r="FY124" s="84"/>
      <c r="FZ124" s="84"/>
      <c r="GA124" s="84"/>
      <c r="GB124" s="84"/>
      <c r="GC124" s="84"/>
      <c r="GD124" s="84"/>
      <c r="GE124" s="84"/>
      <c r="GF124" s="84"/>
      <c r="GG124" s="84"/>
      <c r="GH124" s="84"/>
      <c r="GI124" s="84"/>
      <c r="GJ124" s="84"/>
      <c r="GK124" s="84"/>
      <c r="GL124" s="84"/>
      <c r="GM124" s="84"/>
      <c r="GN124" s="84"/>
      <c r="GO124" s="84"/>
      <c r="GP124" s="84"/>
      <c r="GQ124" s="84"/>
      <c r="GR124" s="84"/>
      <c r="GS124" s="84"/>
      <c r="GT124" s="84"/>
      <c r="GU124" s="84"/>
      <c r="GV124" s="84"/>
      <c r="GW124" s="84"/>
      <c r="GX124" s="84"/>
      <c r="GY124" s="84"/>
      <c r="GZ124" s="84"/>
      <c r="HA124" s="84"/>
      <c r="HB124" s="84"/>
      <c r="HC124" s="84"/>
      <c r="HD124" s="84"/>
      <c r="HE124" s="84"/>
      <c r="HF124" s="84"/>
      <c r="HG124" s="84"/>
      <c r="HH124" s="84"/>
      <c r="HI124" s="84"/>
      <c r="HJ124" s="84"/>
      <c r="HK124" s="84"/>
      <c r="HL124" s="84"/>
      <c r="HM124" s="84"/>
      <c r="HN124" s="84"/>
      <c r="HO124" s="84"/>
      <c r="HP124" s="84"/>
      <c r="HQ124" s="84"/>
      <c r="HR124" s="84"/>
      <c r="HS124" s="84"/>
      <c r="HT124" s="84"/>
      <c r="HU124" s="84"/>
      <c r="HV124" s="84"/>
      <c r="HW124" s="84"/>
      <c r="HX124" s="84"/>
      <c r="HY124" s="84"/>
      <c r="HZ124" s="84"/>
      <c r="IA124" s="84"/>
      <c r="IB124" s="84"/>
    </row>
    <row r="125" spans="1:236" s="157" customFormat="1" ht="29" x14ac:dyDescent="0.35">
      <c r="A125" s="87"/>
      <c r="B125" s="101" t="s">
        <v>167</v>
      </c>
      <c r="C125" s="147" t="s">
        <v>549</v>
      </c>
      <c r="D125" s="102" t="s">
        <v>1047</v>
      </c>
      <c r="E125" s="103" t="s">
        <v>1041</v>
      </c>
      <c r="F125" s="104"/>
      <c r="G125" s="83"/>
      <c r="H125" s="410"/>
      <c r="I125" s="411"/>
      <c r="J125" s="411"/>
      <c r="K125" s="411"/>
      <c r="L125" s="411"/>
      <c r="M125" s="411"/>
      <c r="N125" s="411"/>
      <c r="O125" s="411"/>
      <c r="P125" s="411"/>
      <c r="Q125" s="411"/>
      <c r="R125" s="411"/>
      <c r="S125" s="412"/>
      <c r="T125" s="88"/>
      <c r="U125" s="84"/>
      <c r="V125" s="84"/>
      <c r="W125" s="84"/>
      <c r="X125" s="84"/>
      <c r="Y125" s="84"/>
      <c r="Z125" s="84"/>
      <c r="AA125" s="84"/>
      <c r="AB125" s="84"/>
      <c r="AC125" s="84"/>
      <c r="AD125" s="84"/>
      <c r="AE125" s="84"/>
      <c r="AF125" s="84"/>
      <c r="AG125" s="84"/>
      <c r="AH125" s="84"/>
      <c r="AI125" s="84"/>
      <c r="AJ125" s="84"/>
      <c r="AK125" s="84"/>
      <c r="AL125" s="84"/>
      <c r="AM125" s="84"/>
      <c r="AN125" s="84"/>
      <c r="AO125" s="84"/>
      <c r="AP125" s="84"/>
      <c r="AQ125" s="84"/>
      <c r="AR125" s="84"/>
      <c r="AS125" s="84"/>
      <c r="AT125" s="84"/>
      <c r="AU125" s="84"/>
      <c r="AV125" s="84"/>
      <c r="AW125" s="84"/>
      <c r="AX125" s="84"/>
      <c r="AY125" s="84"/>
      <c r="AZ125" s="84"/>
      <c r="BA125" s="84"/>
      <c r="BB125" s="84"/>
      <c r="BC125" s="84"/>
      <c r="BD125" s="84"/>
      <c r="BE125" s="84"/>
      <c r="BF125" s="84"/>
      <c r="BG125" s="84"/>
      <c r="BH125" s="84"/>
      <c r="BI125" s="84"/>
      <c r="BJ125" s="84"/>
      <c r="BK125" s="84"/>
      <c r="BL125" s="84"/>
      <c r="BM125" s="84"/>
      <c r="BN125" s="84"/>
      <c r="BO125" s="84"/>
      <c r="BP125" s="84"/>
      <c r="BQ125" s="84"/>
      <c r="BR125" s="84"/>
      <c r="BS125" s="84"/>
      <c r="BT125" s="84"/>
      <c r="BU125" s="84"/>
      <c r="BV125" s="84"/>
      <c r="BW125" s="84"/>
      <c r="BX125" s="84"/>
      <c r="BY125" s="84"/>
      <c r="BZ125" s="84"/>
      <c r="CA125" s="84"/>
      <c r="CB125" s="84"/>
      <c r="CC125" s="84"/>
      <c r="CD125" s="84"/>
      <c r="CE125" s="84"/>
      <c r="CF125" s="84"/>
      <c r="CG125" s="84"/>
      <c r="CH125" s="84"/>
      <c r="CI125" s="84"/>
      <c r="CJ125" s="84"/>
      <c r="CK125" s="84"/>
      <c r="CL125" s="84"/>
      <c r="CM125" s="84"/>
      <c r="CN125" s="84"/>
      <c r="CO125" s="84"/>
      <c r="CP125" s="84"/>
      <c r="CQ125" s="84"/>
      <c r="CR125" s="84"/>
      <c r="CS125" s="84"/>
      <c r="CT125" s="84"/>
      <c r="CU125" s="84"/>
      <c r="CV125" s="84"/>
      <c r="CW125" s="84"/>
      <c r="CX125" s="84"/>
      <c r="CY125" s="84"/>
      <c r="CZ125" s="84"/>
      <c r="DA125" s="84"/>
      <c r="DB125" s="84"/>
      <c r="DC125" s="84"/>
      <c r="DD125" s="84"/>
      <c r="DE125" s="84"/>
      <c r="DF125" s="84"/>
      <c r="DG125" s="84"/>
      <c r="DH125" s="84"/>
      <c r="DI125" s="84"/>
      <c r="DJ125" s="84"/>
      <c r="DK125" s="84"/>
      <c r="DL125" s="84"/>
      <c r="DM125" s="84"/>
      <c r="DN125" s="84"/>
      <c r="DO125" s="84"/>
      <c r="DP125" s="84"/>
      <c r="DQ125" s="84"/>
      <c r="DR125" s="84"/>
      <c r="DS125" s="84"/>
      <c r="DT125" s="84"/>
      <c r="DU125" s="84"/>
      <c r="DV125" s="84"/>
      <c r="DW125" s="84"/>
      <c r="DX125" s="84"/>
      <c r="DY125" s="84"/>
      <c r="DZ125" s="84"/>
      <c r="EA125" s="84"/>
      <c r="EB125" s="84"/>
      <c r="EC125" s="84"/>
      <c r="ED125" s="84"/>
      <c r="EE125" s="84"/>
      <c r="EF125" s="84"/>
      <c r="EG125" s="84"/>
      <c r="EH125" s="84"/>
      <c r="EI125" s="84"/>
      <c r="EJ125" s="84"/>
      <c r="EK125" s="84"/>
      <c r="EL125" s="84"/>
      <c r="EM125" s="84"/>
      <c r="EN125" s="84"/>
      <c r="EO125" s="84"/>
      <c r="EP125" s="84"/>
      <c r="EQ125" s="84"/>
      <c r="ER125" s="84"/>
      <c r="ES125" s="84"/>
      <c r="ET125" s="84"/>
      <c r="EU125" s="84"/>
      <c r="EV125" s="84"/>
      <c r="EW125" s="84"/>
      <c r="EX125" s="84"/>
      <c r="EY125" s="84"/>
      <c r="EZ125" s="84"/>
      <c r="FA125" s="84"/>
      <c r="FB125" s="84"/>
      <c r="FC125" s="84"/>
      <c r="FD125" s="84"/>
      <c r="FE125" s="84"/>
      <c r="FF125" s="84"/>
      <c r="FG125" s="84"/>
      <c r="FH125" s="84"/>
      <c r="FI125" s="84"/>
      <c r="FJ125" s="84"/>
      <c r="FK125" s="84"/>
      <c r="FL125" s="84"/>
      <c r="FM125" s="84"/>
      <c r="FN125" s="84"/>
      <c r="FO125" s="84"/>
      <c r="FP125" s="84"/>
      <c r="FQ125" s="84"/>
      <c r="FR125" s="84"/>
      <c r="FS125" s="84"/>
      <c r="FT125" s="84"/>
      <c r="FU125" s="84"/>
      <c r="FV125" s="84"/>
      <c r="FW125" s="84"/>
      <c r="FX125" s="84"/>
      <c r="FY125" s="84"/>
      <c r="FZ125" s="84"/>
      <c r="GA125" s="84"/>
      <c r="GB125" s="84"/>
      <c r="GC125" s="84"/>
      <c r="GD125" s="84"/>
      <c r="GE125" s="84"/>
      <c r="GF125" s="84"/>
      <c r="GG125" s="84"/>
      <c r="GH125" s="84"/>
      <c r="GI125" s="84"/>
      <c r="GJ125" s="84"/>
      <c r="GK125" s="84"/>
      <c r="GL125" s="84"/>
      <c r="GM125" s="84"/>
      <c r="GN125" s="84"/>
      <c r="GO125" s="84"/>
      <c r="GP125" s="84"/>
      <c r="GQ125" s="84"/>
      <c r="GR125" s="84"/>
      <c r="GS125" s="84"/>
      <c r="GT125" s="84"/>
      <c r="GU125" s="84"/>
      <c r="GV125" s="84"/>
      <c r="GW125" s="84"/>
      <c r="GX125" s="84"/>
      <c r="GY125" s="84"/>
      <c r="GZ125" s="84"/>
      <c r="HA125" s="84"/>
      <c r="HB125" s="84"/>
      <c r="HC125" s="84"/>
      <c r="HD125" s="84"/>
      <c r="HE125" s="84"/>
      <c r="HF125" s="84"/>
      <c r="HG125" s="84"/>
      <c r="HH125" s="84"/>
      <c r="HI125" s="84"/>
      <c r="HJ125" s="84"/>
      <c r="HK125" s="84"/>
      <c r="HL125" s="84"/>
      <c r="HM125" s="84"/>
      <c r="HN125" s="84"/>
      <c r="HO125" s="84"/>
      <c r="HP125" s="84"/>
      <c r="HQ125" s="84"/>
      <c r="HR125" s="84"/>
      <c r="HS125" s="84"/>
      <c r="HT125" s="84"/>
      <c r="HU125" s="84"/>
      <c r="HV125" s="84"/>
      <c r="HW125" s="84"/>
      <c r="HX125" s="84"/>
      <c r="HY125" s="84"/>
      <c r="HZ125" s="84"/>
      <c r="IA125" s="84"/>
      <c r="IB125" s="84"/>
    </row>
    <row r="126" spans="1:236" ht="29" x14ac:dyDescent="0.35">
      <c r="A126" s="87"/>
      <c r="B126" s="137" t="s">
        <v>735</v>
      </c>
      <c r="C126" s="156" t="s">
        <v>1055</v>
      </c>
      <c r="D126" s="98"/>
      <c r="E126" s="99"/>
      <c r="F126" s="145"/>
      <c r="G126" s="83"/>
      <c r="H126" s="410"/>
      <c r="I126" s="411"/>
      <c r="J126" s="411"/>
      <c r="K126" s="411"/>
      <c r="L126" s="411"/>
      <c r="M126" s="411"/>
      <c r="N126" s="411"/>
      <c r="O126" s="411"/>
      <c r="P126" s="411"/>
      <c r="Q126" s="411"/>
      <c r="R126" s="411"/>
      <c r="S126" s="412"/>
      <c r="T126" s="88"/>
    </row>
    <row r="127" spans="1:236" ht="29" x14ac:dyDescent="0.35">
      <c r="A127" s="87"/>
      <c r="B127" s="101" t="s">
        <v>167</v>
      </c>
      <c r="C127" s="134" t="s">
        <v>549</v>
      </c>
      <c r="D127" s="135" t="s">
        <v>1056</v>
      </c>
      <c r="E127" s="154" t="s">
        <v>1057</v>
      </c>
      <c r="F127" s="104" t="s">
        <v>972</v>
      </c>
      <c r="G127" s="83"/>
      <c r="H127" s="410"/>
      <c r="I127" s="411"/>
      <c r="J127" s="411"/>
      <c r="K127" s="411"/>
      <c r="L127" s="411"/>
      <c r="M127" s="411"/>
      <c r="N127" s="411"/>
      <c r="O127" s="411"/>
      <c r="P127" s="411"/>
      <c r="Q127" s="411"/>
      <c r="R127" s="411"/>
      <c r="S127" s="412"/>
      <c r="T127" s="88"/>
    </row>
    <row r="128" spans="1:236" ht="29" x14ac:dyDescent="0.35">
      <c r="A128" s="87"/>
      <c r="B128" s="101" t="s">
        <v>167</v>
      </c>
      <c r="C128" s="134" t="s">
        <v>549</v>
      </c>
      <c r="D128" s="135" t="s">
        <v>1058</v>
      </c>
      <c r="E128" s="154" t="s">
        <v>1059</v>
      </c>
      <c r="F128" s="104" t="s">
        <v>975</v>
      </c>
      <c r="G128" s="83"/>
      <c r="H128" s="410"/>
      <c r="I128" s="411"/>
      <c r="J128" s="411"/>
      <c r="K128" s="411"/>
      <c r="L128" s="411"/>
      <c r="M128" s="411"/>
      <c r="N128" s="411"/>
      <c r="O128" s="411"/>
      <c r="P128" s="411"/>
      <c r="Q128" s="411"/>
      <c r="R128" s="411"/>
      <c r="S128" s="412"/>
      <c r="T128" s="88"/>
    </row>
    <row r="129" spans="1:236" x14ac:dyDescent="0.35">
      <c r="A129" s="87"/>
      <c r="B129" s="137" t="s">
        <v>736</v>
      </c>
      <c r="C129" s="97" t="s">
        <v>1051</v>
      </c>
      <c r="D129" s="98"/>
      <c r="E129" s="99"/>
      <c r="F129" s="145"/>
      <c r="G129" s="83"/>
      <c r="H129" s="410"/>
      <c r="I129" s="411"/>
      <c r="J129" s="411"/>
      <c r="K129" s="411"/>
      <c r="L129" s="411"/>
      <c r="M129" s="411"/>
      <c r="N129" s="411"/>
      <c r="O129" s="411"/>
      <c r="P129" s="411"/>
      <c r="Q129" s="411"/>
      <c r="R129" s="411"/>
      <c r="S129" s="412"/>
      <c r="T129" s="88"/>
    </row>
    <row r="130" spans="1:236" s="136" customFormat="1" ht="29" x14ac:dyDescent="0.35">
      <c r="A130" s="87"/>
      <c r="B130" s="101" t="s">
        <v>167</v>
      </c>
      <c r="C130" s="129" t="s">
        <v>549</v>
      </c>
      <c r="D130" s="102" t="s">
        <v>968</v>
      </c>
      <c r="E130" s="103" t="s">
        <v>963</v>
      </c>
      <c r="F130" s="104"/>
      <c r="G130" s="83"/>
      <c r="H130" s="410"/>
      <c r="I130" s="411"/>
      <c r="J130" s="411"/>
      <c r="K130" s="411"/>
      <c r="L130" s="411"/>
      <c r="M130" s="411"/>
      <c r="N130" s="411"/>
      <c r="O130" s="411"/>
      <c r="P130" s="411"/>
      <c r="Q130" s="411"/>
      <c r="R130" s="411"/>
      <c r="S130" s="412"/>
      <c r="T130" s="88"/>
      <c r="U130" s="84"/>
      <c r="V130" s="84"/>
      <c r="W130" s="84"/>
      <c r="X130" s="84"/>
      <c r="Y130" s="84"/>
      <c r="Z130" s="84"/>
      <c r="AA130" s="84"/>
      <c r="AB130" s="84"/>
      <c r="AC130" s="84"/>
      <c r="AD130" s="84"/>
      <c r="AE130" s="84"/>
      <c r="AF130" s="84"/>
      <c r="AG130" s="84"/>
      <c r="AH130" s="84"/>
      <c r="AI130" s="84"/>
      <c r="AJ130" s="84"/>
      <c r="AK130" s="84"/>
      <c r="AL130" s="84"/>
      <c r="AM130" s="84"/>
      <c r="AN130" s="84"/>
      <c r="AO130" s="84"/>
      <c r="AP130" s="84"/>
      <c r="AQ130" s="84"/>
      <c r="AR130" s="84"/>
      <c r="AS130" s="84"/>
      <c r="AT130" s="84"/>
      <c r="AU130" s="84"/>
      <c r="AV130" s="84"/>
      <c r="AW130" s="84"/>
      <c r="AX130" s="84"/>
      <c r="AY130" s="84"/>
      <c r="AZ130" s="84"/>
      <c r="BA130" s="84"/>
      <c r="BB130" s="84"/>
      <c r="BC130" s="84"/>
      <c r="BD130" s="84"/>
      <c r="BE130" s="84"/>
      <c r="BF130" s="84"/>
      <c r="BG130" s="84"/>
      <c r="BH130" s="84"/>
      <c r="BI130" s="84"/>
      <c r="BJ130" s="84"/>
      <c r="BK130" s="84"/>
      <c r="BL130" s="84"/>
      <c r="BM130" s="84"/>
      <c r="BN130" s="84"/>
      <c r="BO130" s="84"/>
      <c r="BP130" s="84"/>
      <c r="BQ130" s="84"/>
      <c r="BR130" s="84"/>
      <c r="BS130" s="84"/>
      <c r="BT130" s="84"/>
      <c r="BU130" s="84"/>
      <c r="BV130" s="84"/>
      <c r="BW130" s="84"/>
      <c r="BX130" s="84"/>
      <c r="BY130" s="84"/>
      <c r="BZ130" s="84"/>
      <c r="CA130" s="84"/>
      <c r="CB130" s="84"/>
      <c r="CC130" s="84"/>
      <c r="CD130" s="84"/>
      <c r="CE130" s="84"/>
      <c r="CF130" s="84"/>
      <c r="CG130" s="84"/>
      <c r="CH130" s="84"/>
      <c r="CI130" s="84"/>
      <c r="CJ130" s="84"/>
      <c r="CK130" s="84"/>
      <c r="CL130" s="84"/>
      <c r="CM130" s="84"/>
      <c r="CN130" s="84"/>
      <c r="CO130" s="84"/>
      <c r="CP130" s="84"/>
      <c r="CQ130" s="84"/>
      <c r="CR130" s="84"/>
      <c r="CS130" s="84"/>
      <c r="CT130" s="84"/>
      <c r="CU130" s="84"/>
      <c r="CV130" s="84"/>
      <c r="CW130" s="84"/>
      <c r="CX130" s="84"/>
      <c r="CY130" s="84"/>
      <c r="CZ130" s="84"/>
      <c r="DA130" s="84"/>
      <c r="DB130" s="84"/>
      <c r="DC130" s="84"/>
      <c r="DD130" s="84"/>
      <c r="DE130" s="84"/>
      <c r="DF130" s="84"/>
      <c r="DG130" s="84"/>
      <c r="DH130" s="84"/>
      <c r="DI130" s="84"/>
      <c r="DJ130" s="84"/>
      <c r="DK130" s="84"/>
      <c r="DL130" s="84"/>
      <c r="DM130" s="84"/>
      <c r="DN130" s="84"/>
      <c r="DO130" s="84"/>
      <c r="DP130" s="84"/>
      <c r="DQ130" s="84"/>
      <c r="DR130" s="84"/>
      <c r="DS130" s="84"/>
      <c r="DT130" s="84"/>
      <c r="DU130" s="84"/>
      <c r="DV130" s="84"/>
      <c r="DW130" s="84"/>
      <c r="DX130" s="84"/>
      <c r="DY130" s="84"/>
      <c r="DZ130" s="84"/>
      <c r="EA130" s="84"/>
      <c r="EB130" s="84"/>
      <c r="EC130" s="84"/>
      <c r="ED130" s="84"/>
      <c r="EE130" s="84"/>
      <c r="EF130" s="84"/>
      <c r="EG130" s="84"/>
      <c r="EH130" s="84"/>
      <c r="EI130" s="84"/>
      <c r="EJ130" s="84"/>
      <c r="EK130" s="84"/>
      <c r="EL130" s="84"/>
      <c r="EM130" s="84"/>
      <c r="EN130" s="84"/>
      <c r="EO130" s="84"/>
      <c r="EP130" s="84"/>
      <c r="EQ130" s="84"/>
      <c r="ER130" s="84"/>
      <c r="ES130" s="84"/>
      <c r="ET130" s="84"/>
      <c r="EU130" s="84"/>
      <c r="EV130" s="84"/>
      <c r="EW130" s="84"/>
      <c r="EX130" s="84"/>
      <c r="EY130" s="84"/>
      <c r="EZ130" s="84"/>
      <c r="FA130" s="84"/>
      <c r="FB130" s="84"/>
      <c r="FC130" s="84"/>
      <c r="FD130" s="84"/>
      <c r="FE130" s="84"/>
      <c r="FF130" s="84"/>
      <c r="FG130" s="84"/>
      <c r="FH130" s="84"/>
      <c r="FI130" s="84"/>
      <c r="FJ130" s="84"/>
      <c r="FK130" s="84"/>
      <c r="FL130" s="84"/>
      <c r="FM130" s="84"/>
      <c r="FN130" s="84"/>
      <c r="FO130" s="84"/>
      <c r="FP130" s="84"/>
      <c r="FQ130" s="84"/>
      <c r="FR130" s="84"/>
      <c r="FS130" s="84"/>
      <c r="FT130" s="84"/>
      <c r="FU130" s="84"/>
      <c r="FV130" s="84"/>
      <c r="FW130" s="84"/>
      <c r="FX130" s="84"/>
      <c r="FY130" s="84"/>
      <c r="FZ130" s="84"/>
      <c r="GA130" s="84"/>
      <c r="GB130" s="84"/>
      <c r="GC130" s="84"/>
      <c r="GD130" s="84"/>
      <c r="GE130" s="84"/>
      <c r="GF130" s="84"/>
      <c r="GG130" s="84"/>
      <c r="GH130" s="84"/>
      <c r="GI130" s="84"/>
      <c r="GJ130" s="84"/>
      <c r="GK130" s="84"/>
      <c r="GL130" s="84"/>
      <c r="GM130" s="84"/>
      <c r="GN130" s="84"/>
      <c r="GO130" s="84"/>
      <c r="GP130" s="84"/>
      <c r="GQ130" s="84"/>
      <c r="GR130" s="84"/>
      <c r="GS130" s="84"/>
      <c r="GT130" s="84"/>
      <c r="GU130" s="84"/>
      <c r="GV130" s="84"/>
      <c r="GW130" s="84"/>
      <c r="GX130" s="84"/>
      <c r="GY130" s="84"/>
      <c r="GZ130" s="84"/>
      <c r="HA130" s="84"/>
      <c r="HB130" s="84"/>
      <c r="HC130" s="84"/>
      <c r="HD130" s="84"/>
      <c r="HE130" s="84"/>
      <c r="HF130" s="84"/>
      <c r="HG130" s="84"/>
      <c r="HH130" s="84"/>
      <c r="HI130" s="84"/>
      <c r="HJ130" s="84"/>
      <c r="HK130" s="84"/>
      <c r="HL130" s="84"/>
      <c r="HM130" s="84"/>
      <c r="HN130" s="84"/>
      <c r="HO130" s="84"/>
      <c r="HP130" s="84"/>
      <c r="HQ130" s="84"/>
      <c r="HR130" s="84"/>
      <c r="HS130" s="84"/>
      <c r="HT130" s="84"/>
      <c r="HU130" s="84"/>
      <c r="HV130" s="84"/>
      <c r="HW130" s="84"/>
      <c r="HX130" s="84"/>
      <c r="HY130" s="84"/>
      <c r="HZ130" s="84"/>
      <c r="IA130" s="84"/>
      <c r="IB130" s="84"/>
    </row>
    <row r="131" spans="1:236" s="136" customFormat="1" ht="29" x14ac:dyDescent="0.35">
      <c r="A131" s="87"/>
      <c r="B131" s="101" t="s">
        <v>167</v>
      </c>
      <c r="C131" s="129" t="s">
        <v>549</v>
      </c>
      <c r="D131" s="102" t="s">
        <v>1060</v>
      </c>
      <c r="E131" s="103" t="s">
        <v>1039</v>
      </c>
      <c r="F131" s="104"/>
      <c r="G131" s="83"/>
      <c r="H131" s="410"/>
      <c r="I131" s="411"/>
      <c r="J131" s="411"/>
      <c r="K131" s="411"/>
      <c r="L131" s="411"/>
      <c r="M131" s="411"/>
      <c r="N131" s="411"/>
      <c r="O131" s="411"/>
      <c r="P131" s="411"/>
      <c r="Q131" s="411"/>
      <c r="R131" s="411"/>
      <c r="S131" s="412"/>
      <c r="T131" s="88"/>
      <c r="U131" s="84"/>
      <c r="V131" s="84"/>
      <c r="W131" s="84"/>
      <c r="X131" s="84"/>
      <c r="Y131" s="84"/>
      <c r="Z131" s="84"/>
      <c r="AA131" s="84"/>
      <c r="AB131" s="84"/>
      <c r="AC131" s="84"/>
      <c r="AD131" s="84"/>
      <c r="AE131" s="84"/>
      <c r="AF131" s="84"/>
      <c r="AG131" s="84"/>
      <c r="AH131" s="84"/>
      <c r="AI131" s="84"/>
      <c r="AJ131" s="84"/>
      <c r="AK131" s="84"/>
      <c r="AL131" s="84"/>
      <c r="AM131" s="84"/>
      <c r="AN131" s="84"/>
      <c r="AO131" s="84"/>
      <c r="AP131" s="84"/>
      <c r="AQ131" s="84"/>
      <c r="AR131" s="84"/>
      <c r="AS131" s="84"/>
      <c r="AT131" s="84"/>
      <c r="AU131" s="84"/>
      <c r="AV131" s="84"/>
      <c r="AW131" s="84"/>
      <c r="AX131" s="84"/>
      <c r="AY131" s="84"/>
      <c r="AZ131" s="84"/>
      <c r="BA131" s="84"/>
      <c r="BB131" s="84"/>
      <c r="BC131" s="84"/>
      <c r="BD131" s="84"/>
      <c r="BE131" s="84"/>
      <c r="BF131" s="84"/>
      <c r="BG131" s="84"/>
      <c r="BH131" s="84"/>
      <c r="BI131" s="84"/>
      <c r="BJ131" s="84"/>
      <c r="BK131" s="84"/>
      <c r="BL131" s="84"/>
      <c r="BM131" s="84"/>
      <c r="BN131" s="84"/>
      <c r="BO131" s="84"/>
      <c r="BP131" s="84"/>
      <c r="BQ131" s="84"/>
      <c r="BR131" s="84"/>
      <c r="BS131" s="84"/>
      <c r="BT131" s="84"/>
      <c r="BU131" s="84"/>
      <c r="BV131" s="84"/>
      <c r="BW131" s="84"/>
      <c r="BX131" s="84"/>
      <c r="BY131" s="84"/>
      <c r="BZ131" s="84"/>
      <c r="CA131" s="84"/>
      <c r="CB131" s="84"/>
      <c r="CC131" s="84"/>
      <c r="CD131" s="84"/>
      <c r="CE131" s="84"/>
      <c r="CF131" s="84"/>
      <c r="CG131" s="84"/>
      <c r="CH131" s="84"/>
      <c r="CI131" s="84"/>
      <c r="CJ131" s="84"/>
      <c r="CK131" s="84"/>
      <c r="CL131" s="84"/>
      <c r="CM131" s="84"/>
      <c r="CN131" s="84"/>
      <c r="CO131" s="84"/>
      <c r="CP131" s="84"/>
      <c r="CQ131" s="84"/>
      <c r="CR131" s="84"/>
      <c r="CS131" s="84"/>
      <c r="CT131" s="84"/>
      <c r="CU131" s="84"/>
      <c r="CV131" s="84"/>
      <c r="CW131" s="84"/>
      <c r="CX131" s="84"/>
      <c r="CY131" s="84"/>
      <c r="CZ131" s="84"/>
      <c r="DA131" s="84"/>
      <c r="DB131" s="84"/>
      <c r="DC131" s="84"/>
      <c r="DD131" s="84"/>
      <c r="DE131" s="84"/>
      <c r="DF131" s="84"/>
      <c r="DG131" s="84"/>
      <c r="DH131" s="84"/>
      <c r="DI131" s="84"/>
      <c r="DJ131" s="84"/>
      <c r="DK131" s="84"/>
      <c r="DL131" s="84"/>
      <c r="DM131" s="84"/>
      <c r="DN131" s="84"/>
      <c r="DO131" s="84"/>
      <c r="DP131" s="84"/>
      <c r="DQ131" s="84"/>
      <c r="DR131" s="84"/>
      <c r="DS131" s="84"/>
      <c r="DT131" s="84"/>
      <c r="DU131" s="84"/>
      <c r="DV131" s="84"/>
      <c r="DW131" s="84"/>
      <c r="DX131" s="84"/>
      <c r="DY131" s="84"/>
      <c r="DZ131" s="84"/>
      <c r="EA131" s="84"/>
      <c r="EB131" s="84"/>
      <c r="EC131" s="84"/>
      <c r="ED131" s="84"/>
      <c r="EE131" s="84"/>
      <c r="EF131" s="84"/>
      <c r="EG131" s="84"/>
      <c r="EH131" s="84"/>
      <c r="EI131" s="84"/>
      <c r="EJ131" s="84"/>
      <c r="EK131" s="84"/>
      <c r="EL131" s="84"/>
      <c r="EM131" s="84"/>
      <c r="EN131" s="84"/>
      <c r="EO131" s="84"/>
      <c r="EP131" s="84"/>
      <c r="EQ131" s="84"/>
      <c r="ER131" s="84"/>
      <c r="ES131" s="84"/>
      <c r="ET131" s="84"/>
      <c r="EU131" s="84"/>
      <c r="EV131" s="84"/>
      <c r="EW131" s="84"/>
      <c r="EX131" s="84"/>
      <c r="EY131" s="84"/>
      <c r="EZ131" s="84"/>
      <c r="FA131" s="84"/>
      <c r="FB131" s="84"/>
      <c r="FC131" s="84"/>
      <c r="FD131" s="84"/>
      <c r="FE131" s="84"/>
      <c r="FF131" s="84"/>
      <c r="FG131" s="84"/>
      <c r="FH131" s="84"/>
      <c r="FI131" s="84"/>
      <c r="FJ131" s="84"/>
      <c r="FK131" s="84"/>
      <c r="FL131" s="84"/>
      <c r="FM131" s="84"/>
      <c r="FN131" s="84"/>
      <c r="FO131" s="84"/>
      <c r="FP131" s="84"/>
      <c r="FQ131" s="84"/>
      <c r="FR131" s="84"/>
      <c r="FS131" s="84"/>
      <c r="FT131" s="84"/>
      <c r="FU131" s="84"/>
      <c r="FV131" s="84"/>
      <c r="FW131" s="84"/>
      <c r="FX131" s="84"/>
      <c r="FY131" s="84"/>
      <c r="FZ131" s="84"/>
      <c r="GA131" s="84"/>
      <c r="GB131" s="84"/>
      <c r="GC131" s="84"/>
      <c r="GD131" s="84"/>
      <c r="GE131" s="84"/>
      <c r="GF131" s="84"/>
      <c r="GG131" s="84"/>
      <c r="GH131" s="84"/>
      <c r="GI131" s="84"/>
      <c r="GJ131" s="84"/>
      <c r="GK131" s="84"/>
      <c r="GL131" s="84"/>
      <c r="GM131" s="84"/>
      <c r="GN131" s="84"/>
      <c r="GO131" s="84"/>
      <c r="GP131" s="84"/>
      <c r="GQ131" s="84"/>
      <c r="GR131" s="84"/>
      <c r="GS131" s="84"/>
      <c r="GT131" s="84"/>
      <c r="GU131" s="84"/>
      <c r="GV131" s="84"/>
      <c r="GW131" s="84"/>
      <c r="GX131" s="84"/>
      <c r="GY131" s="84"/>
      <c r="GZ131" s="84"/>
      <c r="HA131" s="84"/>
      <c r="HB131" s="84"/>
      <c r="HC131" s="84"/>
      <c r="HD131" s="84"/>
      <c r="HE131" s="84"/>
      <c r="HF131" s="84"/>
      <c r="HG131" s="84"/>
      <c r="HH131" s="84"/>
      <c r="HI131" s="84"/>
      <c r="HJ131" s="84"/>
      <c r="HK131" s="84"/>
      <c r="HL131" s="84"/>
      <c r="HM131" s="84"/>
      <c r="HN131" s="84"/>
      <c r="HO131" s="84"/>
      <c r="HP131" s="84"/>
      <c r="HQ131" s="84"/>
      <c r="HR131" s="84"/>
      <c r="HS131" s="84"/>
      <c r="HT131" s="84"/>
      <c r="HU131" s="84"/>
      <c r="HV131" s="84"/>
      <c r="HW131" s="84"/>
      <c r="HX131" s="84"/>
      <c r="HY131" s="84"/>
      <c r="HZ131" s="84"/>
      <c r="IA131" s="84"/>
      <c r="IB131" s="84"/>
    </row>
    <row r="132" spans="1:236" s="157" customFormat="1" ht="29.5" thickBot="1" x14ac:dyDescent="0.4">
      <c r="A132" s="87"/>
      <c r="B132" s="106" t="s">
        <v>167</v>
      </c>
      <c r="C132" s="158" t="s">
        <v>549</v>
      </c>
      <c r="D132" s="108" t="s">
        <v>1047</v>
      </c>
      <c r="E132" s="109" t="s">
        <v>1041</v>
      </c>
      <c r="F132" s="110"/>
      <c r="G132" s="83"/>
      <c r="H132" s="410"/>
      <c r="I132" s="411"/>
      <c r="J132" s="411"/>
      <c r="K132" s="411"/>
      <c r="L132" s="411"/>
      <c r="M132" s="411"/>
      <c r="N132" s="411"/>
      <c r="O132" s="411"/>
      <c r="P132" s="411"/>
      <c r="Q132" s="411"/>
      <c r="R132" s="411"/>
      <c r="S132" s="412"/>
      <c r="T132" s="88"/>
      <c r="U132" s="84"/>
      <c r="V132" s="84"/>
      <c r="W132" s="84"/>
      <c r="X132" s="84"/>
      <c r="Y132" s="84"/>
      <c r="Z132" s="84"/>
      <c r="AA132" s="84"/>
      <c r="AB132" s="84"/>
      <c r="AC132" s="84"/>
      <c r="AD132" s="84"/>
      <c r="AE132" s="84"/>
      <c r="AF132" s="84"/>
      <c r="AG132" s="84"/>
      <c r="AH132" s="84"/>
      <c r="AI132" s="84"/>
      <c r="AJ132" s="84"/>
      <c r="AK132" s="84"/>
      <c r="AL132" s="84"/>
      <c r="AM132" s="84"/>
      <c r="AN132" s="84"/>
      <c r="AO132" s="84"/>
      <c r="AP132" s="84"/>
      <c r="AQ132" s="84"/>
      <c r="AR132" s="84"/>
      <c r="AS132" s="84"/>
      <c r="AT132" s="84"/>
      <c r="AU132" s="84"/>
      <c r="AV132" s="84"/>
      <c r="AW132" s="84"/>
      <c r="AX132" s="84"/>
      <c r="AY132" s="84"/>
      <c r="AZ132" s="84"/>
      <c r="BA132" s="84"/>
      <c r="BB132" s="84"/>
      <c r="BC132" s="84"/>
      <c r="BD132" s="84"/>
      <c r="BE132" s="84"/>
      <c r="BF132" s="84"/>
      <c r="BG132" s="84"/>
      <c r="BH132" s="84"/>
      <c r="BI132" s="84"/>
      <c r="BJ132" s="84"/>
      <c r="BK132" s="84"/>
      <c r="BL132" s="84"/>
      <c r="BM132" s="84"/>
      <c r="BN132" s="84"/>
      <c r="BO132" s="84"/>
      <c r="BP132" s="84"/>
      <c r="BQ132" s="84"/>
      <c r="BR132" s="84"/>
      <c r="BS132" s="84"/>
      <c r="BT132" s="84"/>
      <c r="BU132" s="84"/>
      <c r="BV132" s="84"/>
      <c r="BW132" s="84"/>
      <c r="BX132" s="84"/>
      <c r="BY132" s="84"/>
      <c r="BZ132" s="84"/>
      <c r="CA132" s="84"/>
      <c r="CB132" s="84"/>
      <c r="CC132" s="84"/>
      <c r="CD132" s="84"/>
      <c r="CE132" s="84"/>
      <c r="CF132" s="84"/>
      <c r="CG132" s="84"/>
      <c r="CH132" s="84"/>
      <c r="CI132" s="84"/>
      <c r="CJ132" s="84"/>
      <c r="CK132" s="84"/>
      <c r="CL132" s="84"/>
      <c r="CM132" s="84"/>
      <c r="CN132" s="84"/>
      <c r="CO132" s="84"/>
      <c r="CP132" s="84"/>
      <c r="CQ132" s="84"/>
      <c r="CR132" s="84"/>
      <c r="CS132" s="84"/>
      <c r="CT132" s="84"/>
      <c r="CU132" s="84"/>
      <c r="CV132" s="84"/>
      <c r="CW132" s="84"/>
      <c r="CX132" s="84"/>
      <c r="CY132" s="84"/>
      <c r="CZ132" s="84"/>
      <c r="DA132" s="84"/>
      <c r="DB132" s="84"/>
      <c r="DC132" s="84"/>
      <c r="DD132" s="84"/>
      <c r="DE132" s="84"/>
      <c r="DF132" s="84"/>
      <c r="DG132" s="84"/>
      <c r="DH132" s="84"/>
      <c r="DI132" s="84"/>
      <c r="DJ132" s="84"/>
      <c r="DK132" s="84"/>
      <c r="DL132" s="84"/>
      <c r="DM132" s="84"/>
      <c r="DN132" s="84"/>
      <c r="DO132" s="84"/>
      <c r="DP132" s="84"/>
      <c r="DQ132" s="84"/>
      <c r="DR132" s="84"/>
      <c r="DS132" s="84"/>
      <c r="DT132" s="84"/>
      <c r="DU132" s="84"/>
      <c r="DV132" s="84"/>
      <c r="DW132" s="84"/>
      <c r="DX132" s="84"/>
      <c r="DY132" s="84"/>
      <c r="DZ132" s="84"/>
      <c r="EA132" s="84"/>
      <c r="EB132" s="84"/>
      <c r="EC132" s="84"/>
      <c r="ED132" s="84"/>
      <c r="EE132" s="84"/>
      <c r="EF132" s="84"/>
      <c r="EG132" s="84"/>
      <c r="EH132" s="84"/>
      <c r="EI132" s="84"/>
      <c r="EJ132" s="84"/>
      <c r="EK132" s="84"/>
      <c r="EL132" s="84"/>
      <c r="EM132" s="84"/>
      <c r="EN132" s="84"/>
      <c r="EO132" s="84"/>
      <c r="EP132" s="84"/>
      <c r="EQ132" s="84"/>
      <c r="ER132" s="84"/>
      <c r="ES132" s="84"/>
      <c r="ET132" s="84"/>
      <c r="EU132" s="84"/>
      <c r="EV132" s="84"/>
      <c r="EW132" s="84"/>
      <c r="EX132" s="84"/>
      <c r="EY132" s="84"/>
      <c r="EZ132" s="84"/>
      <c r="FA132" s="84"/>
      <c r="FB132" s="84"/>
      <c r="FC132" s="84"/>
      <c r="FD132" s="84"/>
      <c r="FE132" s="84"/>
      <c r="FF132" s="84"/>
      <c r="FG132" s="84"/>
      <c r="FH132" s="84"/>
      <c r="FI132" s="84"/>
      <c r="FJ132" s="84"/>
      <c r="FK132" s="84"/>
      <c r="FL132" s="84"/>
      <c r="FM132" s="84"/>
      <c r="FN132" s="84"/>
      <c r="FO132" s="84"/>
      <c r="FP132" s="84"/>
      <c r="FQ132" s="84"/>
      <c r="FR132" s="84"/>
      <c r="FS132" s="84"/>
      <c r="FT132" s="84"/>
      <c r="FU132" s="84"/>
      <c r="FV132" s="84"/>
      <c r="FW132" s="84"/>
      <c r="FX132" s="84"/>
      <c r="FY132" s="84"/>
      <c r="FZ132" s="84"/>
      <c r="GA132" s="84"/>
      <c r="GB132" s="84"/>
      <c r="GC132" s="84"/>
      <c r="GD132" s="84"/>
      <c r="GE132" s="84"/>
      <c r="GF132" s="84"/>
      <c r="GG132" s="84"/>
      <c r="GH132" s="84"/>
      <c r="GI132" s="84"/>
      <c r="GJ132" s="84"/>
      <c r="GK132" s="84"/>
      <c r="GL132" s="84"/>
      <c r="GM132" s="84"/>
      <c r="GN132" s="84"/>
      <c r="GO132" s="84"/>
      <c r="GP132" s="84"/>
      <c r="GQ132" s="84"/>
      <c r="GR132" s="84"/>
      <c r="GS132" s="84"/>
      <c r="GT132" s="84"/>
      <c r="GU132" s="84"/>
      <c r="GV132" s="84"/>
      <c r="GW132" s="84"/>
      <c r="GX132" s="84"/>
      <c r="GY132" s="84"/>
      <c r="GZ132" s="84"/>
      <c r="HA132" s="84"/>
      <c r="HB132" s="84"/>
      <c r="HC132" s="84"/>
      <c r="HD132" s="84"/>
      <c r="HE132" s="84"/>
      <c r="HF132" s="84"/>
      <c r="HG132" s="84"/>
      <c r="HH132" s="84"/>
      <c r="HI132" s="84"/>
      <c r="HJ132" s="84"/>
      <c r="HK132" s="84"/>
      <c r="HL132" s="84"/>
      <c r="HM132" s="84"/>
      <c r="HN132" s="84"/>
      <c r="HO132" s="84"/>
      <c r="HP132" s="84"/>
      <c r="HQ132" s="84"/>
      <c r="HR132" s="84"/>
      <c r="HS132" s="84"/>
      <c r="HT132" s="84"/>
      <c r="HU132" s="84"/>
      <c r="HV132" s="84"/>
      <c r="HW132" s="84"/>
      <c r="HX132" s="84"/>
      <c r="HY132" s="84"/>
      <c r="HZ132" s="84"/>
      <c r="IA132" s="84"/>
      <c r="IB132" s="84"/>
    </row>
    <row r="133" spans="1:236" ht="15" thickBot="1" x14ac:dyDescent="0.4">
      <c r="A133" s="105"/>
      <c r="B133" s="83"/>
      <c r="C133" s="88"/>
      <c r="D133" s="88"/>
      <c r="E133" s="111"/>
      <c r="F133" s="150"/>
      <c r="G133" s="83"/>
      <c r="H133" s="88"/>
      <c r="I133" s="88"/>
      <c r="J133" s="88"/>
      <c r="K133" s="88"/>
      <c r="L133" s="88"/>
      <c r="M133" s="88"/>
      <c r="N133" s="88"/>
      <c r="O133" s="88"/>
      <c r="P133" s="88"/>
      <c r="Q133" s="88"/>
      <c r="R133" s="88"/>
      <c r="S133" s="88"/>
      <c r="T133" s="88"/>
    </row>
    <row r="134" spans="1:236" ht="15" thickBot="1" x14ac:dyDescent="0.4">
      <c r="A134" s="105"/>
      <c r="B134" s="404" t="s">
        <v>579</v>
      </c>
      <c r="C134" s="405"/>
      <c r="D134" s="405"/>
      <c r="E134" s="405"/>
      <c r="F134" s="406"/>
      <c r="G134" s="83"/>
      <c r="H134" s="88"/>
      <c r="I134" s="88"/>
      <c r="J134" s="88"/>
      <c r="K134" s="88"/>
      <c r="L134" s="88"/>
      <c r="M134" s="88"/>
      <c r="N134" s="88"/>
      <c r="O134" s="88"/>
      <c r="P134" s="88"/>
      <c r="Q134" s="88"/>
      <c r="R134" s="88"/>
      <c r="S134" s="88"/>
      <c r="T134" s="88"/>
    </row>
    <row r="135" spans="1:236" x14ac:dyDescent="0.35">
      <c r="A135" s="105"/>
      <c r="B135" s="298" t="s">
        <v>167</v>
      </c>
      <c r="C135" s="419" t="str">
        <f>IF(AND(D155=0,D156=0,D157=0),"NA",IF(AND(D155&gt;0,D156=0),"NR",IF(D156&gt;0,"NOK","OK")))</f>
        <v>NR</v>
      </c>
      <c r="D135" s="419"/>
      <c r="E135" s="419"/>
      <c r="F135" s="420"/>
      <c r="G135" s="83"/>
      <c r="H135" s="88"/>
      <c r="I135" s="88"/>
      <c r="J135" s="88"/>
      <c r="K135" s="88"/>
      <c r="L135" s="88"/>
      <c r="M135" s="88"/>
      <c r="N135" s="88"/>
      <c r="O135" s="88"/>
      <c r="P135" s="88"/>
      <c r="Q135" s="88"/>
      <c r="R135" s="88"/>
      <c r="S135" s="88"/>
      <c r="T135" s="88"/>
    </row>
    <row r="136" spans="1:236" x14ac:dyDescent="0.35">
      <c r="A136" s="105"/>
      <c r="B136" s="240"/>
      <c r="C136" s="392" t="str">
        <f>IF(AND(D160=0,D161=0,D162=0),"NA",IF(AND(D160&gt;0,D161=0),"NR",IF(D161&gt;0,"NOK","OK")))</f>
        <v>NA</v>
      </c>
      <c r="D136" s="392"/>
      <c r="E136" s="392"/>
      <c r="F136" s="393"/>
      <c r="G136" s="83"/>
      <c r="H136" s="88"/>
      <c r="I136" s="88"/>
      <c r="J136" s="88"/>
      <c r="K136" s="88"/>
      <c r="L136" s="88"/>
      <c r="M136" s="88"/>
      <c r="N136" s="88"/>
      <c r="O136" s="88"/>
      <c r="P136" s="88"/>
      <c r="Q136" s="88"/>
      <c r="R136" s="88"/>
      <c r="S136" s="88"/>
      <c r="T136" s="88"/>
    </row>
    <row r="137" spans="1:236" x14ac:dyDescent="0.35">
      <c r="A137" s="105"/>
      <c r="B137" s="299"/>
      <c r="C137" s="392" t="str">
        <f>IF(AND(D161=0,D162=0,D163=0),"NA",IF(AND(D161&gt;0,D162=0),"NR",IF(D162&gt;0,"NOK","OK")))</f>
        <v>NA</v>
      </c>
      <c r="D137" s="392"/>
      <c r="E137" s="392"/>
      <c r="F137" s="393"/>
      <c r="G137" s="83"/>
      <c r="H137" s="88"/>
      <c r="I137" s="88"/>
      <c r="J137" s="88"/>
      <c r="K137" s="88"/>
      <c r="L137" s="88"/>
      <c r="M137" s="88"/>
      <c r="N137" s="88"/>
      <c r="O137" s="88"/>
      <c r="P137" s="88"/>
      <c r="Q137" s="88"/>
      <c r="R137" s="88"/>
      <c r="S137" s="88"/>
      <c r="T137" s="88"/>
    </row>
    <row r="138" spans="1:236" x14ac:dyDescent="0.35">
      <c r="A138" s="105"/>
      <c r="B138" s="240"/>
      <c r="C138" s="392" t="str">
        <f>IF(AND(D164=0,D165=0,D166=0),"NA",IF(AND(D164&gt;0,D165=0),"NR",IF(D165&gt;0,"NOK","OK")))</f>
        <v>NA</v>
      </c>
      <c r="D138" s="392"/>
      <c r="E138" s="392"/>
      <c r="F138" s="393"/>
      <c r="G138" s="83"/>
      <c r="H138" s="88"/>
      <c r="I138" s="88"/>
      <c r="J138" s="88"/>
      <c r="K138" s="88"/>
      <c r="L138" s="88"/>
      <c r="M138" s="88"/>
      <c r="N138" s="88"/>
      <c r="O138" s="88"/>
      <c r="P138" s="88"/>
      <c r="Q138" s="88"/>
      <c r="R138" s="88"/>
      <c r="S138" s="88"/>
      <c r="T138" s="88"/>
    </row>
    <row r="139" spans="1:236" x14ac:dyDescent="0.35">
      <c r="A139" s="105"/>
      <c r="B139" s="113"/>
      <c r="C139" s="392" t="str">
        <f>IF(AND(D167=0,D168=0,D169=0),"NA",IF(AND(D167&gt;0,D168=0),"NR",IF(D168&gt;0,"NOK","OK")))</f>
        <v>NA</v>
      </c>
      <c r="D139" s="392"/>
      <c r="E139" s="392"/>
      <c r="F139" s="393"/>
      <c r="G139" s="83"/>
      <c r="H139" s="88"/>
      <c r="I139" s="88"/>
      <c r="J139" s="88"/>
      <c r="K139" s="88"/>
      <c r="L139" s="88"/>
      <c r="M139" s="88"/>
      <c r="N139" s="88"/>
      <c r="O139" s="88"/>
      <c r="P139" s="88"/>
      <c r="Q139" s="88"/>
      <c r="R139" s="88"/>
      <c r="S139" s="88"/>
      <c r="T139" s="88"/>
    </row>
    <row r="140" spans="1:236" x14ac:dyDescent="0.35">
      <c r="A140" s="105"/>
      <c r="B140" s="113"/>
      <c r="C140" s="392" t="str">
        <f>IF(AND(D170=0,D171=0,D172=0),"NA",IF(AND(D170&gt;0,D171=0),"NR",IF(D171&gt;0,"NOK","OK")))</f>
        <v>NA</v>
      </c>
      <c r="D140" s="392"/>
      <c r="E140" s="392"/>
      <c r="F140" s="393"/>
      <c r="G140" s="83"/>
      <c r="H140" s="88"/>
      <c r="I140" s="88"/>
      <c r="J140" s="88"/>
      <c r="K140" s="88"/>
      <c r="L140" s="88"/>
      <c r="M140" s="88"/>
      <c r="N140" s="88"/>
      <c r="O140" s="88"/>
      <c r="P140" s="88"/>
      <c r="Q140" s="88"/>
      <c r="R140" s="88"/>
      <c r="S140" s="88"/>
      <c r="T140" s="88"/>
    </row>
    <row r="141" spans="1:236" x14ac:dyDescent="0.35">
      <c r="A141" s="105"/>
      <c r="B141" s="113"/>
      <c r="C141" s="392" t="str">
        <f>IF(AND(D173=0,D174=0,D175=0),"NA",IF(AND(D173&gt;0,D174=0),"NR",IF(D174&gt;0,"NOK","OK")))</f>
        <v>NA</v>
      </c>
      <c r="D141" s="392"/>
      <c r="E141" s="392"/>
      <c r="F141" s="393"/>
      <c r="G141" s="83"/>
      <c r="H141" s="88"/>
      <c r="I141" s="88"/>
      <c r="J141" s="88"/>
      <c r="K141" s="88"/>
      <c r="L141" s="88"/>
      <c r="M141" s="88"/>
      <c r="N141" s="88"/>
      <c r="O141" s="88"/>
      <c r="P141" s="88"/>
      <c r="Q141" s="88"/>
      <c r="R141" s="88"/>
      <c r="S141" s="88"/>
      <c r="T141" s="88"/>
    </row>
    <row r="142" spans="1:236" x14ac:dyDescent="0.35">
      <c r="A142" s="105"/>
      <c r="B142" s="113"/>
      <c r="C142" s="392" t="str">
        <f>IF(AND(D176=0,D177=0,D178=0),"NA",IF(AND(D176&gt;0,D177=0),"NR",IF(D177&gt;0,"NOK","OK")))</f>
        <v>NA</v>
      </c>
      <c r="D142" s="392"/>
      <c r="E142" s="392"/>
      <c r="F142" s="393"/>
      <c r="G142" s="83"/>
      <c r="H142" s="88"/>
      <c r="I142" s="88"/>
      <c r="J142" s="88"/>
      <c r="K142" s="88"/>
      <c r="L142" s="88"/>
      <c r="M142" s="88"/>
      <c r="N142" s="88"/>
      <c r="O142" s="88"/>
      <c r="P142" s="88"/>
      <c r="Q142" s="88"/>
      <c r="R142" s="88"/>
      <c r="S142" s="88"/>
      <c r="T142" s="88"/>
    </row>
    <row r="143" spans="1:236" x14ac:dyDescent="0.35">
      <c r="A143" s="105"/>
      <c r="B143" s="113"/>
      <c r="C143" s="392" t="str">
        <f>IF(AND(D179=0,D180=0,D181=0),"NA",IF(AND(D179&gt;0,D180=0),"NR",IF(D180&gt;0,"NOK","OK")))</f>
        <v>NA</v>
      </c>
      <c r="D143" s="392"/>
      <c r="E143" s="392"/>
      <c r="F143" s="393"/>
      <c r="G143" s="83"/>
      <c r="H143" s="88"/>
      <c r="I143" s="88"/>
      <c r="J143" s="88"/>
      <c r="K143" s="88"/>
      <c r="L143" s="88"/>
      <c r="M143" s="88"/>
      <c r="N143" s="88"/>
      <c r="O143" s="88"/>
      <c r="P143" s="88"/>
      <c r="Q143" s="88"/>
      <c r="R143" s="88"/>
      <c r="S143" s="88"/>
      <c r="T143" s="88"/>
    </row>
    <row r="144" spans="1:236" x14ac:dyDescent="0.35">
      <c r="A144" s="105"/>
      <c r="B144" s="113"/>
      <c r="C144" s="392" t="str">
        <f>IF(AND(D182=0,D183=0,D184=0),"NA",IF(AND(D182&gt;0,D183=0),"NR",IF(D183&gt;0,"NOK","OK")))</f>
        <v>NA</v>
      </c>
      <c r="D144" s="392"/>
      <c r="E144" s="392"/>
      <c r="F144" s="393"/>
      <c r="G144" s="83"/>
      <c r="H144" s="88"/>
      <c r="I144" s="88"/>
      <c r="J144" s="88"/>
      <c r="K144" s="88"/>
      <c r="L144" s="88"/>
      <c r="M144" s="88"/>
      <c r="N144" s="88"/>
      <c r="O144" s="88"/>
      <c r="P144" s="88"/>
      <c r="Q144" s="88"/>
      <c r="R144" s="88"/>
      <c r="S144" s="88"/>
      <c r="T144" s="88"/>
    </row>
    <row r="145" spans="1:20" x14ac:dyDescent="0.35">
      <c r="A145" s="105"/>
      <c r="B145" s="113"/>
      <c r="C145" s="392" t="str">
        <f>IF(AND(D185=0,D186=0,D187=0),"NA",IF(AND(D185&gt;0,D186=0),"NR",IF(D186&gt;0,"NOK","OK")))</f>
        <v>NA</v>
      </c>
      <c r="D145" s="392"/>
      <c r="E145" s="392"/>
      <c r="F145" s="393"/>
      <c r="G145" s="83"/>
      <c r="H145" s="88"/>
      <c r="I145" s="88"/>
      <c r="J145" s="88"/>
      <c r="K145" s="88"/>
      <c r="L145" s="88"/>
      <c r="M145" s="88"/>
      <c r="N145" s="88"/>
      <c r="O145" s="88"/>
      <c r="P145" s="88"/>
      <c r="Q145" s="88"/>
      <c r="R145" s="88"/>
      <c r="S145" s="88"/>
      <c r="T145" s="88"/>
    </row>
    <row r="146" spans="1:20" x14ac:dyDescent="0.35">
      <c r="A146" s="105"/>
      <c r="B146" s="113"/>
      <c r="C146" s="392" t="str">
        <f>IF(AND(D188=0,D189=0,D190=0),"NA",IF(AND(D188&gt;0,D189=0),"NR",IF(D189&gt;0,"NOK","OK")))</f>
        <v>NA</v>
      </c>
      <c r="D146" s="392"/>
      <c r="E146" s="392"/>
      <c r="F146" s="393"/>
      <c r="G146" s="83"/>
      <c r="H146" s="88"/>
      <c r="I146" s="88"/>
      <c r="J146" s="88"/>
      <c r="K146" s="88"/>
      <c r="L146" s="88"/>
      <c r="M146" s="88"/>
      <c r="N146" s="88"/>
      <c r="O146" s="88"/>
      <c r="P146" s="88"/>
      <c r="Q146" s="88"/>
      <c r="R146" s="88"/>
      <c r="S146" s="88"/>
      <c r="T146" s="88"/>
    </row>
    <row r="147" spans="1:20" ht="15" thickBot="1" x14ac:dyDescent="0.4">
      <c r="A147" s="105"/>
      <c r="B147" s="114"/>
      <c r="C147" s="400" t="str">
        <f>IF(AND(D191=0,D192=0,D193=0),"NA",IF(AND(D191&gt;0,D192=0),"NR",IF(D192&gt;0,"NOK","OK")))</f>
        <v>NA</v>
      </c>
      <c r="D147" s="400"/>
      <c r="E147" s="400"/>
      <c r="F147" s="401"/>
      <c r="G147" s="83"/>
      <c r="H147" s="88"/>
      <c r="I147" s="88"/>
      <c r="J147" s="88"/>
      <c r="K147" s="88"/>
      <c r="L147" s="88"/>
      <c r="M147" s="88"/>
      <c r="N147" s="88"/>
      <c r="O147" s="88"/>
      <c r="P147" s="88"/>
      <c r="Q147" s="88"/>
      <c r="R147" s="88"/>
      <c r="S147" s="88"/>
      <c r="T147" s="88"/>
    </row>
    <row r="148" spans="1:20" ht="15" thickBot="1" x14ac:dyDescent="0.4">
      <c r="A148" s="105"/>
      <c r="B148" s="115"/>
      <c r="C148" s="116"/>
      <c r="D148" s="116"/>
      <c r="E148" s="117"/>
      <c r="F148" s="151"/>
      <c r="G148" s="83"/>
      <c r="H148" s="88"/>
      <c r="I148" s="88"/>
      <c r="J148" s="88"/>
      <c r="K148" s="88"/>
      <c r="L148" s="88"/>
      <c r="M148" s="88"/>
      <c r="N148" s="88"/>
      <c r="O148" s="88"/>
      <c r="P148" s="88"/>
      <c r="Q148" s="88"/>
      <c r="R148" s="88"/>
      <c r="S148" s="88"/>
      <c r="T148" s="88"/>
    </row>
    <row r="149" spans="1:20" ht="15" thickBot="1" x14ac:dyDescent="0.4">
      <c r="A149" s="105"/>
      <c r="B149" s="394" t="s">
        <v>580</v>
      </c>
      <c r="C149" s="395"/>
      <c r="D149" s="395"/>
      <c r="E149" s="395"/>
      <c r="F149" s="396"/>
      <c r="G149" s="83"/>
      <c r="H149" s="88"/>
      <c r="I149" s="88"/>
      <c r="J149" s="88"/>
      <c r="K149" s="88"/>
      <c r="L149" s="88"/>
      <c r="M149" s="88"/>
      <c r="N149" s="88"/>
      <c r="O149" s="88"/>
      <c r="P149" s="88"/>
      <c r="Q149" s="88"/>
      <c r="R149" s="88"/>
      <c r="S149" s="88"/>
      <c r="T149" s="88"/>
    </row>
    <row r="150" spans="1:20" ht="31.5" thickBot="1" x14ac:dyDescent="0.4">
      <c r="A150" s="105"/>
      <c r="B150" s="118" t="s">
        <v>1061</v>
      </c>
      <c r="C150" s="119" t="str">
        <f>IF(AND(COUNTIF(C135:C146,"NOK")=0,COUNTIF(C135:C146,"OK")=0,COUNTIF(C135:C146,"NR")=0),"NA",IF(AND(COUNTIF(C135:C146,"NR")&gt;0,COUNTIF(C135:C146,"NOK")=0),"NR",IF(COUNTIF(C135:C146,"NOK")&gt;0,"NOK","OK")))</f>
        <v>NR</v>
      </c>
      <c r="D150" s="397" t="s">
        <v>57</v>
      </c>
      <c r="E150" s="398"/>
      <c r="F150" s="399"/>
      <c r="G150" s="83"/>
      <c r="H150" s="88"/>
      <c r="I150" s="88"/>
      <c r="J150" s="88"/>
      <c r="K150" s="88"/>
      <c r="L150" s="88"/>
      <c r="M150" s="88"/>
      <c r="N150" s="88"/>
      <c r="O150" s="88"/>
      <c r="P150" s="88"/>
      <c r="Q150" s="88"/>
      <c r="R150" s="88"/>
      <c r="S150" s="88"/>
      <c r="T150" s="88"/>
    </row>
    <row r="151" spans="1:20" x14ac:dyDescent="0.35">
      <c r="A151" s="105"/>
      <c r="B151" s="83"/>
      <c r="C151" s="88"/>
      <c r="D151" s="88"/>
      <c r="E151" s="111"/>
      <c r="F151" s="150"/>
      <c r="G151" s="83"/>
      <c r="H151" s="88"/>
      <c r="I151" s="88"/>
      <c r="J151" s="88"/>
      <c r="K151" s="88"/>
      <c r="L151" s="88"/>
      <c r="M151" s="88"/>
      <c r="N151" s="88"/>
      <c r="O151" s="88"/>
      <c r="P151" s="88"/>
      <c r="Q151" s="88"/>
      <c r="R151" s="88"/>
      <c r="S151" s="88"/>
      <c r="T151" s="88"/>
    </row>
    <row r="152" spans="1:20" x14ac:dyDescent="0.35">
      <c r="A152" s="105"/>
      <c r="B152" s="83"/>
      <c r="C152" s="88"/>
      <c r="D152" s="88"/>
      <c r="E152" s="111"/>
      <c r="F152" s="150"/>
      <c r="G152" s="83"/>
      <c r="H152" s="88"/>
      <c r="I152" s="88"/>
      <c r="J152" s="88"/>
      <c r="K152" s="88"/>
      <c r="L152" s="88"/>
      <c r="M152" s="88"/>
      <c r="N152" s="88"/>
      <c r="O152" s="88"/>
      <c r="P152" s="88"/>
      <c r="Q152" s="88"/>
      <c r="R152" s="88"/>
      <c r="S152" s="88"/>
      <c r="T152" s="88"/>
    </row>
    <row r="153" spans="1:20" x14ac:dyDescent="0.35">
      <c r="A153" s="105"/>
      <c r="B153" s="83"/>
      <c r="C153" s="88"/>
      <c r="D153" s="88"/>
      <c r="E153" s="111"/>
      <c r="F153" s="150"/>
      <c r="G153" s="83"/>
      <c r="H153" s="88"/>
      <c r="I153" s="88"/>
      <c r="J153" s="88"/>
      <c r="K153" s="88"/>
      <c r="L153" s="88"/>
      <c r="M153" s="88"/>
      <c r="N153" s="88"/>
      <c r="O153" s="88"/>
      <c r="P153" s="88"/>
      <c r="Q153" s="88"/>
      <c r="R153" s="88"/>
      <c r="S153" s="88"/>
      <c r="T153" s="88"/>
    </row>
    <row r="154" spans="1:20" x14ac:dyDescent="0.35">
      <c r="A154" s="105"/>
      <c r="B154" s="391" t="s">
        <v>582</v>
      </c>
      <c r="C154" s="391"/>
      <c r="D154" s="391"/>
      <c r="E154" s="88"/>
      <c r="F154" s="150"/>
      <c r="G154" s="83"/>
      <c r="H154" s="88"/>
      <c r="I154" s="88"/>
      <c r="J154" s="88"/>
      <c r="K154" s="88"/>
      <c r="L154" s="88"/>
      <c r="M154" s="88"/>
      <c r="N154" s="88"/>
      <c r="O154" s="88"/>
      <c r="P154" s="88"/>
      <c r="Q154" s="88"/>
      <c r="R154" s="88"/>
      <c r="S154" s="88"/>
      <c r="T154" s="88"/>
    </row>
    <row r="155" spans="1:20" x14ac:dyDescent="0.35">
      <c r="A155" s="105"/>
      <c r="B155" s="390" t="str">
        <f>B135</f>
        <v>REQ_SYS_Battery-Discharge_224</v>
      </c>
      <c r="C155" s="120" t="s">
        <v>549</v>
      </c>
      <c r="D155" s="120">
        <f>IF($B$155=0,0,COUNTIFS($B$6:$B$132,"*"&amp;$B$155&amp;"*",$C$6:$C$132,C155))</f>
        <v>86</v>
      </c>
      <c r="E155" s="88"/>
      <c r="F155" s="150"/>
      <c r="G155" s="88"/>
      <c r="H155" s="88"/>
      <c r="I155" s="88"/>
      <c r="J155" s="88"/>
      <c r="K155" s="88"/>
      <c r="L155" s="88"/>
      <c r="M155" s="88"/>
      <c r="N155" s="88"/>
      <c r="O155" s="88"/>
      <c r="P155" s="88"/>
      <c r="Q155" s="88"/>
      <c r="R155" s="88"/>
      <c r="S155" s="88"/>
      <c r="T155" s="88"/>
    </row>
    <row r="156" spans="1:20" x14ac:dyDescent="0.35">
      <c r="A156" s="105"/>
      <c r="B156" s="390"/>
      <c r="C156" s="120" t="s">
        <v>583</v>
      </c>
      <c r="D156" s="120">
        <f>IF($B$155=0,0,COUNTIFS($B$6:$B$132,"*"&amp;$B$155&amp;"*",$C$6:$C$132,C156))</f>
        <v>0</v>
      </c>
      <c r="E156" s="88"/>
      <c r="F156" s="150"/>
      <c r="G156" s="88"/>
      <c r="H156" s="88"/>
      <c r="I156" s="88"/>
      <c r="J156" s="88"/>
      <c r="K156" s="88"/>
      <c r="L156" s="88"/>
      <c r="M156" s="88"/>
      <c r="N156" s="88"/>
      <c r="O156" s="88"/>
      <c r="P156" s="88"/>
      <c r="Q156" s="88"/>
      <c r="R156" s="88"/>
      <c r="S156" s="88"/>
      <c r="T156" s="88"/>
    </row>
    <row r="157" spans="1:20" x14ac:dyDescent="0.35">
      <c r="A157" s="105"/>
      <c r="B157" s="390"/>
      <c r="C157" s="120" t="s">
        <v>584</v>
      </c>
      <c r="D157" s="120">
        <f>IF($B$155=0,0,COUNTIFS($B$6:$B$132,"*"&amp;$B$155&amp;"*",$C$6:$C$132,C157))</f>
        <v>0</v>
      </c>
      <c r="E157" s="88"/>
      <c r="F157" s="150"/>
      <c r="G157" s="88"/>
      <c r="H157" s="88"/>
      <c r="I157" s="88"/>
      <c r="J157" s="88"/>
      <c r="K157" s="88"/>
      <c r="L157" s="88"/>
      <c r="M157" s="88"/>
      <c r="N157" s="88"/>
      <c r="O157" s="88"/>
      <c r="P157" s="88"/>
      <c r="Q157" s="88"/>
      <c r="R157" s="88"/>
      <c r="S157" s="88"/>
      <c r="T157" s="88"/>
    </row>
    <row r="158" spans="1:20" x14ac:dyDescent="0.35">
      <c r="A158" s="105"/>
      <c r="B158" s="390">
        <f>B136</f>
        <v>0</v>
      </c>
      <c r="C158" s="120" t="s">
        <v>549</v>
      </c>
      <c r="D158" s="120">
        <f>IF($B$158=0,0,COUNTIFS($B$6:$B$132,"*"&amp;$B$158&amp;"*",$C$6:$C$132,C158))</f>
        <v>0</v>
      </c>
      <c r="E158" s="88"/>
      <c r="F158" s="150"/>
      <c r="G158" s="88"/>
      <c r="H158" s="88"/>
      <c r="I158" s="88"/>
      <c r="J158" s="88"/>
      <c r="K158" s="88"/>
      <c r="L158" s="88"/>
      <c r="M158" s="88"/>
      <c r="N158" s="88"/>
      <c r="O158" s="88"/>
      <c r="P158" s="88"/>
      <c r="Q158" s="88"/>
      <c r="R158" s="88"/>
      <c r="S158" s="88"/>
      <c r="T158" s="88"/>
    </row>
    <row r="159" spans="1:20" x14ac:dyDescent="0.35">
      <c r="A159" s="105"/>
      <c r="B159" s="390"/>
      <c r="C159" s="120" t="s">
        <v>583</v>
      </c>
      <c r="D159" s="120">
        <f>IF($B$158=0,0,COUNTIFS($B$6:$B$132,"*"&amp;$B$158&amp;"*",$C$6:$C$132,C159))</f>
        <v>0</v>
      </c>
      <c r="E159" s="88"/>
      <c r="F159" s="150"/>
      <c r="G159" s="88"/>
      <c r="H159" s="88"/>
      <c r="I159" s="88"/>
      <c r="J159" s="88"/>
      <c r="K159" s="88"/>
      <c r="L159" s="88"/>
      <c r="M159" s="88"/>
      <c r="N159" s="88"/>
      <c r="O159" s="88"/>
      <c r="P159" s="88"/>
      <c r="Q159" s="88"/>
      <c r="R159" s="88"/>
      <c r="S159" s="88"/>
      <c r="T159" s="88"/>
    </row>
    <row r="160" spans="1:20" x14ac:dyDescent="0.35">
      <c r="A160" s="105"/>
      <c r="B160" s="390"/>
      <c r="C160" s="120" t="s">
        <v>584</v>
      </c>
      <c r="D160" s="120">
        <f>IF($B$158=0,0,COUNTIFS($B$6:$B$132,"*"&amp;$B$158&amp;"*",$C$6:$C$132,C160))</f>
        <v>0</v>
      </c>
      <c r="E160" s="88"/>
      <c r="F160" s="150"/>
      <c r="G160" s="88"/>
      <c r="H160" s="88"/>
      <c r="I160" s="88"/>
      <c r="J160" s="88"/>
      <c r="K160" s="88"/>
      <c r="L160" s="88"/>
      <c r="M160" s="88"/>
      <c r="N160" s="88"/>
      <c r="O160" s="88"/>
      <c r="P160" s="88"/>
      <c r="Q160" s="88"/>
      <c r="R160" s="88"/>
      <c r="S160" s="88"/>
      <c r="T160" s="88"/>
    </row>
    <row r="161" spans="1:20" x14ac:dyDescent="0.35">
      <c r="A161" s="105"/>
      <c r="B161" s="390">
        <f>B137</f>
        <v>0</v>
      </c>
      <c r="C161" s="120" t="s">
        <v>549</v>
      </c>
      <c r="D161" s="120">
        <f>IF($B$161=0,0,COUNTIFS($B$6:$B$132,"*"&amp;$B$161&amp;"*",$C$6:$C$132,C161))</f>
        <v>0</v>
      </c>
      <c r="E161" s="88"/>
      <c r="F161" s="150"/>
      <c r="G161" s="88"/>
      <c r="H161" s="88"/>
      <c r="I161" s="88"/>
      <c r="J161" s="88"/>
      <c r="K161" s="88"/>
      <c r="L161" s="88"/>
      <c r="M161" s="88"/>
      <c r="N161" s="88"/>
      <c r="O161" s="88"/>
      <c r="P161" s="88"/>
      <c r="Q161" s="88"/>
      <c r="R161" s="88"/>
      <c r="S161" s="88"/>
      <c r="T161" s="88"/>
    </row>
    <row r="162" spans="1:20" x14ac:dyDescent="0.35">
      <c r="A162" s="105"/>
      <c r="B162" s="390"/>
      <c r="C162" s="120" t="s">
        <v>583</v>
      </c>
      <c r="D162" s="120">
        <f>IF($B$161=0,0,COUNTIFS($B$6:$B$132,"*"&amp;$B$161&amp;"*",$C$6:$C$132,C162))</f>
        <v>0</v>
      </c>
      <c r="E162" s="88"/>
      <c r="F162" s="150"/>
      <c r="G162" s="88"/>
      <c r="H162" s="88"/>
      <c r="I162" s="88"/>
      <c r="J162" s="88"/>
      <c r="K162" s="88"/>
      <c r="L162" s="88"/>
      <c r="M162" s="88"/>
      <c r="N162" s="88"/>
      <c r="O162" s="88"/>
      <c r="P162" s="88"/>
      <c r="Q162" s="88"/>
      <c r="R162" s="88"/>
      <c r="S162" s="88"/>
      <c r="T162" s="88"/>
    </row>
    <row r="163" spans="1:20" x14ac:dyDescent="0.35">
      <c r="A163" s="105"/>
      <c r="B163" s="390"/>
      <c r="C163" s="120" t="s">
        <v>584</v>
      </c>
      <c r="D163" s="120">
        <f>IF($B$161=0,0,COUNTIFS($B$6:$B$132,"*"&amp;$B$161&amp;"*",$C$6:$C$132,C163))</f>
        <v>0</v>
      </c>
      <c r="E163" s="88"/>
      <c r="F163" s="150"/>
      <c r="G163" s="88"/>
      <c r="H163" s="88"/>
      <c r="I163" s="88"/>
      <c r="J163" s="88"/>
      <c r="K163" s="88"/>
      <c r="L163" s="88"/>
      <c r="M163" s="88"/>
      <c r="N163" s="88"/>
      <c r="O163" s="88"/>
      <c r="P163" s="88"/>
      <c r="Q163" s="88"/>
      <c r="R163" s="88"/>
      <c r="S163" s="88"/>
      <c r="T163" s="88"/>
    </row>
    <row r="164" spans="1:20" x14ac:dyDescent="0.35">
      <c r="A164" s="105"/>
      <c r="B164" s="390">
        <f>B138</f>
        <v>0</v>
      </c>
      <c r="C164" s="120" t="s">
        <v>549</v>
      </c>
      <c r="D164" s="120">
        <f>IF($B$164=0,0,COUNTIFS($B$6:$B$132,"*"&amp;$B$164&amp;"*",$C$6:$C$132,C164))</f>
        <v>0</v>
      </c>
      <c r="E164" s="88"/>
      <c r="F164" s="150"/>
      <c r="G164" s="88"/>
      <c r="H164" s="88"/>
      <c r="I164" s="88"/>
      <c r="J164" s="88"/>
      <c r="K164" s="88"/>
      <c r="L164" s="88"/>
      <c r="M164" s="88"/>
      <c r="N164" s="88"/>
      <c r="O164" s="88"/>
      <c r="P164" s="88"/>
      <c r="Q164" s="88"/>
      <c r="R164" s="88"/>
      <c r="S164" s="88"/>
      <c r="T164" s="88"/>
    </row>
    <row r="165" spans="1:20" x14ac:dyDescent="0.35">
      <c r="A165" s="105"/>
      <c r="B165" s="390"/>
      <c r="C165" s="120" t="s">
        <v>583</v>
      </c>
      <c r="D165" s="120">
        <f>IF($B$164=0,0,COUNTIFS($B$6:$B$132,"*"&amp;$B$164&amp;"*",$C$6:$C$132,C165))</f>
        <v>0</v>
      </c>
      <c r="E165" s="88"/>
      <c r="F165" s="150"/>
      <c r="G165" s="88"/>
      <c r="H165" s="88"/>
      <c r="I165" s="88"/>
      <c r="J165" s="88"/>
      <c r="K165" s="88"/>
      <c r="L165" s="88"/>
      <c r="M165" s="88"/>
      <c r="N165" s="88"/>
      <c r="O165" s="88"/>
      <c r="P165" s="88"/>
      <c r="Q165" s="88"/>
      <c r="R165" s="88"/>
      <c r="S165" s="88"/>
      <c r="T165" s="88"/>
    </row>
    <row r="166" spans="1:20" x14ac:dyDescent="0.35">
      <c r="A166" s="105"/>
      <c r="B166" s="390"/>
      <c r="C166" s="120" t="s">
        <v>584</v>
      </c>
      <c r="D166" s="120">
        <f>IF($B$164=0,0,COUNTIFS($B$6:$B$132,"*"&amp;$B$164&amp;"*",$C$6:$C$132,C166))</f>
        <v>0</v>
      </c>
      <c r="E166" s="88"/>
      <c r="F166" s="150"/>
      <c r="G166" s="88"/>
      <c r="H166" s="88"/>
      <c r="I166" s="88"/>
      <c r="J166" s="88"/>
      <c r="K166" s="88"/>
      <c r="L166" s="88"/>
      <c r="M166" s="88"/>
      <c r="N166" s="88"/>
      <c r="O166" s="88"/>
      <c r="P166" s="88"/>
      <c r="Q166" s="88"/>
      <c r="R166" s="88"/>
      <c r="S166" s="88"/>
      <c r="T166" s="88"/>
    </row>
    <row r="167" spans="1:20" x14ac:dyDescent="0.35">
      <c r="A167" s="105"/>
      <c r="B167" s="390">
        <f>B139</f>
        <v>0</v>
      </c>
      <c r="C167" s="120" t="s">
        <v>549</v>
      </c>
      <c r="D167" s="120">
        <f>IF($B$167=0,0,COUNTIFS($B$6:$B$132,"*"&amp;$B$167&amp;"*",$C$6:$C$132,C167))</f>
        <v>0</v>
      </c>
      <c r="E167" s="88"/>
      <c r="F167" s="150"/>
      <c r="G167" s="88"/>
      <c r="H167" s="88"/>
      <c r="I167" s="88"/>
      <c r="J167" s="88"/>
      <c r="K167" s="88"/>
      <c r="L167" s="88"/>
      <c r="M167" s="88"/>
      <c r="N167" s="88"/>
      <c r="O167" s="88"/>
      <c r="P167" s="88"/>
      <c r="Q167" s="88"/>
      <c r="R167" s="88"/>
      <c r="S167" s="88"/>
      <c r="T167" s="88"/>
    </row>
    <row r="168" spans="1:20" x14ac:dyDescent="0.35">
      <c r="A168" s="105"/>
      <c r="B168" s="390"/>
      <c r="C168" s="120" t="s">
        <v>583</v>
      </c>
      <c r="D168" s="120">
        <f>IF($B$167=0,0,COUNTIFS($B$6:$B$132,"*"&amp;$B$167&amp;"*",$C$6:$C$132,C168))</f>
        <v>0</v>
      </c>
      <c r="E168" s="88"/>
      <c r="F168" s="150"/>
      <c r="G168" s="88"/>
      <c r="H168" s="88"/>
      <c r="I168" s="88"/>
      <c r="J168" s="88"/>
      <c r="K168" s="88"/>
      <c r="L168" s="88"/>
      <c r="M168" s="88"/>
      <c r="N168" s="88"/>
      <c r="O168" s="88"/>
      <c r="P168" s="88"/>
      <c r="Q168" s="88"/>
      <c r="R168" s="88"/>
      <c r="S168" s="88"/>
      <c r="T168" s="88"/>
    </row>
    <row r="169" spans="1:20" x14ac:dyDescent="0.35">
      <c r="A169" s="105"/>
      <c r="B169" s="390"/>
      <c r="C169" s="120" t="s">
        <v>584</v>
      </c>
      <c r="D169" s="120">
        <f>IF($B$167=0,0,COUNTIFS($B$6:$B$132,"*"&amp;$B$167&amp;"*",$C$6:$C$132,C169))</f>
        <v>0</v>
      </c>
      <c r="E169" s="88"/>
      <c r="F169" s="150"/>
      <c r="G169" s="88"/>
      <c r="H169" s="88"/>
      <c r="I169" s="88"/>
      <c r="J169" s="88"/>
      <c r="K169" s="88"/>
      <c r="L169" s="88"/>
      <c r="M169" s="88"/>
      <c r="N169" s="88"/>
      <c r="O169" s="88"/>
      <c r="P169" s="88"/>
      <c r="Q169" s="88"/>
      <c r="R169" s="88"/>
      <c r="S169" s="88"/>
      <c r="T169" s="88"/>
    </row>
    <row r="170" spans="1:20" x14ac:dyDescent="0.35">
      <c r="A170" s="105"/>
      <c r="B170" s="390">
        <f>B140</f>
        <v>0</v>
      </c>
      <c r="C170" s="120" t="s">
        <v>549</v>
      </c>
      <c r="D170" s="120">
        <f>IF($B$170=0,0,COUNTIFS($B$6:$B$132,"*"&amp;$B$170&amp;"*",$C$6:$C$132,C170))</f>
        <v>0</v>
      </c>
      <c r="E170" s="111"/>
      <c r="F170" s="150"/>
      <c r="G170" s="88"/>
      <c r="H170" s="88"/>
      <c r="I170" s="88"/>
      <c r="J170" s="88"/>
      <c r="K170" s="88"/>
      <c r="L170" s="88"/>
      <c r="M170" s="88"/>
      <c r="N170" s="88"/>
      <c r="O170" s="88"/>
      <c r="P170" s="88"/>
      <c r="Q170" s="88"/>
      <c r="R170" s="88"/>
      <c r="S170" s="88"/>
      <c r="T170" s="88"/>
    </row>
    <row r="171" spans="1:20" x14ac:dyDescent="0.35">
      <c r="A171" s="105"/>
      <c r="B171" s="390"/>
      <c r="C171" s="120" t="s">
        <v>583</v>
      </c>
      <c r="D171" s="120">
        <f>IF($B$170=0,0,COUNTIFS($B$6:$B$132,"*"&amp;$B$170&amp;"*",$C$6:$C$132,C171))</f>
        <v>0</v>
      </c>
      <c r="E171" s="111"/>
      <c r="F171" s="150"/>
      <c r="G171" s="88"/>
      <c r="H171" s="88"/>
      <c r="I171" s="88"/>
      <c r="J171" s="88"/>
      <c r="K171" s="88"/>
      <c r="L171" s="88"/>
      <c r="M171" s="88"/>
      <c r="N171" s="88"/>
      <c r="O171" s="88"/>
      <c r="P171" s="88"/>
      <c r="Q171" s="88"/>
      <c r="R171" s="88"/>
      <c r="S171" s="88"/>
      <c r="T171" s="88"/>
    </row>
    <row r="172" spans="1:20" x14ac:dyDescent="0.35">
      <c r="A172" s="105"/>
      <c r="B172" s="390"/>
      <c r="C172" s="120" t="s">
        <v>584</v>
      </c>
      <c r="D172" s="120">
        <f>IF($B$170=0,0,COUNTIFS($B$6:$B$132,"*"&amp;$B$170&amp;"*",$C$6:$C$132,C172))</f>
        <v>0</v>
      </c>
      <c r="E172" s="111"/>
      <c r="F172" s="150"/>
      <c r="G172" s="88"/>
      <c r="H172" s="88"/>
      <c r="I172" s="88"/>
      <c r="J172" s="88"/>
      <c r="K172" s="88"/>
      <c r="L172" s="88"/>
      <c r="M172" s="88"/>
      <c r="N172" s="88"/>
      <c r="O172" s="88"/>
      <c r="P172" s="88"/>
      <c r="Q172" s="88"/>
      <c r="R172" s="88"/>
      <c r="S172" s="88"/>
      <c r="T172" s="88"/>
    </row>
    <row r="173" spans="1:20" x14ac:dyDescent="0.35">
      <c r="A173" s="105"/>
      <c r="B173" s="390">
        <f>B141</f>
        <v>0</v>
      </c>
      <c r="C173" s="120" t="s">
        <v>549</v>
      </c>
      <c r="D173" s="120">
        <f>IF($B$173=0,0,COUNTIFS($B$6:$B$132,"*"&amp;$B$173&amp;"*",$C$6:$C$132,C173))</f>
        <v>0</v>
      </c>
      <c r="E173" s="111"/>
      <c r="F173" s="150"/>
      <c r="G173" s="88"/>
      <c r="H173" s="88"/>
      <c r="I173" s="88"/>
      <c r="J173" s="88"/>
      <c r="K173" s="88"/>
      <c r="L173" s="88"/>
      <c r="M173" s="88"/>
      <c r="N173" s="88"/>
      <c r="O173" s="88"/>
      <c r="P173" s="88"/>
      <c r="Q173" s="88"/>
      <c r="R173" s="88"/>
      <c r="S173" s="88"/>
      <c r="T173" s="88"/>
    </row>
    <row r="174" spans="1:20" x14ac:dyDescent="0.35">
      <c r="A174" s="105"/>
      <c r="B174" s="390"/>
      <c r="C174" s="120" t="s">
        <v>583</v>
      </c>
      <c r="D174" s="120">
        <f>IF($B$173=0,0,COUNTIFS($B$6:$B$132,"*"&amp;$B$173&amp;"*",$C$6:$C$132,C174))</f>
        <v>0</v>
      </c>
      <c r="E174" s="111"/>
      <c r="F174" s="150"/>
      <c r="G174" s="88"/>
      <c r="H174" s="88"/>
      <c r="I174" s="88"/>
      <c r="J174" s="88"/>
      <c r="K174" s="88"/>
      <c r="L174" s="88"/>
      <c r="M174" s="88"/>
      <c r="N174" s="88"/>
      <c r="O174" s="88"/>
      <c r="P174" s="88"/>
      <c r="Q174" s="88"/>
      <c r="R174" s="88"/>
      <c r="S174" s="88"/>
      <c r="T174" s="88"/>
    </row>
    <row r="175" spans="1:20" x14ac:dyDescent="0.35">
      <c r="A175" s="105"/>
      <c r="B175" s="390"/>
      <c r="C175" s="120" t="s">
        <v>584</v>
      </c>
      <c r="D175" s="120">
        <f>IF($B$173=0,0,COUNTIFS($B$6:$B$132,"*"&amp;$B$173&amp;"*",$C$6:$C$132,C175))</f>
        <v>0</v>
      </c>
      <c r="E175" s="111"/>
      <c r="F175" s="150"/>
      <c r="G175" s="88"/>
      <c r="H175" s="88"/>
      <c r="I175" s="88"/>
      <c r="J175" s="88"/>
      <c r="K175" s="88"/>
      <c r="L175" s="88"/>
      <c r="M175" s="88"/>
      <c r="N175" s="88"/>
      <c r="O175" s="88"/>
      <c r="P175" s="88"/>
      <c r="Q175" s="88"/>
      <c r="R175" s="88"/>
      <c r="S175" s="88"/>
      <c r="T175" s="88"/>
    </row>
    <row r="176" spans="1:20" x14ac:dyDescent="0.35">
      <c r="A176" s="105"/>
      <c r="B176" s="390">
        <f>B142</f>
        <v>0</v>
      </c>
      <c r="C176" s="120" t="s">
        <v>549</v>
      </c>
      <c r="D176" s="120">
        <f>IF($B$176=0,0,COUNTIFS($B$6:$B$132,"*"&amp;$B$176&amp;"*",$C$6:$C$132,C176))</f>
        <v>0</v>
      </c>
      <c r="E176" s="111"/>
      <c r="F176" s="150"/>
      <c r="G176" s="88"/>
      <c r="H176" s="88"/>
      <c r="I176" s="88"/>
      <c r="J176" s="88"/>
      <c r="K176" s="88"/>
      <c r="L176" s="88"/>
      <c r="M176" s="88"/>
      <c r="N176" s="88"/>
      <c r="O176" s="88"/>
      <c r="P176" s="88"/>
      <c r="Q176" s="88"/>
      <c r="R176" s="88"/>
      <c r="S176" s="88"/>
      <c r="T176" s="88"/>
    </row>
    <row r="177" spans="1:20" x14ac:dyDescent="0.35">
      <c r="A177" s="105"/>
      <c r="B177" s="390"/>
      <c r="C177" s="120" t="s">
        <v>583</v>
      </c>
      <c r="D177" s="120">
        <f>IF($B$176=0,0,COUNTIFS($B$6:$B$132,"*"&amp;$B$176&amp;"*",$C$6:$C$132,C177))</f>
        <v>0</v>
      </c>
      <c r="E177" s="111"/>
      <c r="F177" s="150"/>
      <c r="G177" s="88"/>
      <c r="H177" s="88"/>
      <c r="I177" s="88"/>
      <c r="J177" s="88"/>
      <c r="K177" s="88"/>
      <c r="L177" s="88"/>
      <c r="M177" s="88"/>
      <c r="N177" s="88"/>
      <c r="O177" s="88"/>
      <c r="P177" s="88"/>
      <c r="Q177" s="88"/>
      <c r="R177" s="88"/>
      <c r="S177" s="88"/>
      <c r="T177" s="88"/>
    </row>
    <row r="178" spans="1:20" x14ac:dyDescent="0.35">
      <c r="A178" s="105"/>
      <c r="B178" s="390"/>
      <c r="C178" s="120" t="s">
        <v>584</v>
      </c>
      <c r="D178" s="120">
        <f>IF($B$176=0,0,COUNTIFS($B$6:$B$132,"*"&amp;$B$176&amp;"*",$C$6:$C$132,C178))</f>
        <v>0</v>
      </c>
      <c r="E178" s="111"/>
      <c r="F178" s="150"/>
      <c r="G178" s="88"/>
      <c r="H178" s="88"/>
      <c r="I178" s="88"/>
      <c r="J178" s="88"/>
      <c r="K178" s="88"/>
      <c r="L178" s="88"/>
      <c r="M178" s="88"/>
      <c r="N178" s="88"/>
      <c r="O178" s="88"/>
      <c r="P178" s="88"/>
      <c r="Q178" s="88"/>
      <c r="R178" s="88"/>
      <c r="S178" s="88"/>
      <c r="T178" s="88"/>
    </row>
    <row r="179" spans="1:20" x14ac:dyDescent="0.35">
      <c r="A179" s="105"/>
      <c r="B179" s="390">
        <f>B143</f>
        <v>0</v>
      </c>
      <c r="C179" s="120" t="s">
        <v>549</v>
      </c>
      <c r="D179" s="120">
        <f>IF($B$179=0,0,COUNTIFS($B$6:$B$132,"*"&amp;$B$179&amp;"*",$C$6:$C$132,C179))</f>
        <v>0</v>
      </c>
      <c r="E179" s="111"/>
      <c r="F179" s="150"/>
      <c r="G179" s="88"/>
      <c r="H179" s="88"/>
      <c r="I179" s="88"/>
      <c r="J179" s="88"/>
      <c r="K179" s="88"/>
      <c r="L179" s="88"/>
      <c r="M179" s="88"/>
      <c r="N179" s="88"/>
      <c r="O179" s="88"/>
      <c r="P179" s="88"/>
      <c r="Q179" s="88"/>
      <c r="R179" s="88"/>
      <c r="S179" s="88"/>
      <c r="T179" s="88"/>
    </row>
    <row r="180" spans="1:20" x14ac:dyDescent="0.35">
      <c r="A180" s="105"/>
      <c r="B180" s="390"/>
      <c r="C180" s="120" t="s">
        <v>583</v>
      </c>
      <c r="D180" s="120">
        <f>IF($B$179=0,0,COUNTIFS($B$6:$B$132,"*"&amp;$B$179&amp;"*",$C$6:$C$132,C180))</f>
        <v>0</v>
      </c>
      <c r="E180" s="111"/>
      <c r="F180" s="150"/>
      <c r="G180" s="88"/>
      <c r="H180" s="88"/>
      <c r="I180" s="88"/>
      <c r="J180" s="88"/>
      <c r="K180" s="88"/>
      <c r="L180" s="88"/>
      <c r="M180" s="88"/>
      <c r="N180" s="88"/>
      <c r="O180" s="88"/>
      <c r="P180" s="88"/>
      <c r="Q180" s="88"/>
      <c r="R180" s="88"/>
      <c r="S180" s="88"/>
      <c r="T180" s="88"/>
    </row>
    <row r="181" spans="1:20" x14ac:dyDescent="0.35">
      <c r="A181" s="105"/>
      <c r="B181" s="390"/>
      <c r="C181" s="120" t="s">
        <v>584</v>
      </c>
      <c r="D181" s="120">
        <f>IF($B$179=0,0,COUNTIFS($B$6:$B$132,"*"&amp;$B$179&amp;"*",$C$6:$C$132,C181))</f>
        <v>0</v>
      </c>
      <c r="E181" s="111"/>
      <c r="F181" s="150"/>
      <c r="G181" s="88"/>
      <c r="H181" s="88"/>
      <c r="I181" s="88"/>
      <c r="J181" s="88"/>
      <c r="K181" s="88"/>
      <c r="L181" s="88"/>
      <c r="M181" s="88"/>
      <c r="N181" s="88"/>
      <c r="O181" s="88"/>
      <c r="P181" s="88"/>
      <c r="Q181" s="88"/>
      <c r="R181" s="88"/>
      <c r="S181" s="88"/>
      <c r="T181" s="88"/>
    </row>
    <row r="182" spans="1:20" x14ac:dyDescent="0.35">
      <c r="A182" s="105"/>
      <c r="B182" s="390">
        <f>B144</f>
        <v>0</v>
      </c>
      <c r="C182" s="120" t="s">
        <v>549</v>
      </c>
      <c r="D182" s="120">
        <f>IF($B$182=0,0,COUNTIFS($B$6:$B$132,"*"&amp;$B$182&amp;"*",$C$6:$C$132,C182))</f>
        <v>0</v>
      </c>
      <c r="E182" s="111"/>
      <c r="F182" s="150"/>
      <c r="G182" s="88"/>
      <c r="H182" s="88"/>
      <c r="I182" s="88"/>
      <c r="J182" s="88"/>
      <c r="K182" s="88"/>
      <c r="L182" s="88"/>
      <c r="M182" s="88"/>
      <c r="N182" s="88"/>
      <c r="O182" s="88"/>
      <c r="P182" s="88"/>
      <c r="Q182" s="88"/>
      <c r="R182" s="88"/>
      <c r="S182" s="88"/>
      <c r="T182" s="88"/>
    </row>
    <row r="183" spans="1:20" x14ac:dyDescent="0.35">
      <c r="A183" s="105"/>
      <c r="B183" s="390"/>
      <c r="C183" s="120" t="s">
        <v>583</v>
      </c>
      <c r="D183" s="120">
        <f>IF($B$182=0,0,COUNTIFS($B$6:$B$132,"*"&amp;$B$182&amp;"*",$C$6:$C$132,C183))</f>
        <v>0</v>
      </c>
      <c r="E183" s="111"/>
      <c r="F183" s="150"/>
      <c r="G183" s="88"/>
      <c r="H183" s="88"/>
      <c r="I183" s="88"/>
      <c r="J183" s="88"/>
      <c r="K183" s="88"/>
      <c r="L183" s="88"/>
      <c r="M183" s="88"/>
      <c r="N183" s="88"/>
      <c r="O183" s="88"/>
      <c r="P183" s="88"/>
      <c r="Q183" s="88"/>
      <c r="R183" s="88"/>
      <c r="S183" s="88"/>
      <c r="T183" s="88"/>
    </row>
    <row r="184" spans="1:20" x14ac:dyDescent="0.35">
      <c r="A184" s="105"/>
      <c r="B184" s="390"/>
      <c r="C184" s="120" t="s">
        <v>584</v>
      </c>
      <c r="D184" s="120">
        <f>IF($B$182=0,0,COUNTIFS($B$6:$B$132,"*"&amp;$B$182&amp;"*",$C$6:$C$132,C184))</f>
        <v>0</v>
      </c>
      <c r="E184" s="111"/>
      <c r="F184" s="150"/>
      <c r="G184" s="88"/>
      <c r="H184" s="88"/>
      <c r="I184" s="88"/>
      <c r="J184" s="88"/>
      <c r="K184" s="88"/>
      <c r="L184" s="88"/>
      <c r="M184" s="88"/>
      <c r="N184" s="88"/>
      <c r="O184" s="88"/>
      <c r="P184" s="88"/>
      <c r="Q184" s="88"/>
      <c r="R184" s="88"/>
      <c r="S184" s="88"/>
      <c r="T184" s="88"/>
    </row>
    <row r="185" spans="1:20" x14ac:dyDescent="0.35">
      <c r="A185" s="105"/>
      <c r="B185" s="390">
        <f>B145</f>
        <v>0</v>
      </c>
      <c r="C185" s="120" t="s">
        <v>549</v>
      </c>
      <c r="D185" s="120">
        <f>IF($B$185=0,0,COUNTIFS($B$6:$B$132,"*"&amp;$B$185&amp;"*",$C$6:$C$132,C185))</f>
        <v>0</v>
      </c>
      <c r="E185" s="111"/>
      <c r="F185" s="150"/>
      <c r="G185" s="88"/>
      <c r="H185" s="88"/>
      <c r="I185" s="88"/>
      <c r="J185" s="88"/>
      <c r="K185" s="88"/>
      <c r="L185" s="88"/>
      <c r="M185" s="88"/>
      <c r="N185" s="88"/>
      <c r="O185" s="88"/>
      <c r="P185" s="88"/>
      <c r="Q185" s="88"/>
      <c r="R185" s="88"/>
      <c r="S185" s="88"/>
      <c r="T185" s="88"/>
    </row>
    <row r="186" spans="1:20" x14ac:dyDescent="0.35">
      <c r="A186" s="105"/>
      <c r="B186" s="390"/>
      <c r="C186" s="120" t="s">
        <v>583</v>
      </c>
      <c r="D186" s="120">
        <f>IF($B$185=0,0,COUNTIFS($B$6:$B$132,"*"&amp;$B$185&amp;"*",$C$6:$C$132,C186))</f>
        <v>0</v>
      </c>
      <c r="E186" s="111"/>
      <c r="F186" s="150"/>
      <c r="G186" s="88"/>
      <c r="H186" s="88"/>
      <c r="I186" s="88"/>
      <c r="J186" s="88"/>
      <c r="K186" s="88"/>
      <c r="L186" s="88"/>
      <c r="M186" s="88"/>
      <c r="N186" s="88"/>
      <c r="O186" s="88"/>
      <c r="P186" s="88"/>
      <c r="Q186" s="88"/>
      <c r="R186" s="88"/>
      <c r="S186" s="88"/>
      <c r="T186" s="88"/>
    </row>
    <row r="187" spans="1:20" x14ac:dyDescent="0.35">
      <c r="A187" s="105"/>
      <c r="B187" s="390"/>
      <c r="C187" s="120" t="s">
        <v>584</v>
      </c>
      <c r="D187" s="120">
        <f>IF($B$185=0,0,COUNTIFS($B$6:$B$132,"*"&amp;$B$185&amp;"*",$C$6:$C$132,C187))</f>
        <v>0</v>
      </c>
      <c r="E187" s="111"/>
      <c r="F187" s="150"/>
      <c r="G187" s="88"/>
      <c r="H187" s="88"/>
      <c r="I187" s="88"/>
      <c r="J187" s="88"/>
      <c r="K187" s="88"/>
      <c r="L187" s="88"/>
      <c r="M187" s="88"/>
      <c r="N187" s="88"/>
      <c r="O187" s="88"/>
      <c r="P187" s="88"/>
      <c r="Q187" s="88"/>
      <c r="R187" s="88"/>
      <c r="S187" s="88"/>
      <c r="T187" s="88"/>
    </row>
    <row r="188" spans="1:20" x14ac:dyDescent="0.35">
      <c r="A188" s="105"/>
      <c r="B188" s="390">
        <f>B146</f>
        <v>0</v>
      </c>
      <c r="C188" s="120" t="s">
        <v>549</v>
      </c>
      <c r="D188" s="120">
        <f>IF($B$188=0,0,COUNTIFS($B$6:$B$132,"*"&amp;$B$188&amp;"*",$C$6:$C$132,C188))</f>
        <v>0</v>
      </c>
      <c r="E188" s="111"/>
      <c r="F188" s="150"/>
      <c r="G188" s="88"/>
      <c r="H188" s="88"/>
      <c r="I188" s="88"/>
      <c r="J188" s="88"/>
      <c r="K188" s="88"/>
      <c r="L188" s="88"/>
      <c r="M188" s="88"/>
      <c r="N188" s="88"/>
      <c r="O188" s="88"/>
      <c r="P188" s="88"/>
      <c r="Q188" s="88"/>
      <c r="R188" s="88"/>
      <c r="S188" s="88"/>
      <c r="T188" s="88"/>
    </row>
    <row r="189" spans="1:20" x14ac:dyDescent="0.35">
      <c r="A189" s="105"/>
      <c r="B189" s="390"/>
      <c r="C189" s="120" t="s">
        <v>583</v>
      </c>
      <c r="D189" s="120">
        <f>IF($B$188=0,0,COUNTIFS($B$6:$B$132,"*"&amp;$B$188&amp;"*",$C$6:$C$132,C189))</f>
        <v>0</v>
      </c>
      <c r="E189" s="111"/>
      <c r="F189" s="150"/>
      <c r="G189" s="88"/>
      <c r="H189" s="88"/>
      <c r="I189" s="88"/>
      <c r="J189" s="88"/>
      <c r="K189" s="88"/>
      <c r="L189" s="88"/>
      <c r="M189" s="88"/>
      <c r="N189" s="88"/>
      <c r="O189" s="88"/>
      <c r="P189" s="88"/>
      <c r="Q189" s="88"/>
      <c r="R189" s="88"/>
      <c r="S189" s="88"/>
      <c r="T189" s="88"/>
    </row>
    <row r="190" spans="1:20" x14ac:dyDescent="0.35">
      <c r="A190" s="105"/>
      <c r="B190" s="390"/>
      <c r="C190" s="120" t="s">
        <v>584</v>
      </c>
      <c r="D190" s="120">
        <f>IF($B$188=0,0,COUNTIFS($B$6:$B$132,"*"&amp;$B$188&amp;"*",$C$6:$C$132,C190))</f>
        <v>0</v>
      </c>
      <c r="E190" s="111"/>
      <c r="F190" s="150"/>
      <c r="G190" s="88"/>
      <c r="H190" s="88"/>
      <c r="I190" s="88"/>
      <c r="J190" s="88"/>
      <c r="K190" s="88"/>
      <c r="L190" s="88"/>
      <c r="M190" s="88"/>
      <c r="N190" s="88"/>
      <c r="O190" s="88"/>
      <c r="P190" s="88"/>
      <c r="Q190" s="88"/>
      <c r="R190" s="88"/>
      <c r="S190" s="88"/>
      <c r="T190" s="88"/>
    </row>
    <row r="191" spans="1:20" x14ac:dyDescent="0.35">
      <c r="A191" s="105"/>
      <c r="B191" s="390">
        <f>B147</f>
        <v>0</v>
      </c>
      <c r="C191" s="120" t="s">
        <v>549</v>
      </c>
      <c r="D191" s="120">
        <f>IF($B$191=0,0,COUNTIFS($B$6:$B$132,"*"&amp;$B$191&amp;"*",$C$6:$C$132,C191))</f>
        <v>0</v>
      </c>
      <c r="E191" s="111"/>
      <c r="F191" s="150"/>
      <c r="G191" s="88"/>
      <c r="H191" s="88"/>
      <c r="I191" s="88"/>
      <c r="J191" s="88"/>
      <c r="K191" s="88"/>
      <c r="L191" s="88"/>
      <c r="M191" s="88"/>
      <c r="N191" s="88"/>
      <c r="O191" s="88"/>
      <c r="P191" s="88"/>
      <c r="Q191" s="88"/>
      <c r="R191" s="88"/>
      <c r="S191" s="88"/>
      <c r="T191" s="88"/>
    </row>
    <row r="192" spans="1:20" x14ac:dyDescent="0.35">
      <c r="A192" s="105"/>
      <c r="B192" s="390"/>
      <c r="C192" s="120" t="s">
        <v>583</v>
      </c>
      <c r="D192" s="120">
        <f>IF($B$191=0,0,COUNTIFS($B$6:$B$132,"*"&amp;$B$191&amp;"*",$C$6:$C$132,C192))</f>
        <v>0</v>
      </c>
      <c r="E192" s="111"/>
      <c r="F192" s="150"/>
      <c r="G192" s="88"/>
      <c r="H192" s="88"/>
      <c r="I192" s="88"/>
      <c r="J192" s="88"/>
      <c r="K192" s="88"/>
      <c r="L192" s="88"/>
      <c r="M192" s="88"/>
      <c r="N192" s="88"/>
      <c r="O192" s="88"/>
      <c r="P192" s="88"/>
      <c r="Q192" s="88"/>
      <c r="R192" s="88"/>
      <c r="S192" s="88"/>
      <c r="T192" s="88"/>
    </row>
    <row r="193" spans="1:20" x14ac:dyDescent="0.35">
      <c r="A193" s="105"/>
      <c r="B193" s="390"/>
      <c r="C193" s="120" t="s">
        <v>584</v>
      </c>
      <c r="D193" s="120">
        <f>IF($B$191=0,0,COUNTIFS($B$6:$B$132,"*"&amp;$B$191&amp;"*",$C$6:$C$132,C193))</f>
        <v>0</v>
      </c>
      <c r="E193" s="111"/>
      <c r="F193" s="150"/>
      <c r="G193" s="88"/>
      <c r="H193" s="88"/>
      <c r="I193" s="88"/>
      <c r="J193" s="88"/>
      <c r="K193" s="88"/>
      <c r="L193" s="88"/>
      <c r="M193" s="88"/>
      <c r="N193" s="88"/>
      <c r="O193" s="88"/>
      <c r="P193" s="88"/>
      <c r="Q193" s="88"/>
      <c r="R193" s="88"/>
      <c r="S193" s="88"/>
      <c r="T193" s="88"/>
    </row>
    <row r="194" spans="1:20" x14ac:dyDescent="0.35">
      <c r="A194" s="105"/>
      <c r="B194" s="83"/>
      <c r="C194" s="88"/>
      <c r="D194" s="88"/>
      <c r="E194" s="111"/>
      <c r="F194" s="150"/>
      <c r="G194" s="88"/>
      <c r="H194" s="88"/>
      <c r="I194" s="88"/>
      <c r="J194" s="88"/>
      <c r="K194" s="88"/>
      <c r="L194" s="88"/>
      <c r="M194" s="88"/>
      <c r="N194" s="88"/>
      <c r="O194" s="88"/>
      <c r="P194" s="88"/>
      <c r="Q194" s="88"/>
      <c r="R194" s="88"/>
      <c r="S194" s="88"/>
      <c r="T194" s="88"/>
    </row>
    <row r="195" spans="1:20" x14ac:dyDescent="0.35">
      <c r="A195" s="105"/>
      <c r="B195" s="83"/>
      <c r="C195" s="88"/>
      <c r="D195" s="88"/>
      <c r="E195" s="111"/>
      <c r="F195" s="150"/>
      <c r="G195" s="88"/>
      <c r="H195" s="88"/>
      <c r="I195" s="88"/>
      <c r="J195" s="88"/>
      <c r="K195" s="88"/>
      <c r="L195" s="88"/>
      <c r="M195" s="88"/>
      <c r="N195" s="88"/>
      <c r="O195" s="88"/>
      <c r="P195" s="88"/>
      <c r="Q195" s="88"/>
      <c r="R195" s="88"/>
      <c r="S195" s="88"/>
      <c r="T195" s="88"/>
    </row>
    <row r="196" spans="1:20" x14ac:dyDescent="0.35">
      <c r="A196" s="105"/>
      <c r="B196" s="83"/>
      <c r="C196" s="88"/>
      <c r="D196" s="88"/>
      <c r="E196" s="111"/>
      <c r="F196" s="150"/>
      <c r="G196" s="88"/>
      <c r="H196" s="88"/>
      <c r="I196" s="88"/>
      <c r="J196" s="88"/>
      <c r="K196" s="88"/>
      <c r="L196" s="88"/>
      <c r="M196" s="88"/>
      <c r="N196" s="88"/>
      <c r="O196" s="88"/>
      <c r="P196" s="88"/>
      <c r="Q196" s="88"/>
      <c r="R196" s="88"/>
      <c r="S196" s="88"/>
      <c r="T196" s="88"/>
    </row>
  </sheetData>
  <mergeCells count="48">
    <mergeCell ref="B1:F1"/>
    <mergeCell ref="H1:S1"/>
    <mergeCell ref="C2:F2"/>
    <mergeCell ref="H2:S2"/>
    <mergeCell ref="H3:S132"/>
    <mergeCell ref="B4:F4"/>
    <mergeCell ref="C6:F6"/>
    <mergeCell ref="C7:F7"/>
    <mergeCell ref="C23:F23"/>
    <mergeCell ref="C24:F24"/>
    <mergeCell ref="C45:F45"/>
    <mergeCell ref="C46:F46"/>
    <mergeCell ref="C85:F85"/>
    <mergeCell ref="C116:F116"/>
    <mergeCell ref="C117:F117"/>
    <mergeCell ref="C86:F86"/>
    <mergeCell ref="C101:F101"/>
    <mergeCell ref="C102:F102"/>
    <mergeCell ref="B154:D154"/>
    <mergeCell ref="B155:B157"/>
    <mergeCell ref="B158:B160"/>
    <mergeCell ref="C143:F143"/>
    <mergeCell ref="B134:F134"/>
    <mergeCell ref="C135:F135"/>
    <mergeCell ref="C136:F136"/>
    <mergeCell ref="C137:F137"/>
    <mergeCell ref="C138:F138"/>
    <mergeCell ref="C139:F139"/>
    <mergeCell ref="C140:F140"/>
    <mergeCell ref="C141:F141"/>
    <mergeCell ref="C142:F142"/>
    <mergeCell ref="B161:B163"/>
    <mergeCell ref="C144:F144"/>
    <mergeCell ref="C145:F145"/>
    <mergeCell ref="C146:F146"/>
    <mergeCell ref="C147:F147"/>
    <mergeCell ref="B149:F149"/>
    <mergeCell ref="D150:F150"/>
    <mergeCell ref="B191:B193"/>
    <mergeCell ref="B164:B166"/>
    <mergeCell ref="B167:B169"/>
    <mergeCell ref="B170:B172"/>
    <mergeCell ref="B173:B175"/>
    <mergeCell ref="B176:B178"/>
    <mergeCell ref="B179:B181"/>
    <mergeCell ref="B182:B184"/>
    <mergeCell ref="B185:B187"/>
    <mergeCell ref="B188:B190"/>
  </mergeCells>
  <conditionalFormatting sqref="B2 B151:B153 C13:C17 C21:C22 C50:C51">
    <cfRule type="cellIs" dxfId="467" priority="829" operator="equal">
      <formula>"NR"</formula>
    </cfRule>
    <cfRule type="cellIs" dxfId="466" priority="830" operator="equal">
      <formula>"NOK"</formula>
    </cfRule>
    <cfRule type="cellIs" dxfId="465" priority="831" operator="equal">
      <formula>"OK"</formula>
    </cfRule>
  </conditionalFormatting>
  <conditionalFormatting sqref="B4">
    <cfRule type="cellIs" dxfId="464" priority="832" operator="equal">
      <formula>"NR"</formula>
    </cfRule>
    <cfRule type="cellIs" dxfId="463" priority="833" operator="equal">
      <formula>"NOK"</formula>
    </cfRule>
    <cfRule type="cellIs" dxfId="462" priority="834" operator="equal">
      <formula>"OK"</formula>
    </cfRule>
  </conditionalFormatting>
  <conditionalFormatting sqref="B3 B133 B5 B149 B194:B1048576">
    <cfRule type="cellIs" dxfId="461" priority="844" operator="equal">
      <formula>"NR"</formula>
    </cfRule>
    <cfRule type="cellIs" dxfId="460" priority="845" operator="equal">
      <formula>"NOK"</formula>
    </cfRule>
    <cfRule type="cellIs" dxfId="459" priority="846" operator="equal">
      <formula>"OK"</formula>
    </cfRule>
  </conditionalFormatting>
  <conditionalFormatting sqref="B1">
    <cfRule type="cellIs" dxfId="458" priority="841" operator="equal">
      <formula>"NR"</formula>
    </cfRule>
    <cfRule type="cellIs" dxfId="457" priority="842" operator="equal">
      <formula>"NOK"</formula>
    </cfRule>
    <cfRule type="cellIs" dxfId="456" priority="843" operator="equal">
      <formula>"OK"</formula>
    </cfRule>
  </conditionalFormatting>
  <conditionalFormatting sqref="B134">
    <cfRule type="cellIs" dxfId="455" priority="838" operator="equal">
      <formula>"NR"</formula>
    </cfRule>
    <cfRule type="cellIs" dxfId="454" priority="839" operator="equal">
      <formula>"NOK"</formula>
    </cfRule>
    <cfRule type="cellIs" dxfId="453" priority="840" operator="equal">
      <formula>"OK"</formula>
    </cfRule>
  </conditionalFormatting>
  <conditionalFormatting sqref="C148 C135:C145">
    <cfRule type="cellIs" dxfId="452" priority="835" operator="equal">
      <formula>"NR"</formula>
    </cfRule>
    <cfRule type="cellIs" dxfId="451" priority="836" operator="equal">
      <formula>"NOK"</formula>
    </cfRule>
    <cfRule type="cellIs" dxfId="450" priority="837" operator="equal">
      <formula>"OK"</formula>
    </cfRule>
  </conditionalFormatting>
  <conditionalFormatting sqref="C150">
    <cfRule type="cellIs" dxfId="449" priority="814" operator="equal">
      <formula>"NR"</formula>
    </cfRule>
    <cfRule type="cellIs" dxfId="448" priority="815" operator="equal">
      <formula>"NOK"</formula>
    </cfRule>
    <cfRule type="cellIs" dxfId="447" priority="816" operator="equal">
      <formula>"OK"</formula>
    </cfRule>
  </conditionalFormatting>
  <conditionalFormatting sqref="B150">
    <cfRule type="cellIs" dxfId="446" priority="817" operator="equal">
      <formula>"NR"</formula>
    </cfRule>
    <cfRule type="cellIs" dxfId="445" priority="818" operator="equal">
      <formula>"NOK"</formula>
    </cfRule>
    <cfRule type="cellIs" dxfId="444" priority="819" operator="equal">
      <formula>"OK"</formula>
    </cfRule>
  </conditionalFormatting>
  <conditionalFormatting sqref="B154:B155 B158 B161 B167 B173 B179 B185 B164 B170 B176 B182 B188">
    <cfRule type="cellIs" dxfId="443" priority="811" operator="equal">
      <formula>"NR"</formula>
    </cfRule>
    <cfRule type="cellIs" dxfId="442" priority="812" operator="equal">
      <formula>"NOK"</formula>
    </cfRule>
    <cfRule type="cellIs" dxfId="441" priority="813" operator="equal">
      <formula>"OK"</formula>
    </cfRule>
  </conditionalFormatting>
  <conditionalFormatting sqref="C147">
    <cfRule type="cellIs" dxfId="440" priority="769" operator="equal">
      <formula>"NR"</formula>
    </cfRule>
    <cfRule type="cellIs" dxfId="439" priority="770" operator="equal">
      <formula>"NOK"</formula>
    </cfRule>
    <cfRule type="cellIs" dxfId="438" priority="771" operator="equal">
      <formula>"OK"</formula>
    </cfRule>
  </conditionalFormatting>
  <conditionalFormatting sqref="C146">
    <cfRule type="cellIs" dxfId="437" priority="766" operator="equal">
      <formula>"NR"</formula>
    </cfRule>
    <cfRule type="cellIs" dxfId="436" priority="767" operator="equal">
      <formula>"NOK"</formula>
    </cfRule>
    <cfRule type="cellIs" dxfId="435" priority="768" operator="equal">
      <formula>"OK"</formula>
    </cfRule>
  </conditionalFormatting>
  <conditionalFormatting sqref="B191">
    <cfRule type="cellIs" dxfId="434" priority="763" operator="equal">
      <formula>"NR"</formula>
    </cfRule>
    <cfRule type="cellIs" dxfId="433" priority="764" operator="equal">
      <formula>"NOK"</formula>
    </cfRule>
    <cfRule type="cellIs" dxfId="432" priority="765" operator="equal">
      <formula>"OK"</formula>
    </cfRule>
  </conditionalFormatting>
  <conditionalFormatting sqref="B8 B12 C56:C58 C70:C71">
    <cfRule type="cellIs" dxfId="431" priority="394" operator="equal">
      <formula>"NR"</formula>
    </cfRule>
    <cfRule type="cellIs" dxfId="430" priority="395" operator="equal">
      <formula>"NOK"</formula>
    </cfRule>
    <cfRule type="cellIs" dxfId="429" priority="396" operator="equal">
      <formula>"OK"</formula>
    </cfRule>
  </conditionalFormatting>
  <conditionalFormatting sqref="B6:B7">
    <cfRule type="cellIs" dxfId="428" priority="397" operator="equal">
      <formula>"NR"</formula>
    </cfRule>
    <cfRule type="cellIs" dxfId="427" priority="398" operator="equal">
      <formula>"NOK"</formula>
    </cfRule>
    <cfRule type="cellIs" dxfId="426" priority="399" operator="equal">
      <formula>"OK"</formula>
    </cfRule>
  </conditionalFormatting>
  <conditionalFormatting sqref="C9">
    <cfRule type="cellIs" dxfId="425" priority="385" operator="equal">
      <formula>"NR"</formula>
    </cfRule>
    <cfRule type="cellIs" dxfId="424" priority="386" operator="equal">
      <formula>"NOK"</formula>
    </cfRule>
    <cfRule type="cellIs" dxfId="423" priority="387" operator="equal">
      <formula>"OK"</formula>
    </cfRule>
  </conditionalFormatting>
  <conditionalFormatting sqref="B25">
    <cfRule type="cellIs" dxfId="422" priority="382" operator="equal">
      <formula>"NR"</formula>
    </cfRule>
    <cfRule type="cellIs" dxfId="421" priority="383" operator="equal">
      <formula>"NOK"</formula>
    </cfRule>
    <cfRule type="cellIs" dxfId="420" priority="384" operator="equal">
      <formula>"OK"</formula>
    </cfRule>
  </conditionalFormatting>
  <conditionalFormatting sqref="C32 C38 C44">
    <cfRule type="cellIs" dxfId="419" priority="379" operator="equal">
      <formula>"NR"</formula>
    </cfRule>
    <cfRule type="cellIs" dxfId="418" priority="380" operator="equal">
      <formula>"NOK"</formula>
    </cfRule>
    <cfRule type="cellIs" dxfId="417" priority="381" operator="equal">
      <formula>"OK"</formula>
    </cfRule>
  </conditionalFormatting>
  <conditionalFormatting sqref="C26:C28">
    <cfRule type="cellIs" dxfId="416" priority="376" operator="equal">
      <formula>"NR"</formula>
    </cfRule>
    <cfRule type="cellIs" dxfId="415" priority="377" operator="equal">
      <formula>"NOK"</formula>
    </cfRule>
    <cfRule type="cellIs" dxfId="414" priority="378" operator="equal">
      <formula>"OK"</formula>
    </cfRule>
  </conditionalFormatting>
  <conditionalFormatting sqref="B45">
    <cfRule type="cellIs" dxfId="413" priority="373" operator="equal">
      <formula>"NR"</formula>
    </cfRule>
    <cfRule type="cellIs" dxfId="412" priority="374" operator="equal">
      <formula>"NOK"</formula>
    </cfRule>
    <cfRule type="cellIs" dxfId="411" priority="375" operator="equal">
      <formula>"OK"</formula>
    </cfRule>
  </conditionalFormatting>
  <conditionalFormatting sqref="B23">
    <cfRule type="cellIs" dxfId="410" priority="370" operator="equal">
      <formula>"NR"</formula>
    </cfRule>
    <cfRule type="cellIs" dxfId="409" priority="371" operator="equal">
      <formula>"NOK"</formula>
    </cfRule>
    <cfRule type="cellIs" dxfId="408" priority="372" operator="equal">
      <formula>"OK"</formula>
    </cfRule>
  </conditionalFormatting>
  <conditionalFormatting sqref="B31">
    <cfRule type="cellIs" dxfId="407" priority="367" operator="equal">
      <formula>"NR"</formula>
    </cfRule>
    <cfRule type="cellIs" dxfId="406" priority="368" operator="equal">
      <formula>"NOK"</formula>
    </cfRule>
    <cfRule type="cellIs" dxfId="405" priority="369" operator="equal">
      <formula>"OK"</formula>
    </cfRule>
  </conditionalFormatting>
  <conditionalFormatting sqref="B85">
    <cfRule type="cellIs" dxfId="404" priority="358" operator="equal">
      <formula>"NR"</formula>
    </cfRule>
    <cfRule type="cellIs" dxfId="403" priority="359" operator="equal">
      <formula>"NOK"</formula>
    </cfRule>
    <cfRule type="cellIs" dxfId="402" priority="360" operator="equal">
      <formula>"OK"</formula>
    </cfRule>
  </conditionalFormatting>
  <conditionalFormatting sqref="B87">
    <cfRule type="cellIs" dxfId="401" priority="355" operator="equal">
      <formula>"NR"</formula>
    </cfRule>
    <cfRule type="cellIs" dxfId="400" priority="356" operator="equal">
      <formula>"NOK"</formula>
    </cfRule>
    <cfRule type="cellIs" dxfId="399" priority="357" operator="equal">
      <formula>"OK"</formula>
    </cfRule>
  </conditionalFormatting>
  <conditionalFormatting sqref="C88">
    <cfRule type="cellIs" dxfId="398" priority="352" operator="equal">
      <formula>"NR"</formula>
    </cfRule>
    <cfRule type="cellIs" dxfId="397" priority="353" operator="equal">
      <formula>"NOK"</formula>
    </cfRule>
    <cfRule type="cellIs" dxfId="396" priority="354" operator="equal">
      <formula>"OK"</formula>
    </cfRule>
  </conditionalFormatting>
  <conditionalFormatting sqref="B43">
    <cfRule type="cellIs" dxfId="395" priority="349" operator="equal">
      <formula>"NR"</formula>
    </cfRule>
    <cfRule type="cellIs" dxfId="394" priority="350" operator="equal">
      <formula>"NOK"</formula>
    </cfRule>
    <cfRule type="cellIs" dxfId="393" priority="351" operator="equal">
      <formula>"OK"</formula>
    </cfRule>
  </conditionalFormatting>
  <conditionalFormatting sqref="B37">
    <cfRule type="cellIs" dxfId="392" priority="346" operator="equal">
      <formula>"NR"</formula>
    </cfRule>
    <cfRule type="cellIs" dxfId="391" priority="347" operator="equal">
      <formula>"NOK"</formula>
    </cfRule>
    <cfRule type="cellIs" dxfId="390" priority="348" operator="equal">
      <formula>"OK"</formula>
    </cfRule>
  </conditionalFormatting>
  <conditionalFormatting sqref="C30">
    <cfRule type="cellIs" dxfId="389" priority="334" operator="equal">
      <formula>"NR"</formula>
    </cfRule>
    <cfRule type="cellIs" dxfId="388" priority="335" operator="equal">
      <formula>"NOK"</formula>
    </cfRule>
    <cfRule type="cellIs" dxfId="387" priority="336" operator="equal">
      <formula>"OK"</formula>
    </cfRule>
  </conditionalFormatting>
  <conditionalFormatting sqref="B86">
    <cfRule type="cellIs" dxfId="386" priority="325" operator="equal">
      <formula>"NR"</formula>
    </cfRule>
    <cfRule type="cellIs" dxfId="385" priority="326" operator="equal">
      <formula>"NOK"</formula>
    </cfRule>
    <cfRule type="cellIs" dxfId="384" priority="327" operator="equal">
      <formula>"OK"</formula>
    </cfRule>
  </conditionalFormatting>
  <conditionalFormatting sqref="B47">
    <cfRule type="cellIs" dxfId="383" priority="322" operator="equal">
      <formula>"NR"</formula>
    </cfRule>
    <cfRule type="cellIs" dxfId="382" priority="323" operator="equal">
      <formula>"NOK"</formula>
    </cfRule>
    <cfRule type="cellIs" dxfId="381" priority="324" operator="equal">
      <formula>"OK"</formula>
    </cfRule>
  </conditionalFormatting>
  <conditionalFormatting sqref="B54:B55">
    <cfRule type="cellIs" dxfId="380" priority="319" operator="equal">
      <formula>"NR"</formula>
    </cfRule>
    <cfRule type="cellIs" dxfId="379" priority="320" operator="equal">
      <formula>"NOK"</formula>
    </cfRule>
    <cfRule type="cellIs" dxfId="378" priority="321" operator="equal">
      <formula>"OK"</formula>
    </cfRule>
  </conditionalFormatting>
  <conditionalFormatting sqref="B68:B69">
    <cfRule type="cellIs" dxfId="377" priority="313" operator="equal">
      <formula>"NR"</formula>
    </cfRule>
    <cfRule type="cellIs" dxfId="376" priority="314" operator="equal">
      <formula>"NOK"</formula>
    </cfRule>
    <cfRule type="cellIs" dxfId="375" priority="315" operator="equal">
      <formula>"OK"</formula>
    </cfRule>
  </conditionalFormatting>
  <conditionalFormatting sqref="C72">
    <cfRule type="cellIs" dxfId="374" priority="310" operator="equal">
      <formula>"NR"</formula>
    </cfRule>
    <cfRule type="cellIs" dxfId="373" priority="311" operator="equal">
      <formula>"NOK"</formula>
    </cfRule>
    <cfRule type="cellIs" dxfId="372" priority="312" operator="equal">
      <formula>"OK"</formula>
    </cfRule>
  </conditionalFormatting>
  <conditionalFormatting sqref="C74:C75">
    <cfRule type="cellIs" dxfId="371" priority="301" operator="equal">
      <formula>"NR"</formula>
    </cfRule>
    <cfRule type="cellIs" dxfId="370" priority="302" operator="equal">
      <formula>"NOK"</formula>
    </cfRule>
    <cfRule type="cellIs" dxfId="369" priority="303" operator="equal">
      <formula>"OK"</formula>
    </cfRule>
  </conditionalFormatting>
  <conditionalFormatting sqref="B73">
    <cfRule type="cellIs" dxfId="368" priority="298" operator="equal">
      <formula>"NR"</formula>
    </cfRule>
    <cfRule type="cellIs" dxfId="367" priority="299" operator="equal">
      <formula>"NOK"</formula>
    </cfRule>
    <cfRule type="cellIs" dxfId="366" priority="300" operator="equal">
      <formula>"OK"</formula>
    </cfRule>
  </conditionalFormatting>
  <conditionalFormatting sqref="C78:C79">
    <cfRule type="cellIs" dxfId="365" priority="292" operator="equal">
      <formula>"NR"</formula>
    </cfRule>
    <cfRule type="cellIs" dxfId="364" priority="293" operator="equal">
      <formula>"NOK"</formula>
    </cfRule>
    <cfRule type="cellIs" dxfId="363" priority="294" operator="equal">
      <formula>"OK"</formula>
    </cfRule>
  </conditionalFormatting>
  <conditionalFormatting sqref="B77">
    <cfRule type="cellIs" dxfId="362" priority="289" operator="equal">
      <formula>"NR"</formula>
    </cfRule>
    <cfRule type="cellIs" dxfId="361" priority="290" operator="equal">
      <formula>"NOK"</formula>
    </cfRule>
    <cfRule type="cellIs" dxfId="360" priority="291" operator="equal">
      <formula>"OK"</formula>
    </cfRule>
  </conditionalFormatting>
  <conditionalFormatting sqref="C82:C83">
    <cfRule type="cellIs" dxfId="359" priority="274" operator="equal">
      <formula>"NR"</formula>
    </cfRule>
    <cfRule type="cellIs" dxfId="358" priority="275" operator="equal">
      <formula>"NOK"</formula>
    </cfRule>
    <cfRule type="cellIs" dxfId="357" priority="276" operator="equal">
      <formula>"OK"</formula>
    </cfRule>
  </conditionalFormatting>
  <conditionalFormatting sqref="B81">
    <cfRule type="cellIs" dxfId="356" priority="271" operator="equal">
      <formula>"NR"</formula>
    </cfRule>
    <cfRule type="cellIs" dxfId="355" priority="272" operator="equal">
      <formula>"NOK"</formula>
    </cfRule>
    <cfRule type="cellIs" dxfId="354" priority="273" operator="equal">
      <formula>"OK"</formula>
    </cfRule>
  </conditionalFormatting>
  <conditionalFormatting sqref="C104:C108">
    <cfRule type="cellIs" dxfId="353" priority="238" operator="equal">
      <formula>"NR"</formula>
    </cfRule>
    <cfRule type="cellIs" dxfId="352" priority="239" operator="equal">
      <formula>"NOK"</formula>
    </cfRule>
    <cfRule type="cellIs" dxfId="351" priority="240" operator="equal">
      <formula>"OK"</formula>
    </cfRule>
  </conditionalFormatting>
  <conditionalFormatting sqref="C112">
    <cfRule type="cellIs" dxfId="350" priority="235" operator="equal">
      <formula>"NR"</formula>
    </cfRule>
    <cfRule type="cellIs" dxfId="349" priority="236" operator="equal">
      <formula>"NOK"</formula>
    </cfRule>
    <cfRule type="cellIs" dxfId="348" priority="237" operator="equal">
      <formula>"OK"</formula>
    </cfRule>
  </conditionalFormatting>
  <conditionalFormatting sqref="C119:C123">
    <cfRule type="cellIs" dxfId="347" priority="232" operator="equal">
      <formula>"NR"</formula>
    </cfRule>
    <cfRule type="cellIs" dxfId="346" priority="233" operator="equal">
      <formula>"NOK"</formula>
    </cfRule>
    <cfRule type="cellIs" dxfId="345" priority="234" operator="equal">
      <formula>"OK"</formula>
    </cfRule>
  </conditionalFormatting>
  <conditionalFormatting sqref="C114">
    <cfRule type="cellIs" dxfId="344" priority="223" operator="equal">
      <formula>"NR"</formula>
    </cfRule>
    <cfRule type="cellIs" dxfId="343" priority="224" operator="equal">
      <formula>"NOK"</formula>
    </cfRule>
    <cfRule type="cellIs" dxfId="342" priority="225" operator="equal">
      <formula>"OK"</formula>
    </cfRule>
  </conditionalFormatting>
  <conditionalFormatting sqref="C130">
    <cfRule type="cellIs" dxfId="341" priority="220" operator="equal">
      <formula>"NR"</formula>
    </cfRule>
    <cfRule type="cellIs" dxfId="340" priority="221" operator="equal">
      <formula>"NOK"</formula>
    </cfRule>
    <cfRule type="cellIs" dxfId="339" priority="222" operator="equal">
      <formula>"OK"</formula>
    </cfRule>
  </conditionalFormatting>
  <conditionalFormatting sqref="B103">
    <cfRule type="cellIs" dxfId="338" priority="217" operator="equal">
      <formula>"NR"</formula>
    </cfRule>
    <cfRule type="cellIs" dxfId="337" priority="218" operator="equal">
      <formula>"NOK"</formula>
    </cfRule>
    <cfRule type="cellIs" dxfId="336" priority="219" operator="equal">
      <formula>"OK"</formula>
    </cfRule>
  </conditionalFormatting>
  <conditionalFormatting sqref="B111">
    <cfRule type="cellIs" dxfId="335" priority="214" operator="equal">
      <formula>"NR"</formula>
    </cfRule>
    <cfRule type="cellIs" dxfId="334" priority="215" operator="equal">
      <formula>"NOK"</formula>
    </cfRule>
    <cfRule type="cellIs" dxfId="333" priority="216" operator="equal">
      <formula>"OK"</formula>
    </cfRule>
  </conditionalFormatting>
  <conditionalFormatting sqref="B113">
    <cfRule type="cellIs" dxfId="332" priority="211" operator="equal">
      <formula>"NR"</formula>
    </cfRule>
    <cfRule type="cellIs" dxfId="331" priority="212" operator="equal">
      <formula>"NOK"</formula>
    </cfRule>
    <cfRule type="cellIs" dxfId="330" priority="213" operator="equal">
      <formula>"OK"</formula>
    </cfRule>
  </conditionalFormatting>
  <conditionalFormatting sqref="B118">
    <cfRule type="cellIs" dxfId="329" priority="208" operator="equal">
      <formula>"NR"</formula>
    </cfRule>
    <cfRule type="cellIs" dxfId="328" priority="209" operator="equal">
      <formula>"NOK"</formula>
    </cfRule>
    <cfRule type="cellIs" dxfId="327" priority="210" operator="equal">
      <formula>"OK"</formula>
    </cfRule>
  </conditionalFormatting>
  <conditionalFormatting sqref="B126">
    <cfRule type="cellIs" dxfId="326" priority="205" operator="equal">
      <formula>"NR"</formula>
    </cfRule>
    <cfRule type="cellIs" dxfId="325" priority="206" operator="equal">
      <formula>"NOK"</formula>
    </cfRule>
    <cfRule type="cellIs" dxfId="324" priority="207" operator="equal">
      <formula>"OK"</formula>
    </cfRule>
  </conditionalFormatting>
  <conditionalFormatting sqref="B129">
    <cfRule type="cellIs" dxfId="323" priority="202" operator="equal">
      <formula>"NR"</formula>
    </cfRule>
    <cfRule type="cellIs" dxfId="322" priority="203" operator="equal">
      <formula>"NOK"</formula>
    </cfRule>
    <cfRule type="cellIs" dxfId="321" priority="204" operator="equal">
      <formula>"OK"</formula>
    </cfRule>
  </conditionalFormatting>
  <conditionalFormatting sqref="C111">
    <cfRule type="cellIs" dxfId="320" priority="196" operator="equal">
      <formula>"NR"</formula>
    </cfRule>
    <cfRule type="cellIs" dxfId="319" priority="197" operator="equal">
      <formula>"NOK"</formula>
    </cfRule>
    <cfRule type="cellIs" dxfId="318" priority="198" operator="equal">
      <formula>"OK"</formula>
    </cfRule>
  </conditionalFormatting>
  <conditionalFormatting sqref="B116">
    <cfRule type="cellIs" dxfId="317" priority="193" operator="equal">
      <formula>"NR"</formula>
    </cfRule>
    <cfRule type="cellIs" dxfId="316" priority="194" operator="equal">
      <formula>"NOK"</formula>
    </cfRule>
    <cfRule type="cellIs" dxfId="315" priority="195" operator="equal">
      <formula>"OK"</formula>
    </cfRule>
  </conditionalFormatting>
  <conditionalFormatting sqref="B101">
    <cfRule type="cellIs" dxfId="314" priority="190" operator="equal">
      <formula>"NR"</formula>
    </cfRule>
    <cfRule type="cellIs" dxfId="313" priority="191" operator="equal">
      <formula>"NOK"</formula>
    </cfRule>
    <cfRule type="cellIs" dxfId="312" priority="192" operator="equal">
      <formula>"OK"</formula>
    </cfRule>
  </conditionalFormatting>
  <conditionalFormatting sqref="B24">
    <cfRule type="cellIs" dxfId="311" priority="187" operator="equal">
      <formula>"NR"</formula>
    </cfRule>
    <cfRule type="cellIs" dxfId="310" priority="188" operator="equal">
      <formula>"NOK"</formula>
    </cfRule>
    <cfRule type="cellIs" dxfId="309" priority="189" operator="equal">
      <formula>"OK"</formula>
    </cfRule>
  </conditionalFormatting>
  <conditionalFormatting sqref="B46">
    <cfRule type="cellIs" dxfId="308" priority="184" operator="equal">
      <formula>"NR"</formula>
    </cfRule>
    <cfRule type="cellIs" dxfId="307" priority="185" operator="equal">
      <formula>"NOK"</formula>
    </cfRule>
    <cfRule type="cellIs" dxfId="306" priority="186" operator="equal">
      <formula>"OK"</formula>
    </cfRule>
  </conditionalFormatting>
  <conditionalFormatting sqref="B102">
    <cfRule type="cellIs" dxfId="305" priority="178" operator="equal">
      <formula>"NR"</formula>
    </cfRule>
    <cfRule type="cellIs" dxfId="304" priority="179" operator="equal">
      <formula>"NOK"</formula>
    </cfRule>
    <cfRule type="cellIs" dxfId="303" priority="180" operator="equal">
      <formula>"OK"</formula>
    </cfRule>
  </conditionalFormatting>
  <conditionalFormatting sqref="B117">
    <cfRule type="cellIs" dxfId="302" priority="175" operator="equal">
      <formula>"NR"</formula>
    </cfRule>
    <cfRule type="cellIs" dxfId="301" priority="176" operator="equal">
      <formula>"NOK"</formula>
    </cfRule>
    <cfRule type="cellIs" dxfId="300" priority="177" operator="equal">
      <formula>"OK"</formula>
    </cfRule>
  </conditionalFormatting>
  <conditionalFormatting sqref="C110">
    <cfRule type="cellIs" dxfId="299" priority="157" operator="equal">
      <formula>"NR"</formula>
    </cfRule>
    <cfRule type="cellIs" dxfId="298" priority="158" operator="equal">
      <formula>"NOK"</formula>
    </cfRule>
    <cfRule type="cellIs" dxfId="297" priority="159" operator="equal">
      <formula>"OK"</formula>
    </cfRule>
  </conditionalFormatting>
  <conditionalFormatting sqref="C109">
    <cfRule type="cellIs" dxfId="296" priority="154" operator="equal">
      <formula>"NR"</formula>
    </cfRule>
    <cfRule type="cellIs" dxfId="295" priority="155" operator="equal">
      <formula>"NOK"</formula>
    </cfRule>
    <cfRule type="cellIs" dxfId="294" priority="156" operator="equal">
      <formula>"OK"</formula>
    </cfRule>
  </conditionalFormatting>
  <conditionalFormatting sqref="C125">
    <cfRule type="cellIs" dxfId="293" priority="151" operator="equal">
      <formula>"NR"</formula>
    </cfRule>
    <cfRule type="cellIs" dxfId="292" priority="152" operator="equal">
      <formula>"NOK"</formula>
    </cfRule>
    <cfRule type="cellIs" dxfId="291" priority="153" operator="equal">
      <formula>"OK"</formula>
    </cfRule>
  </conditionalFormatting>
  <conditionalFormatting sqref="C124">
    <cfRule type="cellIs" dxfId="290" priority="148" operator="equal">
      <formula>"NR"</formula>
    </cfRule>
    <cfRule type="cellIs" dxfId="289" priority="149" operator="equal">
      <formula>"NOK"</formula>
    </cfRule>
    <cfRule type="cellIs" dxfId="288" priority="150" operator="equal">
      <formula>"OK"</formula>
    </cfRule>
  </conditionalFormatting>
  <conditionalFormatting sqref="C29">
    <cfRule type="cellIs" dxfId="287" priority="145" operator="equal">
      <formula>"NR"</formula>
    </cfRule>
    <cfRule type="cellIs" dxfId="286" priority="146" operator="equal">
      <formula>"NOK"</formula>
    </cfRule>
    <cfRule type="cellIs" dxfId="285" priority="147" operator="equal">
      <formula>"OK"</formula>
    </cfRule>
  </conditionalFormatting>
  <conditionalFormatting sqref="C36">
    <cfRule type="cellIs" dxfId="284" priority="142" operator="equal">
      <formula>"NR"</formula>
    </cfRule>
    <cfRule type="cellIs" dxfId="283" priority="143" operator="equal">
      <formula>"NOK"</formula>
    </cfRule>
    <cfRule type="cellIs" dxfId="282" priority="144" operator="equal">
      <formula>"OK"</formula>
    </cfRule>
  </conditionalFormatting>
  <conditionalFormatting sqref="C35">
    <cfRule type="cellIs" dxfId="281" priority="139" operator="equal">
      <formula>"NR"</formula>
    </cfRule>
    <cfRule type="cellIs" dxfId="280" priority="140" operator="equal">
      <formula>"NOK"</formula>
    </cfRule>
    <cfRule type="cellIs" dxfId="279" priority="141" operator="equal">
      <formula>"OK"</formula>
    </cfRule>
  </conditionalFormatting>
  <conditionalFormatting sqref="C42">
    <cfRule type="cellIs" dxfId="278" priority="136" operator="equal">
      <formula>"NR"</formula>
    </cfRule>
    <cfRule type="cellIs" dxfId="277" priority="137" operator="equal">
      <formula>"NOK"</formula>
    </cfRule>
    <cfRule type="cellIs" dxfId="276" priority="138" operator="equal">
      <formula>"OK"</formula>
    </cfRule>
  </conditionalFormatting>
  <conditionalFormatting sqref="C41">
    <cfRule type="cellIs" dxfId="275" priority="133" operator="equal">
      <formula>"NR"</formula>
    </cfRule>
    <cfRule type="cellIs" dxfId="274" priority="134" operator="equal">
      <formula>"NOK"</formula>
    </cfRule>
    <cfRule type="cellIs" dxfId="273" priority="135" operator="equal">
      <formula>"OK"</formula>
    </cfRule>
  </conditionalFormatting>
  <conditionalFormatting sqref="C53">
    <cfRule type="cellIs" dxfId="272" priority="112" operator="equal">
      <formula>"NR"</formula>
    </cfRule>
    <cfRule type="cellIs" dxfId="271" priority="113" operator="equal">
      <formula>"NOK"</formula>
    </cfRule>
    <cfRule type="cellIs" dxfId="270" priority="114" operator="equal">
      <formula>"OK"</formula>
    </cfRule>
  </conditionalFormatting>
  <conditionalFormatting sqref="C52">
    <cfRule type="cellIs" dxfId="269" priority="109" operator="equal">
      <formula>"NR"</formula>
    </cfRule>
    <cfRule type="cellIs" dxfId="268" priority="110" operator="equal">
      <formula>"NOK"</formula>
    </cfRule>
    <cfRule type="cellIs" dxfId="267" priority="111" operator="equal">
      <formula>"OK"</formula>
    </cfRule>
  </conditionalFormatting>
  <conditionalFormatting sqref="C60">
    <cfRule type="cellIs" dxfId="266" priority="106" operator="equal">
      <formula>"NR"</formula>
    </cfRule>
    <cfRule type="cellIs" dxfId="265" priority="107" operator="equal">
      <formula>"NOK"</formula>
    </cfRule>
    <cfRule type="cellIs" dxfId="264" priority="108" operator="equal">
      <formula>"OK"</formula>
    </cfRule>
  </conditionalFormatting>
  <conditionalFormatting sqref="C59">
    <cfRule type="cellIs" dxfId="263" priority="103" operator="equal">
      <formula>"NR"</formula>
    </cfRule>
    <cfRule type="cellIs" dxfId="262" priority="104" operator="equal">
      <formula>"NOK"</formula>
    </cfRule>
    <cfRule type="cellIs" dxfId="261" priority="105" operator="equal">
      <formula>"OK"</formula>
    </cfRule>
  </conditionalFormatting>
  <conditionalFormatting sqref="C115">
    <cfRule type="cellIs" dxfId="260" priority="94" operator="equal">
      <formula>"NR"</formula>
    </cfRule>
    <cfRule type="cellIs" dxfId="259" priority="95" operator="equal">
      <formula>"NOK"</formula>
    </cfRule>
    <cfRule type="cellIs" dxfId="258" priority="96" operator="equal">
      <formula>"OK"</formula>
    </cfRule>
  </conditionalFormatting>
  <conditionalFormatting sqref="C131">
    <cfRule type="cellIs" dxfId="257" priority="91" operator="equal">
      <formula>"NR"</formula>
    </cfRule>
    <cfRule type="cellIs" dxfId="256" priority="92" operator="equal">
      <formula>"NOK"</formula>
    </cfRule>
    <cfRule type="cellIs" dxfId="255" priority="93" operator="equal">
      <formula>"OK"</formula>
    </cfRule>
  </conditionalFormatting>
  <conditionalFormatting sqref="C132">
    <cfRule type="cellIs" dxfId="254" priority="88" operator="equal">
      <formula>"NR"</formula>
    </cfRule>
    <cfRule type="cellIs" dxfId="253" priority="89" operator="equal">
      <formula>"NOK"</formula>
    </cfRule>
    <cfRule type="cellIs" dxfId="252" priority="90" operator="equal">
      <formula>"OK"</formula>
    </cfRule>
  </conditionalFormatting>
  <conditionalFormatting sqref="C11 B10">
    <cfRule type="cellIs" dxfId="251" priority="85" operator="equal">
      <formula>"NR"</formula>
    </cfRule>
    <cfRule type="cellIs" dxfId="250" priority="86" operator="equal">
      <formula>"NOK"</formula>
    </cfRule>
    <cfRule type="cellIs" dxfId="249" priority="87" operator="equal">
      <formula>"OK"</formula>
    </cfRule>
  </conditionalFormatting>
  <conditionalFormatting sqref="B89">
    <cfRule type="cellIs" dxfId="248" priority="82" operator="equal">
      <formula>"NR"</formula>
    </cfRule>
    <cfRule type="cellIs" dxfId="247" priority="83" operator="equal">
      <formula>"NOK"</formula>
    </cfRule>
    <cfRule type="cellIs" dxfId="246" priority="84" operator="equal">
      <formula>"OK"</formula>
    </cfRule>
  </conditionalFormatting>
  <conditionalFormatting sqref="C90:C94">
    <cfRule type="cellIs" dxfId="245" priority="79" operator="equal">
      <formula>"NR"</formula>
    </cfRule>
    <cfRule type="cellIs" dxfId="244" priority="80" operator="equal">
      <formula>"NOK"</formula>
    </cfRule>
    <cfRule type="cellIs" dxfId="243" priority="81" operator="equal">
      <formula>"OK"</formula>
    </cfRule>
  </conditionalFormatting>
  <conditionalFormatting sqref="B95">
    <cfRule type="cellIs" dxfId="242" priority="76" operator="equal">
      <formula>"NR"</formula>
    </cfRule>
    <cfRule type="cellIs" dxfId="241" priority="77" operator="equal">
      <formula>"NOK"</formula>
    </cfRule>
    <cfRule type="cellIs" dxfId="240" priority="78" operator="equal">
      <formula>"OK"</formula>
    </cfRule>
  </conditionalFormatting>
  <conditionalFormatting sqref="C96">
    <cfRule type="cellIs" dxfId="239" priority="73" operator="equal">
      <formula>"NR"</formula>
    </cfRule>
    <cfRule type="cellIs" dxfId="238" priority="74" operator="equal">
      <formula>"NOK"</formula>
    </cfRule>
    <cfRule type="cellIs" dxfId="237" priority="75" operator="equal">
      <formula>"OK"</formula>
    </cfRule>
  </conditionalFormatting>
  <conditionalFormatting sqref="C98">
    <cfRule type="cellIs" dxfId="236" priority="70" operator="equal">
      <formula>"NR"</formula>
    </cfRule>
    <cfRule type="cellIs" dxfId="235" priority="71" operator="equal">
      <formula>"NOK"</formula>
    </cfRule>
    <cfRule type="cellIs" dxfId="234" priority="72" operator="equal">
      <formula>"OK"</formula>
    </cfRule>
  </conditionalFormatting>
  <conditionalFormatting sqref="C97">
    <cfRule type="cellIs" dxfId="233" priority="67" operator="equal">
      <formula>"NR"</formula>
    </cfRule>
    <cfRule type="cellIs" dxfId="232" priority="68" operator="equal">
      <formula>"NOK"</formula>
    </cfRule>
    <cfRule type="cellIs" dxfId="231" priority="69" operator="equal">
      <formula>"OK"</formula>
    </cfRule>
  </conditionalFormatting>
  <conditionalFormatting sqref="C99:C100">
    <cfRule type="cellIs" dxfId="230" priority="64" operator="equal">
      <formula>"NR"</formula>
    </cfRule>
    <cfRule type="cellIs" dxfId="229" priority="65" operator="equal">
      <formula>"NOK"</formula>
    </cfRule>
    <cfRule type="cellIs" dxfId="228" priority="66" operator="equal">
      <formula>"OK"</formula>
    </cfRule>
  </conditionalFormatting>
  <conditionalFormatting sqref="B18:B19">
    <cfRule type="cellIs" dxfId="227" priority="49" operator="equal">
      <formula>"NR"</formula>
    </cfRule>
    <cfRule type="cellIs" dxfId="226" priority="50" operator="equal">
      <formula>"NOK"</formula>
    </cfRule>
    <cfRule type="cellIs" dxfId="225" priority="51" operator="equal">
      <formula>"OK"</formula>
    </cfRule>
  </conditionalFormatting>
  <conditionalFormatting sqref="C20">
    <cfRule type="cellIs" dxfId="224" priority="46" operator="equal">
      <formula>"NR"</formula>
    </cfRule>
    <cfRule type="cellIs" dxfId="223" priority="47" operator="equal">
      <formula>"NOK"</formula>
    </cfRule>
    <cfRule type="cellIs" dxfId="222" priority="48" operator="equal">
      <formula>"OK"</formula>
    </cfRule>
  </conditionalFormatting>
  <conditionalFormatting sqref="C33:C34">
    <cfRule type="cellIs" dxfId="221" priority="43" operator="equal">
      <formula>"NR"</formula>
    </cfRule>
    <cfRule type="cellIs" dxfId="220" priority="44" operator="equal">
      <formula>"NOK"</formula>
    </cfRule>
    <cfRule type="cellIs" dxfId="219" priority="45" operator="equal">
      <formula>"OK"</formula>
    </cfRule>
  </conditionalFormatting>
  <conditionalFormatting sqref="C39:C40">
    <cfRule type="cellIs" dxfId="218" priority="40" operator="equal">
      <formula>"NR"</formula>
    </cfRule>
    <cfRule type="cellIs" dxfId="217" priority="41" operator="equal">
      <formula>"NOK"</formula>
    </cfRule>
    <cfRule type="cellIs" dxfId="216" priority="42" operator="equal">
      <formula>"OK"</formula>
    </cfRule>
  </conditionalFormatting>
  <conditionalFormatting sqref="C63:C65">
    <cfRule type="cellIs" dxfId="215" priority="37" operator="equal">
      <formula>"NR"</formula>
    </cfRule>
    <cfRule type="cellIs" dxfId="214" priority="38" operator="equal">
      <formula>"NOK"</formula>
    </cfRule>
    <cfRule type="cellIs" dxfId="213" priority="39" operator="equal">
      <formula>"OK"</formula>
    </cfRule>
  </conditionalFormatting>
  <conditionalFormatting sqref="B61">
    <cfRule type="cellIs" dxfId="212" priority="34" operator="equal">
      <formula>"NR"</formula>
    </cfRule>
    <cfRule type="cellIs" dxfId="211" priority="35" operator="equal">
      <formula>"NOK"</formula>
    </cfRule>
    <cfRule type="cellIs" dxfId="210" priority="36" operator="equal">
      <formula>"OK"</formula>
    </cfRule>
  </conditionalFormatting>
  <conditionalFormatting sqref="C67">
    <cfRule type="cellIs" dxfId="209" priority="31" operator="equal">
      <formula>"NR"</formula>
    </cfRule>
    <cfRule type="cellIs" dxfId="208" priority="32" operator="equal">
      <formula>"NOK"</formula>
    </cfRule>
    <cfRule type="cellIs" dxfId="207" priority="33" operator="equal">
      <formula>"OK"</formula>
    </cfRule>
  </conditionalFormatting>
  <conditionalFormatting sqref="C66">
    <cfRule type="cellIs" dxfId="206" priority="28" operator="equal">
      <formula>"NR"</formula>
    </cfRule>
    <cfRule type="cellIs" dxfId="205" priority="29" operator="equal">
      <formula>"NOK"</formula>
    </cfRule>
    <cfRule type="cellIs" dxfId="204" priority="30" operator="equal">
      <formula>"OK"</formula>
    </cfRule>
  </conditionalFormatting>
  <conditionalFormatting sqref="C126">
    <cfRule type="cellIs" dxfId="203" priority="25" operator="equal">
      <formula>"NR"</formula>
    </cfRule>
    <cfRule type="cellIs" dxfId="202" priority="26" operator="equal">
      <formula>"NOK"</formula>
    </cfRule>
    <cfRule type="cellIs" dxfId="201" priority="27" operator="equal">
      <formula>"OK"</formula>
    </cfRule>
  </conditionalFormatting>
  <conditionalFormatting sqref="C127:C128">
    <cfRule type="cellIs" dxfId="200" priority="22" operator="equal">
      <formula>"NR"</formula>
    </cfRule>
    <cfRule type="cellIs" dxfId="199" priority="23" operator="equal">
      <formula>"NOK"</formula>
    </cfRule>
    <cfRule type="cellIs" dxfId="198" priority="24" operator="equal">
      <formula>"OK"</formula>
    </cfRule>
  </conditionalFormatting>
  <conditionalFormatting sqref="C76">
    <cfRule type="cellIs" dxfId="197" priority="19" operator="equal">
      <formula>"NR"</formula>
    </cfRule>
    <cfRule type="cellIs" dxfId="196" priority="20" operator="equal">
      <formula>"NOK"</formula>
    </cfRule>
    <cfRule type="cellIs" dxfId="195" priority="21" operator="equal">
      <formula>"OK"</formula>
    </cfRule>
  </conditionalFormatting>
  <conditionalFormatting sqref="B48">
    <cfRule type="cellIs" dxfId="194" priority="13" operator="equal">
      <formula>"NR"</formula>
    </cfRule>
    <cfRule type="cellIs" dxfId="193" priority="14" operator="equal">
      <formula>"NOK"</formula>
    </cfRule>
    <cfRule type="cellIs" dxfId="192" priority="15" operator="equal">
      <formula>"OK"</formula>
    </cfRule>
  </conditionalFormatting>
  <conditionalFormatting sqref="C49">
    <cfRule type="cellIs" dxfId="191" priority="10" operator="equal">
      <formula>"NR"</formula>
    </cfRule>
    <cfRule type="cellIs" dxfId="190" priority="11" operator="equal">
      <formula>"NOK"</formula>
    </cfRule>
    <cfRule type="cellIs" dxfId="189" priority="12" operator="equal">
      <formula>"OK"</formula>
    </cfRule>
  </conditionalFormatting>
  <conditionalFormatting sqref="B62">
    <cfRule type="cellIs" dxfId="188" priority="7" operator="equal">
      <formula>"NR"</formula>
    </cfRule>
    <cfRule type="cellIs" dxfId="187" priority="8" operator="equal">
      <formula>"NOK"</formula>
    </cfRule>
    <cfRule type="cellIs" dxfId="186" priority="9" operator="equal">
      <formula>"OK"</formula>
    </cfRule>
  </conditionalFormatting>
  <conditionalFormatting sqref="C80">
    <cfRule type="cellIs" dxfId="185" priority="4" operator="equal">
      <formula>"NR"</formula>
    </cfRule>
    <cfRule type="cellIs" dxfId="184" priority="5" operator="equal">
      <formula>"NOK"</formula>
    </cfRule>
    <cfRule type="cellIs" dxfId="183" priority="6" operator="equal">
      <formula>"OK"</formula>
    </cfRule>
  </conditionalFormatting>
  <conditionalFormatting sqref="C84">
    <cfRule type="cellIs" dxfId="182" priority="1" operator="equal">
      <formula>"NR"</formula>
    </cfRule>
    <cfRule type="cellIs" dxfId="181" priority="2" operator="equal">
      <formula>"NOK"</formula>
    </cfRule>
    <cfRule type="cellIs" dxfId="180" priority="3" operator="equal">
      <formula>"OK"</formula>
    </cfRule>
  </conditionalFormatting>
  <dataValidations xWindow="997" yWindow="432" count="1">
    <dataValidation type="list" allowBlank="1" showInputMessage="1" showErrorMessage="1" errorTitle="Remplissage Obligatoire" error="OK -&gt; Criteria Validated_x000a_NOK -&gt; Criteria Not Validated_x000a_NR -&gt; Impossiblity to check the criteria_x000a_NA -&gt; Impossiblity to validate the criteria" prompt="NO EMPTY CELLS" sqref="C150 C130:C132 C135:C148 C38:C42 C119:C125 C44 C32:C36 C20:C22 C26:C30 C70:C72 C112 C63:C67 C78:C80 C96:C100 C114:C115 C104:C110 C49:C53 C127:C128 C9 C11 C88 C90:C94 C13:C17 C56:C60 C74:C76 C82:C84" xr:uid="{63A0F90B-F1FE-486F-8DF0-327FC1CDB2C3}">
      <formula1>"OK,NOK,NR,NA"</formula1>
    </dataValidation>
  </dataValidations>
  <pageMargins left="0.7" right="0.7" top="0.75" bottom="0.75" header="0.3" footer="0.3"/>
  <pageSetup paperSize="9" orientation="portrait" verticalDpi="598" r:id="rId1"/>
  <headerFooter>
    <oddFooter>&amp;R&amp;1#&amp;"Arial"&amp;10&amp;K000000Confidential 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19DF4-2DD5-4E1F-9775-03E6289914E2}">
  <sheetPr codeName="Feuil28"/>
  <dimension ref="A1:T103"/>
  <sheetViews>
    <sheetView topLeftCell="A31" zoomScale="70" zoomScaleNormal="70" workbookViewId="0">
      <selection activeCell="E75" sqref="E75"/>
    </sheetView>
  </sheetViews>
  <sheetFormatPr baseColWidth="10" defaultColWidth="9.1796875" defaultRowHeight="14.5" x14ac:dyDescent="0.35"/>
  <cols>
    <col min="1" max="1" width="6.81640625" style="188" customWidth="1"/>
    <col min="2" max="2" width="29.54296875" style="187" customWidth="1"/>
    <col min="3" max="3" width="63.7265625" style="185" customWidth="1"/>
    <col min="4" max="4" width="43.26953125" style="185" customWidth="1"/>
    <col min="5" max="5" width="99.26953125" style="186" customWidth="1"/>
    <col min="6" max="6" width="50.1796875" style="185" customWidth="1"/>
    <col min="7" max="7" width="3.54296875" style="185" customWidth="1"/>
    <col min="8" max="16384" width="9.1796875" style="185"/>
  </cols>
  <sheetData>
    <row r="1" spans="1:20" ht="15" thickBot="1" x14ac:dyDescent="0.4">
      <c r="A1" s="227"/>
      <c r="B1" s="447" t="s">
        <v>1062</v>
      </c>
      <c r="C1" s="448"/>
      <c r="D1" s="448"/>
      <c r="E1" s="448"/>
      <c r="F1" s="449"/>
      <c r="G1" s="191"/>
      <c r="H1" s="447" t="s">
        <v>535</v>
      </c>
      <c r="I1" s="448"/>
      <c r="J1" s="448"/>
      <c r="K1" s="448"/>
      <c r="L1" s="448"/>
      <c r="M1" s="448"/>
      <c r="N1" s="448"/>
      <c r="O1" s="448"/>
      <c r="P1" s="448"/>
      <c r="Q1" s="448"/>
      <c r="R1" s="448"/>
      <c r="S1" s="449"/>
      <c r="T1" s="191"/>
    </row>
    <row r="2" spans="1:20" ht="24" customHeight="1" thickBot="1" x14ac:dyDescent="0.4">
      <c r="A2" s="227"/>
      <c r="B2" s="228" t="s">
        <v>536</v>
      </c>
      <c r="C2" s="464" t="s">
        <v>1063</v>
      </c>
      <c r="D2" s="464"/>
      <c r="E2" s="464"/>
      <c r="F2" s="465"/>
      <c r="G2" s="191"/>
      <c r="H2" s="459" t="s">
        <v>537</v>
      </c>
      <c r="I2" s="460"/>
      <c r="J2" s="460"/>
      <c r="K2" s="460"/>
      <c r="L2" s="460"/>
      <c r="M2" s="460"/>
      <c r="N2" s="460"/>
      <c r="O2" s="460"/>
      <c r="P2" s="460"/>
      <c r="Q2" s="460"/>
      <c r="R2" s="460"/>
      <c r="S2" s="461"/>
      <c r="T2" s="191"/>
    </row>
    <row r="3" spans="1:20" ht="15" thickBot="1" x14ac:dyDescent="0.4">
      <c r="A3" s="227"/>
      <c r="B3" s="191"/>
      <c r="C3" s="191"/>
      <c r="D3" s="191"/>
      <c r="E3" s="226"/>
      <c r="F3" s="191"/>
      <c r="G3" s="191"/>
      <c r="H3" s="466"/>
      <c r="I3" s="467"/>
      <c r="J3" s="467"/>
      <c r="K3" s="467"/>
      <c r="L3" s="467"/>
      <c r="M3" s="467"/>
      <c r="N3" s="467"/>
      <c r="O3" s="467"/>
      <c r="P3" s="467"/>
      <c r="Q3" s="467"/>
      <c r="R3" s="467"/>
      <c r="S3" s="468"/>
      <c r="T3" s="191"/>
    </row>
    <row r="4" spans="1:20" x14ac:dyDescent="0.35">
      <c r="A4" s="220"/>
      <c r="B4" s="459" t="s">
        <v>538</v>
      </c>
      <c r="C4" s="460"/>
      <c r="D4" s="460"/>
      <c r="E4" s="460"/>
      <c r="F4" s="461"/>
      <c r="G4" s="189"/>
      <c r="H4" s="469"/>
      <c r="I4" s="470"/>
      <c r="J4" s="470"/>
      <c r="K4" s="470"/>
      <c r="L4" s="470"/>
      <c r="M4" s="470"/>
      <c r="N4" s="470"/>
      <c r="O4" s="470"/>
      <c r="P4" s="470"/>
      <c r="Q4" s="470"/>
      <c r="R4" s="470"/>
      <c r="S4" s="471"/>
      <c r="T4" s="191"/>
    </row>
    <row r="5" spans="1:20" ht="18" customHeight="1" x14ac:dyDescent="0.35">
      <c r="A5" s="220" t="str">
        <f>CONCATENATE(B5,C5)</f>
        <v>StepsActions</v>
      </c>
      <c r="B5" s="225" t="s">
        <v>539</v>
      </c>
      <c r="C5" s="224" t="s">
        <v>540</v>
      </c>
      <c r="D5" s="224" t="s">
        <v>541</v>
      </c>
      <c r="E5" s="224" t="s">
        <v>542</v>
      </c>
      <c r="F5" s="223" t="s">
        <v>57</v>
      </c>
      <c r="G5" s="191"/>
      <c r="H5" s="469"/>
      <c r="I5" s="470"/>
      <c r="J5" s="470"/>
      <c r="K5" s="470"/>
      <c r="L5" s="470"/>
      <c r="M5" s="470"/>
      <c r="N5" s="470"/>
      <c r="O5" s="470"/>
      <c r="P5" s="470"/>
      <c r="Q5" s="470"/>
      <c r="R5" s="470"/>
      <c r="S5" s="471"/>
      <c r="T5" s="191"/>
    </row>
    <row r="6" spans="1:20" s="221" customFormat="1" ht="15.5" x14ac:dyDescent="0.35">
      <c r="A6" s="220" t="str">
        <f>CONCATENATE(B6,C6)</f>
        <v>Part 1Cell thermal propagation strategy EVA for Vehicle without the NF 1625</v>
      </c>
      <c r="B6" s="213" t="s">
        <v>543</v>
      </c>
      <c r="C6" s="453" t="s">
        <v>1064</v>
      </c>
      <c r="D6" s="454"/>
      <c r="E6" s="454"/>
      <c r="F6" s="455"/>
      <c r="G6" s="222"/>
      <c r="H6" s="469"/>
      <c r="I6" s="470"/>
      <c r="J6" s="470"/>
      <c r="K6" s="470"/>
      <c r="L6" s="470"/>
      <c r="M6" s="470"/>
      <c r="N6" s="470"/>
      <c r="O6" s="470"/>
      <c r="P6" s="470"/>
      <c r="Q6" s="470"/>
      <c r="R6" s="470"/>
      <c r="S6" s="471"/>
      <c r="T6" s="222"/>
    </row>
    <row r="7" spans="1:20" x14ac:dyDescent="0.35">
      <c r="A7" s="220" t="str">
        <f>CONCATENATE(B7,C7)</f>
        <v>Initial Statevehicle asleep with high external temperature</v>
      </c>
      <c r="B7" s="212" t="s">
        <v>545</v>
      </c>
      <c r="C7" s="456" t="s">
        <v>1065</v>
      </c>
      <c r="D7" s="457"/>
      <c r="E7" s="457"/>
      <c r="F7" s="458"/>
      <c r="G7" s="191"/>
      <c r="H7" s="469"/>
      <c r="I7" s="470"/>
      <c r="J7" s="470"/>
      <c r="K7" s="470"/>
      <c r="L7" s="470"/>
      <c r="M7" s="470"/>
      <c r="N7" s="470"/>
      <c r="O7" s="470"/>
      <c r="P7" s="470"/>
      <c r="Q7" s="470"/>
      <c r="R7" s="470"/>
      <c r="S7" s="471"/>
      <c r="T7" s="191"/>
    </row>
    <row r="8" spans="1:20" x14ac:dyDescent="0.35">
      <c r="A8" s="220" t="str">
        <f>CONCATENATE(B8,C8)</f>
        <v xml:space="preserve">1.1Wake up the vehicle </v>
      </c>
      <c r="B8" s="211" t="s">
        <v>122</v>
      </c>
      <c r="C8" s="210" t="s">
        <v>1066</v>
      </c>
      <c r="D8" s="209"/>
      <c r="E8" s="208"/>
      <c r="F8" s="207"/>
      <c r="G8" s="191"/>
      <c r="H8" s="469"/>
      <c r="I8" s="470"/>
      <c r="J8" s="470"/>
      <c r="K8" s="470"/>
      <c r="L8" s="470"/>
      <c r="M8" s="470"/>
      <c r="N8" s="470"/>
      <c r="O8" s="470"/>
      <c r="P8" s="470"/>
      <c r="Q8" s="470"/>
      <c r="R8" s="470"/>
      <c r="S8" s="471"/>
      <c r="T8" s="191"/>
    </row>
    <row r="9" spans="1:20" ht="203" x14ac:dyDescent="0.35">
      <c r="A9" s="220"/>
      <c r="B9" s="201" t="s">
        <v>423</v>
      </c>
      <c r="C9" s="218" t="s">
        <v>549</v>
      </c>
      <c r="D9" s="217" t="s">
        <v>1067</v>
      </c>
      <c r="E9" s="216" t="s">
        <v>1068</v>
      </c>
      <c r="F9" s="219"/>
      <c r="G9" s="191"/>
      <c r="H9" s="469"/>
      <c r="I9" s="470"/>
      <c r="J9" s="470"/>
      <c r="K9" s="470"/>
      <c r="L9" s="470"/>
      <c r="M9" s="470"/>
      <c r="N9" s="470"/>
      <c r="O9" s="470"/>
      <c r="P9" s="470"/>
      <c r="Q9" s="470"/>
      <c r="R9" s="470"/>
      <c r="S9" s="471"/>
      <c r="T9" s="191"/>
    </row>
    <row r="10" spans="1:20" ht="29" x14ac:dyDescent="0.35">
      <c r="A10" s="220"/>
      <c r="B10" s="211" t="s">
        <v>552</v>
      </c>
      <c r="C10" s="210" t="s">
        <v>1069</v>
      </c>
      <c r="D10" s="209"/>
      <c r="E10" s="209"/>
      <c r="F10" s="207"/>
      <c r="G10" s="191"/>
      <c r="H10" s="469"/>
      <c r="I10" s="470"/>
      <c r="J10" s="470"/>
      <c r="K10" s="470"/>
      <c r="L10" s="470"/>
      <c r="M10" s="470"/>
      <c r="N10" s="470"/>
      <c r="O10" s="470"/>
      <c r="P10" s="470"/>
      <c r="Q10" s="470"/>
      <c r="R10" s="470"/>
      <c r="S10" s="471"/>
      <c r="T10" s="191"/>
    </row>
    <row r="11" spans="1:20" ht="203" x14ac:dyDescent="0.35">
      <c r="A11" s="220" t="e">
        <f>CONCATENATE(#REF!,#REF!)</f>
        <v>#REF!</v>
      </c>
      <c r="B11" s="201" t="s">
        <v>423</v>
      </c>
      <c r="C11" s="218" t="s">
        <v>549</v>
      </c>
      <c r="D11" s="217" t="s">
        <v>1067</v>
      </c>
      <c r="E11" s="216" t="s">
        <v>1068</v>
      </c>
      <c r="F11" s="219"/>
      <c r="G11" s="191"/>
      <c r="H11" s="469"/>
      <c r="I11" s="470"/>
      <c r="J11" s="470"/>
      <c r="K11" s="470"/>
      <c r="L11" s="470"/>
      <c r="M11" s="470"/>
      <c r="N11" s="470"/>
      <c r="O11" s="470"/>
      <c r="P11" s="470"/>
      <c r="Q11" s="470"/>
      <c r="R11" s="470"/>
      <c r="S11" s="471"/>
      <c r="T11" s="191"/>
    </row>
    <row r="12" spans="1:20" ht="30.75" customHeight="1" x14ac:dyDescent="0.35">
      <c r="A12" s="220"/>
      <c r="B12" s="211" t="s">
        <v>424</v>
      </c>
      <c r="C12" s="210" t="s">
        <v>1070</v>
      </c>
      <c r="D12" s="209"/>
      <c r="E12" s="209"/>
      <c r="F12" s="207"/>
      <c r="G12" s="191"/>
      <c r="H12" s="469"/>
      <c r="I12" s="470"/>
      <c r="J12" s="470"/>
      <c r="K12" s="470"/>
      <c r="L12" s="470"/>
      <c r="M12" s="470"/>
      <c r="N12" s="470"/>
      <c r="O12" s="470"/>
      <c r="P12" s="470"/>
      <c r="Q12" s="470"/>
      <c r="R12" s="470"/>
      <c r="S12" s="471"/>
      <c r="T12" s="191"/>
    </row>
    <row r="13" spans="1:20" ht="203" x14ac:dyDescent="0.35">
      <c r="A13" s="220" t="e">
        <f>CONCATENATE(#REF!,#REF!)</f>
        <v>#REF!</v>
      </c>
      <c r="B13" s="201" t="s">
        <v>423</v>
      </c>
      <c r="C13" s="218" t="s">
        <v>549</v>
      </c>
      <c r="D13" s="217" t="s">
        <v>1067</v>
      </c>
      <c r="E13" s="216" t="s">
        <v>1068</v>
      </c>
      <c r="F13" s="219"/>
      <c r="G13" s="191"/>
      <c r="H13" s="469"/>
      <c r="I13" s="470"/>
      <c r="J13" s="470"/>
      <c r="K13" s="470"/>
      <c r="L13" s="470"/>
      <c r="M13" s="470"/>
      <c r="N13" s="470"/>
      <c r="O13" s="470"/>
      <c r="P13" s="470"/>
      <c r="Q13" s="470"/>
      <c r="R13" s="470"/>
      <c r="S13" s="471"/>
      <c r="T13" s="191"/>
    </row>
    <row r="14" spans="1:20" x14ac:dyDescent="0.35">
      <c r="A14" s="220"/>
      <c r="B14" s="211" t="s">
        <v>559</v>
      </c>
      <c r="C14" s="210" t="s">
        <v>1071</v>
      </c>
      <c r="D14" s="209"/>
      <c r="E14" s="209"/>
      <c r="F14" s="207"/>
      <c r="G14" s="191"/>
      <c r="H14" s="469"/>
      <c r="I14" s="470"/>
      <c r="J14" s="470"/>
      <c r="K14" s="470"/>
      <c r="L14" s="470"/>
      <c r="M14" s="470"/>
      <c r="N14" s="470"/>
      <c r="O14" s="470"/>
      <c r="P14" s="470"/>
      <c r="Q14" s="470"/>
      <c r="R14" s="470"/>
      <c r="S14" s="471"/>
      <c r="T14" s="191"/>
    </row>
    <row r="15" spans="1:20" ht="203" x14ac:dyDescent="0.35">
      <c r="A15" s="220"/>
      <c r="B15" s="201" t="s">
        <v>423</v>
      </c>
      <c r="C15" s="218" t="s">
        <v>549</v>
      </c>
      <c r="D15" s="217" t="s">
        <v>1067</v>
      </c>
      <c r="E15" s="216" t="s">
        <v>1068</v>
      </c>
      <c r="F15" s="219"/>
      <c r="G15" s="191"/>
      <c r="H15" s="469"/>
      <c r="I15" s="470"/>
      <c r="J15" s="470"/>
      <c r="K15" s="470"/>
      <c r="L15" s="470"/>
      <c r="M15" s="470"/>
      <c r="N15" s="470"/>
      <c r="O15" s="470"/>
      <c r="P15" s="470"/>
      <c r="Q15" s="470"/>
      <c r="R15" s="470"/>
      <c r="S15" s="471"/>
      <c r="T15" s="191"/>
    </row>
    <row r="16" spans="1:20" ht="15.5" x14ac:dyDescent="0.35">
      <c r="A16" s="220"/>
      <c r="B16" s="213" t="s">
        <v>565</v>
      </c>
      <c r="C16" s="453" t="s">
        <v>1072</v>
      </c>
      <c r="D16" s="454"/>
      <c r="E16" s="454"/>
      <c r="F16" s="455"/>
      <c r="G16" s="191"/>
      <c r="H16" s="469"/>
      <c r="I16" s="470"/>
      <c r="J16" s="470"/>
      <c r="K16" s="470"/>
      <c r="L16" s="470"/>
      <c r="M16" s="470"/>
      <c r="N16" s="470"/>
      <c r="O16" s="470"/>
      <c r="P16" s="470"/>
      <c r="Q16" s="470"/>
      <c r="R16" s="470"/>
      <c r="S16" s="471"/>
      <c r="T16" s="191"/>
    </row>
    <row r="17" spans="1:20" x14ac:dyDescent="0.35">
      <c r="A17" s="220"/>
      <c r="B17" s="212" t="s">
        <v>545</v>
      </c>
      <c r="C17" s="456" t="s">
        <v>1065</v>
      </c>
      <c r="D17" s="457"/>
      <c r="E17" s="457"/>
      <c r="F17" s="458"/>
      <c r="G17" s="191"/>
      <c r="H17" s="469"/>
      <c r="I17" s="470"/>
      <c r="J17" s="470"/>
      <c r="K17" s="470"/>
      <c r="L17" s="470"/>
      <c r="M17" s="470"/>
      <c r="N17" s="470"/>
      <c r="O17" s="470"/>
      <c r="P17" s="470"/>
      <c r="Q17" s="470"/>
      <c r="R17" s="470"/>
      <c r="S17" s="471"/>
      <c r="T17" s="191"/>
    </row>
    <row r="18" spans="1:20" x14ac:dyDescent="0.35">
      <c r="A18" s="220"/>
      <c r="B18" s="211" t="s">
        <v>568</v>
      </c>
      <c r="C18" s="210" t="s">
        <v>1066</v>
      </c>
      <c r="D18" s="209"/>
      <c r="E18" s="208"/>
      <c r="F18" s="207"/>
      <c r="G18" s="191"/>
      <c r="H18" s="469"/>
      <c r="I18" s="470"/>
      <c r="J18" s="470"/>
      <c r="K18" s="470"/>
      <c r="L18" s="470"/>
      <c r="M18" s="470"/>
      <c r="N18" s="470"/>
      <c r="O18" s="470"/>
      <c r="P18" s="470"/>
      <c r="Q18" s="470"/>
      <c r="R18" s="470"/>
      <c r="S18" s="471"/>
      <c r="T18" s="191"/>
    </row>
    <row r="19" spans="1:20" ht="203" x14ac:dyDescent="0.35">
      <c r="A19" s="192"/>
      <c r="B19" s="201" t="s">
        <v>423</v>
      </c>
      <c r="C19" s="218" t="s">
        <v>549</v>
      </c>
      <c r="D19" s="217" t="s">
        <v>1073</v>
      </c>
      <c r="E19" s="216" t="s">
        <v>1074</v>
      </c>
      <c r="F19" s="219"/>
      <c r="G19" s="189"/>
      <c r="H19" s="469"/>
      <c r="I19" s="470"/>
      <c r="J19" s="470"/>
      <c r="K19" s="470"/>
      <c r="L19" s="470"/>
      <c r="M19" s="470"/>
      <c r="N19" s="470"/>
      <c r="O19" s="470"/>
      <c r="P19" s="470"/>
      <c r="Q19" s="470"/>
      <c r="R19" s="470"/>
      <c r="S19" s="471"/>
      <c r="T19" s="191"/>
    </row>
    <row r="20" spans="1:20" ht="58" x14ac:dyDescent="0.35">
      <c r="A20" s="192"/>
      <c r="B20" s="211" t="s">
        <v>571</v>
      </c>
      <c r="C20" s="210" t="s">
        <v>1075</v>
      </c>
      <c r="D20" s="209"/>
      <c r="E20" s="209"/>
      <c r="F20" s="207" t="s">
        <v>1076</v>
      </c>
      <c r="G20" s="189"/>
      <c r="H20" s="214"/>
      <c r="I20" s="214"/>
      <c r="J20" s="214"/>
      <c r="K20" s="214"/>
      <c r="L20" s="214"/>
      <c r="M20" s="214"/>
      <c r="N20" s="214"/>
      <c r="O20" s="214"/>
      <c r="P20" s="214"/>
      <c r="Q20" s="214"/>
      <c r="R20" s="214"/>
      <c r="S20" s="214"/>
      <c r="T20" s="191"/>
    </row>
    <row r="21" spans="1:20" ht="145" x14ac:dyDescent="0.35">
      <c r="A21" s="192"/>
      <c r="B21" s="201" t="s">
        <v>423</v>
      </c>
      <c r="C21" s="218" t="s">
        <v>549</v>
      </c>
      <c r="D21" s="217" t="s">
        <v>1077</v>
      </c>
      <c r="E21" s="216" t="s">
        <v>1078</v>
      </c>
      <c r="F21" s="215"/>
      <c r="G21" s="189"/>
      <c r="H21" s="214"/>
      <c r="I21" s="214"/>
      <c r="J21" s="214"/>
      <c r="K21" s="214"/>
      <c r="L21" s="214"/>
      <c r="M21" s="214"/>
      <c r="N21" s="214"/>
      <c r="O21" s="214"/>
      <c r="P21" s="214"/>
      <c r="Q21" s="214"/>
      <c r="R21" s="214"/>
      <c r="S21" s="214"/>
      <c r="T21" s="191"/>
    </row>
    <row r="22" spans="1:20" ht="203" x14ac:dyDescent="0.35">
      <c r="A22" s="192"/>
      <c r="B22" s="201" t="s">
        <v>423</v>
      </c>
      <c r="C22" s="218" t="s">
        <v>549</v>
      </c>
      <c r="D22" s="217" t="s">
        <v>1079</v>
      </c>
      <c r="E22" s="216" t="s">
        <v>1074</v>
      </c>
      <c r="F22" s="215"/>
      <c r="G22" s="189"/>
      <c r="H22" s="214"/>
      <c r="I22" s="214"/>
      <c r="J22" s="214"/>
      <c r="K22" s="214"/>
      <c r="L22" s="214"/>
      <c r="M22" s="214"/>
      <c r="N22" s="214"/>
      <c r="O22" s="214"/>
      <c r="P22" s="214"/>
      <c r="Q22" s="214"/>
      <c r="R22" s="214"/>
      <c r="S22" s="214"/>
      <c r="T22" s="191"/>
    </row>
    <row r="23" spans="1:20" x14ac:dyDescent="0.35">
      <c r="A23" s="192"/>
      <c r="B23" s="201" t="s">
        <v>423</v>
      </c>
      <c r="C23" s="218" t="s">
        <v>549</v>
      </c>
      <c r="D23" s="217" t="s">
        <v>1080</v>
      </c>
      <c r="E23" s="216"/>
      <c r="F23" s="215"/>
      <c r="G23" s="189"/>
      <c r="H23" s="214"/>
      <c r="I23" s="214"/>
      <c r="J23" s="214"/>
      <c r="K23" s="214"/>
      <c r="L23" s="214"/>
      <c r="M23" s="214"/>
      <c r="N23" s="214"/>
      <c r="O23" s="214"/>
      <c r="P23" s="214"/>
      <c r="Q23" s="214"/>
      <c r="R23" s="214"/>
      <c r="S23" s="214"/>
      <c r="T23" s="191"/>
    </row>
    <row r="24" spans="1:20" ht="58" x14ac:dyDescent="0.35">
      <c r="A24" s="192"/>
      <c r="B24" s="211" t="s">
        <v>639</v>
      </c>
      <c r="C24" s="210" t="s">
        <v>1081</v>
      </c>
      <c r="D24" s="209"/>
      <c r="E24" s="209"/>
      <c r="F24" s="207" t="s">
        <v>1076</v>
      </c>
      <c r="G24" s="189"/>
      <c r="H24" s="214"/>
      <c r="I24" s="214"/>
      <c r="J24" s="214"/>
      <c r="K24" s="214"/>
      <c r="L24" s="214"/>
      <c r="M24" s="214"/>
      <c r="N24" s="214"/>
      <c r="O24" s="214"/>
      <c r="P24" s="214"/>
      <c r="Q24" s="214"/>
      <c r="R24" s="214"/>
      <c r="S24" s="214"/>
      <c r="T24" s="191"/>
    </row>
    <row r="25" spans="1:20" ht="145" x14ac:dyDescent="0.35">
      <c r="A25" s="192"/>
      <c r="B25" s="201" t="s">
        <v>423</v>
      </c>
      <c r="C25" s="218" t="s">
        <v>549</v>
      </c>
      <c r="D25" s="217" t="s">
        <v>1077</v>
      </c>
      <c r="E25" s="216" t="s">
        <v>1078</v>
      </c>
      <c r="F25" s="215"/>
      <c r="G25" s="189"/>
      <c r="H25" s="214"/>
      <c r="I25" s="214"/>
      <c r="J25" s="214"/>
      <c r="K25" s="214"/>
      <c r="L25" s="214"/>
      <c r="M25" s="214"/>
      <c r="N25" s="214"/>
      <c r="O25" s="214"/>
      <c r="P25" s="214"/>
      <c r="Q25" s="214"/>
      <c r="R25" s="214"/>
      <c r="S25" s="214"/>
      <c r="T25" s="191"/>
    </row>
    <row r="26" spans="1:20" ht="203" x14ac:dyDescent="0.35">
      <c r="A26" s="192"/>
      <c r="B26" s="201" t="s">
        <v>423</v>
      </c>
      <c r="C26" s="218" t="s">
        <v>549</v>
      </c>
      <c r="D26" s="217" t="s">
        <v>1079</v>
      </c>
      <c r="E26" s="216" t="s">
        <v>1074</v>
      </c>
      <c r="F26" s="215"/>
      <c r="G26" s="189"/>
      <c r="H26" s="214"/>
      <c r="I26" s="214"/>
      <c r="J26" s="214"/>
      <c r="K26" s="214"/>
      <c r="L26" s="214"/>
      <c r="M26" s="214"/>
      <c r="N26" s="214"/>
      <c r="O26" s="214"/>
      <c r="P26" s="214"/>
      <c r="Q26" s="214"/>
      <c r="R26" s="214"/>
      <c r="S26" s="214"/>
      <c r="T26" s="191"/>
    </row>
    <row r="27" spans="1:20" x14ac:dyDescent="0.35">
      <c r="A27" s="192"/>
      <c r="B27" s="201" t="s">
        <v>423</v>
      </c>
      <c r="C27" s="218" t="s">
        <v>549</v>
      </c>
      <c r="D27" s="217" t="s">
        <v>1080</v>
      </c>
      <c r="E27" s="216"/>
      <c r="F27" s="215"/>
      <c r="G27" s="189"/>
      <c r="H27" s="214"/>
      <c r="I27" s="214"/>
      <c r="J27" s="214"/>
      <c r="K27" s="214"/>
      <c r="L27" s="214"/>
      <c r="M27" s="214"/>
      <c r="N27" s="214"/>
      <c r="O27" s="214"/>
      <c r="P27" s="214"/>
      <c r="Q27" s="214"/>
      <c r="R27" s="214"/>
      <c r="S27" s="214"/>
      <c r="T27" s="191"/>
    </row>
    <row r="28" spans="1:20" x14ac:dyDescent="0.35">
      <c r="A28" s="192"/>
      <c r="B28" s="211" t="s">
        <v>643</v>
      </c>
      <c r="C28" s="210" t="s">
        <v>1071</v>
      </c>
      <c r="D28" s="209"/>
      <c r="E28" s="209"/>
      <c r="F28" s="207"/>
      <c r="G28" s="189"/>
      <c r="H28" s="214"/>
      <c r="I28" s="214"/>
      <c r="J28" s="214"/>
      <c r="K28" s="214"/>
      <c r="L28" s="214"/>
      <c r="M28" s="214"/>
      <c r="N28" s="214"/>
      <c r="O28" s="214"/>
      <c r="P28" s="214"/>
      <c r="Q28" s="214"/>
      <c r="R28" s="214"/>
      <c r="S28" s="214"/>
      <c r="T28" s="191"/>
    </row>
    <row r="29" spans="1:20" ht="203" x14ac:dyDescent="0.35">
      <c r="A29" s="192"/>
      <c r="B29" s="201" t="s">
        <v>423</v>
      </c>
      <c r="C29" s="218" t="s">
        <v>549</v>
      </c>
      <c r="D29" s="217" t="s">
        <v>1082</v>
      </c>
      <c r="E29" s="216" t="s">
        <v>1074</v>
      </c>
      <c r="F29" s="215"/>
      <c r="G29" s="189"/>
      <c r="H29" s="214"/>
      <c r="I29" s="214"/>
      <c r="J29" s="214"/>
      <c r="K29" s="214"/>
      <c r="L29" s="214"/>
      <c r="M29" s="214"/>
      <c r="N29" s="214"/>
      <c r="O29" s="214"/>
      <c r="P29" s="214"/>
      <c r="Q29" s="214"/>
      <c r="R29" s="214"/>
      <c r="S29" s="214"/>
      <c r="T29" s="191"/>
    </row>
    <row r="30" spans="1:20" ht="58" x14ac:dyDescent="0.35">
      <c r="A30" s="192"/>
      <c r="B30" s="211" t="s">
        <v>651</v>
      </c>
      <c r="C30" s="210" t="s">
        <v>1083</v>
      </c>
      <c r="D30" s="209"/>
      <c r="E30" s="209"/>
      <c r="F30" s="207" t="s">
        <v>1076</v>
      </c>
      <c r="G30" s="189"/>
      <c r="H30" s="214"/>
      <c r="I30" s="214"/>
      <c r="J30" s="214"/>
      <c r="K30" s="214"/>
      <c r="L30" s="214"/>
      <c r="M30" s="214"/>
      <c r="N30" s="214"/>
      <c r="O30" s="214"/>
      <c r="P30" s="214"/>
      <c r="Q30" s="214"/>
      <c r="R30" s="214"/>
      <c r="S30" s="214"/>
      <c r="T30" s="191"/>
    </row>
    <row r="31" spans="1:20" ht="145" x14ac:dyDescent="0.35">
      <c r="A31" s="192"/>
      <c r="B31" s="201" t="s">
        <v>423</v>
      </c>
      <c r="C31" s="218" t="s">
        <v>549</v>
      </c>
      <c r="D31" s="217" t="s">
        <v>1077</v>
      </c>
      <c r="E31" s="216" t="s">
        <v>1078</v>
      </c>
      <c r="F31" s="215"/>
      <c r="G31" s="189"/>
      <c r="H31" s="214"/>
      <c r="I31" s="214"/>
      <c r="J31" s="214"/>
      <c r="K31" s="214"/>
      <c r="L31" s="214"/>
      <c r="M31" s="214"/>
      <c r="N31" s="214"/>
      <c r="O31" s="214"/>
      <c r="P31" s="214"/>
      <c r="Q31" s="214"/>
      <c r="R31" s="214"/>
      <c r="S31" s="214"/>
      <c r="T31" s="191"/>
    </row>
    <row r="32" spans="1:20" ht="203" x14ac:dyDescent="0.35">
      <c r="A32" s="192"/>
      <c r="B32" s="201" t="s">
        <v>423</v>
      </c>
      <c r="C32" s="218" t="s">
        <v>549</v>
      </c>
      <c r="D32" s="217" t="s">
        <v>1079</v>
      </c>
      <c r="E32" s="216" t="s">
        <v>1074</v>
      </c>
      <c r="F32" s="215"/>
      <c r="G32" s="189"/>
      <c r="H32" s="214"/>
      <c r="I32" s="214"/>
      <c r="J32" s="214"/>
      <c r="K32" s="214"/>
      <c r="L32" s="214"/>
      <c r="M32" s="214"/>
      <c r="N32" s="214"/>
      <c r="O32" s="214"/>
      <c r="P32" s="214"/>
      <c r="Q32" s="214"/>
      <c r="R32" s="214"/>
      <c r="S32" s="214"/>
      <c r="T32" s="191"/>
    </row>
    <row r="33" spans="1:20" x14ac:dyDescent="0.35">
      <c r="A33" s="192"/>
      <c r="B33" s="201" t="s">
        <v>423</v>
      </c>
      <c r="C33" s="218" t="s">
        <v>549</v>
      </c>
      <c r="D33" s="217" t="s">
        <v>1080</v>
      </c>
      <c r="E33" s="216"/>
      <c r="F33" s="215"/>
      <c r="G33" s="189"/>
      <c r="H33" s="214"/>
      <c r="I33" s="214"/>
      <c r="J33" s="214"/>
      <c r="K33" s="214"/>
      <c r="L33" s="214"/>
      <c r="M33" s="214"/>
      <c r="N33" s="214"/>
      <c r="O33" s="214"/>
      <c r="P33" s="214"/>
      <c r="Q33" s="214"/>
      <c r="R33" s="214"/>
      <c r="S33" s="214"/>
      <c r="T33" s="191"/>
    </row>
    <row r="34" spans="1:20" x14ac:dyDescent="0.35">
      <c r="A34" s="192"/>
      <c r="B34" s="211" t="s">
        <v>652</v>
      </c>
      <c r="C34" s="210" t="s">
        <v>1071</v>
      </c>
      <c r="D34" s="209"/>
      <c r="E34" s="209"/>
      <c r="F34" s="207"/>
      <c r="G34" s="189"/>
      <c r="H34" s="214"/>
      <c r="I34" s="214"/>
      <c r="J34" s="214"/>
      <c r="K34" s="214"/>
      <c r="L34" s="214"/>
      <c r="M34" s="214"/>
      <c r="N34" s="214"/>
      <c r="O34" s="214"/>
      <c r="P34" s="214"/>
      <c r="Q34" s="214"/>
      <c r="R34" s="214"/>
      <c r="S34" s="214"/>
      <c r="T34" s="191"/>
    </row>
    <row r="35" spans="1:20" ht="203" x14ac:dyDescent="0.35">
      <c r="A35" s="192"/>
      <c r="B35" s="201" t="s">
        <v>423</v>
      </c>
      <c r="C35" s="218" t="s">
        <v>549</v>
      </c>
      <c r="D35" s="217" t="s">
        <v>1082</v>
      </c>
      <c r="E35" s="216" t="s">
        <v>1074</v>
      </c>
      <c r="F35" s="215"/>
      <c r="G35" s="189"/>
      <c r="H35" s="214"/>
      <c r="I35" s="214"/>
      <c r="J35" s="214"/>
      <c r="K35" s="214"/>
      <c r="L35" s="214"/>
      <c r="M35" s="214"/>
      <c r="N35" s="214"/>
      <c r="O35" s="214"/>
      <c r="P35" s="214"/>
      <c r="Q35" s="214"/>
      <c r="R35" s="214"/>
      <c r="S35" s="214"/>
      <c r="T35" s="191"/>
    </row>
    <row r="36" spans="1:20" ht="15.5" x14ac:dyDescent="0.35">
      <c r="A36" s="192"/>
      <c r="B36" s="213" t="s">
        <v>785</v>
      </c>
      <c r="C36" s="453"/>
      <c r="D36" s="454"/>
      <c r="E36" s="454"/>
      <c r="F36" s="455"/>
      <c r="G36" s="189"/>
      <c r="H36" s="189"/>
      <c r="I36" s="189"/>
      <c r="J36" s="189"/>
      <c r="K36" s="189"/>
      <c r="L36" s="189"/>
      <c r="M36" s="189"/>
      <c r="N36" s="189"/>
      <c r="O36" s="189"/>
      <c r="P36" s="189"/>
      <c r="Q36" s="189"/>
      <c r="R36" s="189"/>
      <c r="S36" s="189"/>
      <c r="T36" s="189"/>
    </row>
    <row r="37" spans="1:20" x14ac:dyDescent="0.35">
      <c r="A37" s="192"/>
      <c r="B37" s="212" t="s">
        <v>545</v>
      </c>
      <c r="C37" s="456"/>
      <c r="D37" s="457"/>
      <c r="E37" s="457"/>
      <c r="F37" s="458"/>
      <c r="G37" s="189"/>
      <c r="H37" s="189"/>
      <c r="I37" s="189"/>
      <c r="J37" s="189"/>
      <c r="K37" s="189"/>
      <c r="L37" s="189"/>
      <c r="M37" s="189"/>
      <c r="N37" s="189"/>
      <c r="O37" s="189"/>
      <c r="P37" s="189"/>
      <c r="Q37" s="189"/>
      <c r="R37" s="189"/>
      <c r="S37" s="189"/>
      <c r="T37" s="189"/>
    </row>
    <row r="38" spans="1:20" x14ac:dyDescent="0.35">
      <c r="A38" s="192"/>
      <c r="B38" s="211" t="s">
        <v>786</v>
      </c>
      <c r="C38" s="210"/>
      <c r="D38" s="209"/>
      <c r="E38" s="208"/>
      <c r="F38" s="207"/>
      <c r="G38" s="189"/>
      <c r="H38" s="189"/>
      <c r="I38" s="189"/>
      <c r="J38" s="189"/>
      <c r="K38" s="189"/>
      <c r="L38" s="189"/>
      <c r="M38" s="189"/>
      <c r="N38" s="189"/>
      <c r="O38" s="189"/>
      <c r="P38" s="189"/>
      <c r="Q38" s="189"/>
      <c r="R38" s="189"/>
      <c r="S38" s="189"/>
      <c r="T38" s="189"/>
    </row>
    <row r="39" spans="1:20" ht="15" thickBot="1" x14ac:dyDescent="0.4">
      <c r="A39" s="192"/>
      <c r="B39" s="206"/>
      <c r="C39" s="205" t="s">
        <v>549</v>
      </c>
      <c r="D39" s="204"/>
      <c r="E39" s="203"/>
      <c r="F39" s="202"/>
      <c r="G39" s="189"/>
      <c r="H39" s="189"/>
      <c r="I39" s="189"/>
      <c r="J39" s="189"/>
      <c r="K39" s="189"/>
      <c r="L39" s="189"/>
      <c r="M39" s="189"/>
      <c r="N39" s="189"/>
      <c r="O39" s="189"/>
      <c r="P39" s="189"/>
      <c r="Q39" s="189"/>
      <c r="R39" s="189"/>
      <c r="S39" s="189"/>
      <c r="T39" s="189"/>
    </row>
    <row r="40" spans="1:20" ht="15" thickBot="1" x14ac:dyDescent="0.4">
      <c r="A40" s="192"/>
      <c r="B40" s="191"/>
      <c r="C40" s="189"/>
      <c r="D40" s="189"/>
      <c r="E40" s="190"/>
      <c r="F40" s="189"/>
      <c r="G40" s="189"/>
      <c r="H40" s="189"/>
      <c r="I40" s="189"/>
      <c r="J40" s="189"/>
      <c r="K40" s="189"/>
      <c r="L40" s="189"/>
      <c r="M40" s="189"/>
      <c r="N40" s="189"/>
      <c r="O40" s="189"/>
      <c r="P40" s="189"/>
      <c r="Q40" s="189"/>
      <c r="R40" s="189"/>
      <c r="S40" s="189"/>
      <c r="T40" s="189"/>
    </row>
    <row r="41" spans="1:20" ht="15" thickBot="1" x14ac:dyDescent="0.4">
      <c r="A41" s="192"/>
      <c r="B41" s="459" t="s">
        <v>579</v>
      </c>
      <c r="C41" s="460"/>
      <c r="D41" s="460"/>
      <c r="E41" s="460"/>
      <c r="F41" s="461"/>
      <c r="G41" s="189"/>
      <c r="H41" s="189"/>
      <c r="I41" s="189"/>
      <c r="J41" s="189"/>
      <c r="K41" s="189"/>
      <c r="L41" s="189"/>
      <c r="M41" s="189"/>
      <c r="N41" s="189"/>
      <c r="O41" s="189"/>
      <c r="P41" s="189"/>
      <c r="Q41" s="189"/>
      <c r="R41" s="189"/>
      <c r="S41" s="189"/>
      <c r="T41" s="189"/>
    </row>
    <row r="42" spans="1:20" x14ac:dyDescent="0.35">
      <c r="A42" s="192"/>
      <c r="B42" s="201" t="s">
        <v>423</v>
      </c>
      <c r="C42" s="462" t="str">
        <f>IF(AND(D62=0,D63=0,D64=0),"NA",IF(AND(D62&gt;0,D63=0),"NR",IF(D63&gt;0,"NOK","OK")))</f>
        <v>NR</v>
      </c>
      <c r="D42" s="462"/>
      <c r="E42" s="462"/>
      <c r="F42" s="463"/>
      <c r="G42" s="189"/>
      <c r="H42" s="189"/>
      <c r="I42" s="189"/>
      <c r="J42" s="189"/>
      <c r="K42" s="189"/>
      <c r="L42" s="189"/>
      <c r="M42" s="189"/>
      <c r="N42" s="189"/>
      <c r="O42" s="189"/>
      <c r="P42" s="189"/>
      <c r="Q42" s="189"/>
      <c r="R42" s="189"/>
      <c r="S42" s="189"/>
      <c r="T42" s="189"/>
    </row>
    <row r="43" spans="1:20" x14ac:dyDescent="0.35">
      <c r="A43" s="192"/>
      <c r="B43" s="200"/>
      <c r="C43" s="443" t="str">
        <f>IF(AND(D65=0,D66=0,D67=0),"NA",IF(AND(D65&gt;0,D66=0),"NR",IF(D66&gt;0,"NOK","OK")))</f>
        <v>NA</v>
      </c>
      <c r="D43" s="443"/>
      <c r="E43" s="443"/>
      <c r="F43" s="444"/>
      <c r="G43" s="189"/>
      <c r="H43" s="189"/>
      <c r="I43" s="189"/>
      <c r="J43" s="189"/>
      <c r="K43" s="189"/>
      <c r="L43" s="189"/>
      <c r="M43" s="189"/>
      <c r="N43" s="189"/>
      <c r="O43" s="189"/>
      <c r="P43" s="189"/>
      <c r="Q43" s="189"/>
      <c r="R43" s="189"/>
      <c r="S43" s="189"/>
      <c r="T43" s="189"/>
    </row>
    <row r="44" spans="1:20" x14ac:dyDescent="0.35">
      <c r="A44" s="192"/>
      <c r="B44" s="200"/>
      <c r="C44" s="443" t="str">
        <f>IF(AND(D68=0,D69=0,D70=0),"NA",IF(AND(D68&gt;0,D69=0),"NR",IF(D69&gt;0,"NOK","OK")))</f>
        <v>NA</v>
      </c>
      <c r="D44" s="443"/>
      <c r="E44" s="443"/>
      <c r="F44" s="444"/>
      <c r="G44" s="189"/>
      <c r="H44" s="189"/>
      <c r="I44" s="189"/>
      <c r="J44" s="189"/>
      <c r="K44" s="189"/>
      <c r="L44" s="189"/>
      <c r="M44" s="189"/>
      <c r="N44" s="189"/>
      <c r="O44" s="189"/>
      <c r="P44" s="189"/>
      <c r="Q44" s="189"/>
      <c r="R44" s="189"/>
      <c r="S44" s="189"/>
      <c r="T44" s="189"/>
    </row>
    <row r="45" spans="1:20" x14ac:dyDescent="0.35">
      <c r="A45" s="192"/>
      <c r="B45" s="200"/>
      <c r="C45" s="443" t="str">
        <f>IF(AND(D71=0,D72=0,D73=0),"NA",IF(AND(D71&gt;0,D72=0),"NR",IF(D72&gt;0,"NOK","OK")))</f>
        <v>NA</v>
      </c>
      <c r="D45" s="443"/>
      <c r="E45" s="443"/>
      <c r="F45" s="444"/>
      <c r="G45" s="189"/>
      <c r="H45" s="189"/>
      <c r="I45" s="189"/>
      <c r="J45" s="189"/>
      <c r="K45" s="189"/>
      <c r="L45" s="189"/>
      <c r="M45" s="189"/>
      <c r="N45" s="189"/>
      <c r="O45" s="189"/>
      <c r="P45" s="189"/>
      <c r="Q45" s="189"/>
      <c r="R45" s="189"/>
      <c r="S45" s="189"/>
      <c r="T45" s="189"/>
    </row>
    <row r="46" spans="1:20" x14ac:dyDescent="0.35">
      <c r="A46" s="192"/>
      <c r="B46" s="200"/>
      <c r="C46" s="443" t="str">
        <f>IF(AND(D74=0,D75=0,D76=0),"NA",IF(AND(D74&gt;0,D75=0),"NR",IF(D75&gt;0,"NOK","OK")))</f>
        <v>NA</v>
      </c>
      <c r="D46" s="443"/>
      <c r="E46" s="443"/>
      <c r="F46" s="444"/>
      <c r="G46" s="189"/>
      <c r="H46" s="189"/>
      <c r="I46" s="189"/>
      <c r="J46" s="189"/>
      <c r="K46" s="189"/>
      <c r="L46" s="189"/>
      <c r="M46" s="189"/>
      <c r="N46" s="189"/>
      <c r="O46" s="189"/>
      <c r="P46" s="189"/>
      <c r="Q46" s="189"/>
      <c r="R46" s="189"/>
      <c r="S46" s="189"/>
      <c r="T46" s="189"/>
    </row>
    <row r="47" spans="1:20" x14ac:dyDescent="0.35">
      <c r="A47" s="192"/>
      <c r="B47" s="200"/>
      <c r="C47" s="443" t="str">
        <f>IF(AND(D77=0,D78=0,D79=0),"NA",IF(AND(D77&gt;0,D78=0),"NR",IF(D78&gt;0,"NOK","OK")))</f>
        <v>NA</v>
      </c>
      <c r="D47" s="443"/>
      <c r="E47" s="443"/>
      <c r="F47" s="444"/>
      <c r="G47" s="189"/>
      <c r="H47" s="189"/>
      <c r="I47" s="189"/>
      <c r="J47" s="189"/>
      <c r="K47" s="189"/>
      <c r="L47" s="189"/>
      <c r="M47" s="189"/>
      <c r="N47" s="189"/>
      <c r="O47" s="189"/>
      <c r="P47" s="189"/>
      <c r="Q47" s="189"/>
      <c r="R47" s="189"/>
      <c r="S47" s="189"/>
      <c r="T47" s="189"/>
    </row>
    <row r="48" spans="1:20" x14ac:dyDescent="0.35">
      <c r="A48" s="192"/>
      <c r="B48" s="200"/>
      <c r="C48" s="443" t="str">
        <f>IF(AND(D80=0,D81=0,D82=0),"NA",IF(AND(D80&gt;0,D81=0),"NR",IF(D81&gt;0,"NOK","OK")))</f>
        <v>NA</v>
      </c>
      <c r="D48" s="443"/>
      <c r="E48" s="443"/>
      <c r="F48" s="444"/>
      <c r="G48" s="189"/>
      <c r="H48" s="189"/>
      <c r="I48" s="189"/>
      <c r="J48" s="189"/>
      <c r="K48" s="189"/>
      <c r="L48" s="189"/>
      <c r="M48" s="189"/>
      <c r="N48" s="189"/>
      <c r="O48" s="189"/>
      <c r="P48" s="189"/>
      <c r="Q48" s="189"/>
      <c r="R48" s="189"/>
      <c r="S48" s="189"/>
      <c r="T48" s="189"/>
    </row>
    <row r="49" spans="1:20" x14ac:dyDescent="0.35">
      <c r="A49" s="192"/>
      <c r="B49" s="200"/>
      <c r="C49" s="443" t="str">
        <f>IF(AND(D83=0,D84=0,D85=0),"NA",IF(AND(D83&gt;0,D84=0),"NR",IF(D84&gt;0,"NOK","OK")))</f>
        <v>NA</v>
      </c>
      <c r="D49" s="443"/>
      <c r="E49" s="443"/>
      <c r="F49" s="444"/>
      <c r="G49" s="189"/>
      <c r="H49" s="189"/>
      <c r="I49" s="189"/>
      <c r="J49" s="189"/>
      <c r="K49" s="189"/>
      <c r="L49" s="189"/>
      <c r="M49" s="189"/>
      <c r="N49" s="189"/>
      <c r="O49" s="189"/>
      <c r="P49" s="189"/>
      <c r="Q49" s="189"/>
      <c r="R49" s="189"/>
      <c r="S49" s="189"/>
      <c r="T49" s="189"/>
    </row>
    <row r="50" spans="1:20" x14ac:dyDescent="0.35">
      <c r="A50" s="192"/>
      <c r="B50" s="200"/>
      <c r="C50" s="443" t="str">
        <f>IF(AND(D86=0,D87=0,D88=0),"NA",IF(AND(D86&gt;0,D87=0),"NR",IF(D87&gt;0,"NOK","OK")))</f>
        <v>NA</v>
      </c>
      <c r="D50" s="443"/>
      <c r="E50" s="443"/>
      <c r="F50" s="444"/>
      <c r="G50" s="189"/>
      <c r="H50" s="189"/>
      <c r="I50" s="189"/>
      <c r="J50" s="189"/>
      <c r="K50" s="189"/>
      <c r="L50" s="189"/>
      <c r="M50" s="189"/>
      <c r="N50" s="189"/>
      <c r="O50" s="189"/>
      <c r="P50" s="189"/>
      <c r="Q50" s="189"/>
      <c r="R50" s="189"/>
      <c r="S50" s="189"/>
      <c r="T50" s="189"/>
    </row>
    <row r="51" spans="1:20" x14ac:dyDescent="0.35">
      <c r="A51" s="192"/>
      <c r="B51" s="200"/>
      <c r="C51" s="443" t="str">
        <f>IF(AND(D89=0,D90=0,D91=0),"NA",IF(AND(D89&gt;0,D90=0),"NR",IF(D90&gt;0,"NOK","OK")))</f>
        <v>NA</v>
      </c>
      <c r="D51" s="443"/>
      <c r="E51" s="443"/>
      <c r="F51" s="444"/>
      <c r="G51" s="189"/>
      <c r="H51" s="189"/>
      <c r="I51" s="189"/>
      <c r="J51" s="189"/>
      <c r="K51" s="189"/>
      <c r="L51" s="189"/>
      <c r="M51" s="189"/>
      <c r="N51" s="189"/>
      <c r="O51" s="189"/>
      <c r="P51" s="189"/>
      <c r="Q51" s="189"/>
      <c r="R51" s="189"/>
      <c r="S51" s="189"/>
      <c r="T51" s="189"/>
    </row>
    <row r="52" spans="1:20" x14ac:dyDescent="0.35">
      <c r="A52" s="192"/>
      <c r="B52" s="200"/>
      <c r="C52" s="443" t="str">
        <f>IF(AND(D92=0,D93=0,D94=0),"NA",IF(AND(D92&gt;0,D93=0),"NR",IF(D93&gt;0,"NOK","OK")))</f>
        <v>NA</v>
      </c>
      <c r="D52" s="443"/>
      <c r="E52" s="443"/>
      <c r="F52" s="444"/>
      <c r="G52" s="189"/>
      <c r="H52" s="189"/>
      <c r="I52" s="189"/>
      <c r="J52" s="189"/>
      <c r="K52" s="189"/>
      <c r="L52" s="189"/>
      <c r="M52" s="189"/>
      <c r="N52" s="189"/>
      <c r="O52" s="189"/>
      <c r="P52" s="189"/>
      <c r="Q52" s="189"/>
      <c r="R52" s="189"/>
      <c r="S52" s="189"/>
      <c r="T52" s="189"/>
    </row>
    <row r="53" spans="1:20" x14ac:dyDescent="0.35">
      <c r="A53" s="192"/>
      <c r="B53" s="200"/>
      <c r="C53" s="443" t="str">
        <f>IF(AND(D95=0,D96=0,D97=0),"NA",IF(AND(D95&gt;0,D96=0),"NR",IF(D96&gt;0,"NOK","OK")))</f>
        <v>NA</v>
      </c>
      <c r="D53" s="443"/>
      <c r="E53" s="443"/>
      <c r="F53" s="444"/>
      <c r="G53" s="189"/>
      <c r="H53" s="189"/>
      <c r="I53" s="189"/>
      <c r="J53" s="189"/>
      <c r="K53" s="189"/>
      <c r="L53" s="189"/>
      <c r="M53" s="189"/>
      <c r="N53" s="189"/>
      <c r="O53" s="189"/>
      <c r="P53" s="189"/>
      <c r="Q53" s="189"/>
      <c r="R53" s="189"/>
      <c r="S53" s="189"/>
      <c r="T53" s="189"/>
    </row>
    <row r="54" spans="1:20" ht="15" thickBot="1" x14ac:dyDescent="0.4">
      <c r="A54" s="192"/>
      <c r="B54" s="199"/>
      <c r="C54" s="445" t="str">
        <f>IF(AND(D98=0,D99=0,D100=0),"NA",IF(AND(D98&gt;0,D99=0),"NR",IF(D99&gt;0,"NOK","OK")))</f>
        <v>NA</v>
      </c>
      <c r="D54" s="445"/>
      <c r="E54" s="445"/>
      <c r="F54" s="446"/>
      <c r="G54" s="189"/>
      <c r="H54" s="189"/>
      <c r="I54" s="189"/>
      <c r="J54" s="189"/>
      <c r="K54" s="189"/>
      <c r="L54" s="189"/>
      <c r="M54" s="189"/>
      <c r="N54" s="189"/>
      <c r="O54" s="189"/>
      <c r="P54" s="189"/>
      <c r="Q54" s="189"/>
      <c r="R54" s="189"/>
      <c r="S54" s="189"/>
      <c r="T54" s="189"/>
    </row>
    <row r="55" spans="1:20" ht="15" thickBot="1" x14ac:dyDescent="0.4">
      <c r="A55" s="192"/>
      <c r="B55" s="198"/>
      <c r="C55" s="196"/>
      <c r="D55" s="196"/>
      <c r="E55" s="197"/>
      <c r="F55" s="196"/>
      <c r="G55" s="189"/>
      <c r="H55" s="189"/>
      <c r="I55" s="189"/>
      <c r="J55" s="189"/>
      <c r="K55" s="189"/>
      <c r="L55" s="189"/>
      <c r="M55" s="189"/>
      <c r="N55" s="189"/>
      <c r="O55" s="189"/>
      <c r="P55" s="189"/>
      <c r="Q55" s="189"/>
      <c r="R55" s="189"/>
      <c r="S55" s="189"/>
      <c r="T55" s="189"/>
    </row>
    <row r="56" spans="1:20" ht="15" thickBot="1" x14ac:dyDescent="0.4">
      <c r="A56" s="192"/>
      <c r="B56" s="447" t="s">
        <v>580</v>
      </c>
      <c r="C56" s="448"/>
      <c r="D56" s="448"/>
      <c r="E56" s="448"/>
      <c r="F56" s="449"/>
      <c r="G56" s="189"/>
      <c r="H56" s="189"/>
      <c r="I56" s="189"/>
      <c r="J56" s="189"/>
      <c r="K56" s="189"/>
      <c r="L56" s="189"/>
      <c r="M56" s="189"/>
      <c r="N56" s="189"/>
      <c r="O56" s="189"/>
      <c r="P56" s="189"/>
      <c r="Q56" s="189"/>
      <c r="R56" s="189"/>
      <c r="S56" s="189"/>
      <c r="T56" s="189"/>
    </row>
    <row r="57" spans="1:20" ht="31.5" thickBot="1" x14ac:dyDescent="0.4">
      <c r="A57" s="192"/>
      <c r="B57" s="195" t="s">
        <v>1084</v>
      </c>
      <c r="C57" s="194" t="str">
        <f>IF(AND(COUNTIF(C42:C53,"NOK")=0,COUNTIF(C42:C53,"OK")=0,COUNTIF(C42:C53,"NR")=0),"NA",IF(AND(COUNTIF(C42:C53,"NR")&gt;0,COUNTIF(C42:C53,"NOK")=0),"NR",IF(COUNTIF(C42:C53,"NOK")&gt;0,"NOK","OK")))</f>
        <v>NR</v>
      </c>
      <c r="D57" s="450" t="s">
        <v>57</v>
      </c>
      <c r="E57" s="451"/>
      <c r="F57" s="452"/>
      <c r="G57" s="189"/>
      <c r="H57" s="189"/>
      <c r="I57" s="189"/>
      <c r="J57" s="189"/>
      <c r="K57" s="189"/>
      <c r="L57" s="189"/>
      <c r="M57" s="189"/>
      <c r="N57" s="189"/>
      <c r="O57" s="189"/>
      <c r="P57" s="189"/>
      <c r="Q57" s="189"/>
      <c r="R57" s="189"/>
      <c r="S57" s="189"/>
      <c r="T57" s="189"/>
    </row>
    <row r="58" spans="1:20" x14ac:dyDescent="0.35">
      <c r="A58" s="192"/>
      <c r="B58" s="191"/>
      <c r="C58" s="189"/>
      <c r="D58" s="189"/>
      <c r="E58" s="190"/>
      <c r="F58" s="189"/>
      <c r="G58" s="189"/>
      <c r="H58" s="189"/>
      <c r="I58" s="189"/>
      <c r="J58" s="189"/>
      <c r="K58" s="189"/>
      <c r="L58" s="189"/>
      <c r="M58" s="189"/>
      <c r="N58" s="189"/>
      <c r="O58" s="189"/>
      <c r="P58" s="189"/>
      <c r="Q58" s="189"/>
      <c r="R58" s="189"/>
      <c r="S58" s="189"/>
      <c r="T58" s="189"/>
    </row>
    <row r="59" spans="1:20" x14ac:dyDescent="0.35">
      <c r="A59" s="192"/>
      <c r="B59" s="191"/>
      <c r="C59" s="189"/>
      <c r="D59" s="189"/>
      <c r="E59" s="190"/>
      <c r="F59" s="189"/>
      <c r="G59" s="189"/>
      <c r="H59" s="189"/>
      <c r="I59" s="189"/>
      <c r="J59" s="189"/>
      <c r="K59" s="189"/>
      <c r="L59" s="189"/>
      <c r="M59" s="189"/>
      <c r="N59" s="189"/>
      <c r="O59" s="189"/>
      <c r="P59" s="189"/>
      <c r="Q59" s="189"/>
      <c r="R59" s="189"/>
      <c r="S59" s="189"/>
      <c r="T59" s="189"/>
    </row>
    <row r="60" spans="1:20" x14ac:dyDescent="0.35">
      <c r="A60" s="192"/>
      <c r="B60" s="191"/>
      <c r="C60" s="189"/>
      <c r="D60" s="189"/>
      <c r="E60" s="190"/>
      <c r="F60" s="189"/>
      <c r="G60" s="189"/>
      <c r="H60" s="189"/>
      <c r="I60" s="189"/>
      <c r="J60" s="189"/>
      <c r="K60" s="189"/>
      <c r="L60" s="189"/>
      <c r="M60" s="189"/>
      <c r="N60" s="189"/>
      <c r="O60" s="189"/>
      <c r="P60" s="189"/>
      <c r="Q60" s="189"/>
      <c r="R60" s="189"/>
      <c r="S60" s="189"/>
      <c r="T60" s="189"/>
    </row>
    <row r="61" spans="1:20" x14ac:dyDescent="0.35">
      <c r="A61" s="192"/>
      <c r="B61" s="442" t="s">
        <v>582</v>
      </c>
      <c r="C61" s="442"/>
      <c r="D61" s="442"/>
      <c r="E61" s="189"/>
      <c r="F61" s="189"/>
      <c r="G61" s="189"/>
      <c r="H61" s="189"/>
      <c r="I61" s="189"/>
      <c r="J61" s="189"/>
      <c r="K61" s="189"/>
      <c r="L61" s="189"/>
      <c r="M61" s="189"/>
      <c r="N61" s="189"/>
      <c r="O61" s="189"/>
      <c r="P61" s="189"/>
      <c r="Q61" s="189"/>
      <c r="R61" s="189"/>
      <c r="S61" s="189"/>
      <c r="T61" s="189"/>
    </row>
    <row r="62" spans="1:20" x14ac:dyDescent="0.35">
      <c r="A62" s="192"/>
      <c r="B62" s="441" t="str">
        <f>B42</f>
        <v>REQ_SYS_Comm_107481</v>
      </c>
      <c r="C62" s="193" t="s">
        <v>549</v>
      </c>
      <c r="D62" s="193">
        <f>IF($B$62=0,0,COUNTIFS($B$8:$B$39,"*"&amp;$B$62&amp;"*",$C$8:$C$39,C62))</f>
        <v>16</v>
      </c>
      <c r="E62" s="189"/>
      <c r="F62" s="189"/>
      <c r="G62" s="189"/>
      <c r="H62" s="189"/>
      <c r="I62" s="189"/>
      <c r="J62" s="189"/>
      <c r="K62" s="189"/>
      <c r="L62" s="189"/>
      <c r="M62" s="189"/>
      <c r="N62" s="189"/>
      <c r="O62" s="189"/>
      <c r="P62" s="189"/>
      <c r="Q62" s="189"/>
      <c r="R62" s="189"/>
      <c r="S62" s="189"/>
      <c r="T62" s="189"/>
    </row>
    <row r="63" spans="1:20" x14ac:dyDescent="0.35">
      <c r="A63" s="192"/>
      <c r="B63" s="441"/>
      <c r="C63" s="193" t="s">
        <v>583</v>
      </c>
      <c r="D63" s="193">
        <f>IF($B$62=0,0,COUNTIFS($B$8:$B$39,"*"&amp;$B$62&amp;"*",$C$8:$C$39,C63))</f>
        <v>0</v>
      </c>
      <c r="E63" s="189"/>
      <c r="F63" s="189"/>
      <c r="G63" s="189"/>
      <c r="H63" s="189"/>
      <c r="I63" s="189"/>
      <c r="J63" s="189"/>
      <c r="K63" s="189"/>
      <c r="L63" s="189"/>
      <c r="M63" s="189"/>
      <c r="N63" s="189"/>
      <c r="O63" s="189"/>
      <c r="P63" s="189"/>
      <c r="Q63" s="189"/>
      <c r="R63" s="189"/>
      <c r="S63" s="189"/>
      <c r="T63" s="189"/>
    </row>
    <row r="64" spans="1:20" x14ac:dyDescent="0.35">
      <c r="A64" s="192"/>
      <c r="B64" s="441"/>
      <c r="C64" s="193" t="s">
        <v>584</v>
      </c>
      <c r="D64" s="193">
        <f>IF($B$62=0,0,COUNTIFS($B$8:$B$39,"*"&amp;$B$62&amp;"*",$C$8:$C$39,C64))</f>
        <v>0</v>
      </c>
      <c r="E64" s="189"/>
      <c r="F64" s="189"/>
      <c r="G64" s="189"/>
      <c r="H64" s="189"/>
      <c r="I64" s="189"/>
      <c r="J64" s="189"/>
      <c r="K64" s="189"/>
      <c r="L64" s="189"/>
      <c r="M64" s="189"/>
      <c r="N64" s="189"/>
      <c r="O64" s="189"/>
      <c r="P64" s="189"/>
      <c r="Q64" s="189"/>
      <c r="R64" s="189"/>
      <c r="S64" s="189"/>
      <c r="T64" s="189"/>
    </row>
    <row r="65" spans="1:20" x14ac:dyDescent="0.35">
      <c r="A65" s="192"/>
      <c r="B65" s="441">
        <f>B43</f>
        <v>0</v>
      </c>
      <c r="C65" s="193" t="s">
        <v>549</v>
      </c>
      <c r="D65" s="193">
        <f>IF($B$65=0,0,COUNTIFS($B$8:$B$39,"*"&amp;$B$65&amp;"*",$C$8:$C$39,C65))</f>
        <v>0</v>
      </c>
      <c r="E65" s="189"/>
      <c r="F65" s="189"/>
      <c r="G65" s="189"/>
      <c r="H65" s="189"/>
      <c r="I65" s="189"/>
      <c r="J65" s="189"/>
      <c r="K65" s="189"/>
      <c r="L65" s="189"/>
      <c r="M65" s="189"/>
      <c r="N65" s="189"/>
      <c r="O65" s="189"/>
      <c r="P65" s="189"/>
      <c r="Q65" s="189"/>
      <c r="R65" s="189"/>
      <c r="S65" s="189"/>
      <c r="T65" s="189"/>
    </row>
    <row r="66" spans="1:20" x14ac:dyDescent="0.35">
      <c r="A66" s="192"/>
      <c r="B66" s="441"/>
      <c r="C66" s="193" t="s">
        <v>583</v>
      </c>
      <c r="D66" s="193">
        <f>IF($B$65=0,0,COUNTIFS($B$8:$B$39,"*"&amp;$B$65&amp;"*",$C$8:$C$39,C66))</f>
        <v>0</v>
      </c>
      <c r="E66" s="189"/>
      <c r="F66" s="189"/>
      <c r="G66" s="189"/>
      <c r="H66" s="189"/>
      <c r="I66" s="189"/>
      <c r="J66" s="189"/>
      <c r="K66" s="189"/>
      <c r="L66" s="189"/>
      <c r="M66" s="189"/>
      <c r="N66" s="189"/>
      <c r="O66" s="189"/>
      <c r="P66" s="189"/>
      <c r="Q66" s="189"/>
      <c r="R66" s="189"/>
      <c r="S66" s="189"/>
      <c r="T66" s="189"/>
    </row>
    <row r="67" spans="1:20" x14ac:dyDescent="0.35">
      <c r="A67" s="192"/>
      <c r="B67" s="441"/>
      <c r="C67" s="193" t="s">
        <v>584</v>
      </c>
      <c r="D67" s="193">
        <f>IF($B$65=0,0,COUNTIFS($B$8:$B$39,"*"&amp;$B$65&amp;"*",$C$8:$C$39,C67))</f>
        <v>0</v>
      </c>
      <c r="E67" s="189"/>
      <c r="F67" s="189"/>
      <c r="G67" s="189"/>
      <c r="H67" s="189"/>
      <c r="I67" s="189"/>
      <c r="J67" s="189"/>
      <c r="K67" s="189"/>
      <c r="L67" s="189"/>
      <c r="M67" s="189"/>
      <c r="N67" s="189"/>
      <c r="O67" s="189"/>
      <c r="P67" s="189"/>
      <c r="Q67" s="189"/>
      <c r="R67" s="189"/>
      <c r="S67" s="189"/>
      <c r="T67" s="189"/>
    </row>
    <row r="68" spans="1:20" x14ac:dyDescent="0.35">
      <c r="A68" s="192"/>
      <c r="B68" s="441">
        <f>B44</f>
        <v>0</v>
      </c>
      <c r="C68" s="193" t="s">
        <v>549</v>
      </c>
      <c r="D68" s="193">
        <f>IF($B$68=0,0,COUNTIFS($B$8:$B$39,"*"&amp;$B$68&amp;"*",$C$8:$C$39,C68))</f>
        <v>0</v>
      </c>
      <c r="E68" s="189"/>
      <c r="F68" s="189"/>
      <c r="G68" s="189"/>
      <c r="H68" s="189"/>
      <c r="I68" s="189"/>
      <c r="J68" s="189"/>
      <c r="K68" s="189"/>
      <c r="L68" s="189"/>
      <c r="M68" s="189"/>
      <c r="N68" s="189"/>
      <c r="O68" s="189"/>
      <c r="P68" s="189"/>
      <c r="Q68" s="189"/>
      <c r="R68" s="189"/>
      <c r="S68" s="189"/>
      <c r="T68" s="189"/>
    </row>
    <row r="69" spans="1:20" x14ac:dyDescent="0.35">
      <c r="A69" s="192"/>
      <c r="B69" s="441"/>
      <c r="C69" s="193" t="s">
        <v>583</v>
      </c>
      <c r="D69" s="193">
        <f>IF($B$68=0,0,COUNTIFS($B$8:$B$39,"*"&amp;$B$68&amp;"*",$C$8:$C$39,C69))</f>
        <v>0</v>
      </c>
      <c r="E69" s="189"/>
      <c r="F69" s="189"/>
      <c r="G69" s="189"/>
      <c r="H69" s="189"/>
      <c r="I69" s="189"/>
      <c r="J69" s="189"/>
      <c r="K69" s="189"/>
      <c r="L69" s="189"/>
      <c r="M69" s="189"/>
      <c r="N69" s="189"/>
      <c r="O69" s="189"/>
      <c r="P69" s="189"/>
      <c r="Q69" s="189"/>
      <c r="R69" s="189"/>
      <c r="S69" s="189"/>
      <c r="T69" s="189"/>
    </row>
    <row r="70" spans="1:20" x14ac:dyDescent="0.35">
      <c r="A70" s="192"/>
      <c r="B70" s="441"/>
      <c r="C70" s="193" t="s">
        <v>584</v>
      </c>
      <c r="D70" s="193">
        <f>IF($B$68=0,0,COUNTIFS($B$8:$B$39,"*"&amp;$B$68&amp;"*",$C$8:$C$39,C70))</f>
        <v>0</v>
      </c>
      <c r="E70" s="189"/>
      <c r="F70" s="189"/>
      <c r="G70" s="189"/>
      <c r="H70" s="189"/>
      <c r="I70" s="189"/>
      <c r="J70" s="189"/>
      <c r="K70" s="189"/>
      <c r="L70" s="189"/>
      <c r="M70" s="189"/>
      <c r="N70" s="189"/>
      <c r="O70" s="189"/>
      <c r="P70" s="189"/>
      <c r="Q70" s="189"/>
      <c r="R70" s="189"/>
      <c r="S70" s="189"/>
      <c r="T70" s="189"/>
    </row>
    <row r="71" spans="1:20" x14ac:dyDescent="0.35">
      <c r="A71" s="192"/>
      <c r="B71" s="441">
        <f>B45</f>
        <v>0</v>
      </c>
      <c r="C71" s="193" t="s">
        <v>549</v>
      </c>
      <c r="D71" s="193">
        <f>IF($B$71=0,0,COUNTIFS($B$8:$B$39,"*"&amp;$B$71&amp;"*",$C$8:$C$39,C71))</f>
        <v>0</v>
      </c>
      <c r="E71" s="189"/>
      <c r="F71" s="189"/>
      <c r="G71" s="189"/>
      <c r="H71" s="189"/>
      <c r="I71" s="189"/>
      <c r="J71" s="189"/>
      <c r="K71" s="189"/>
      <c r="L71" s="189"/>
      <c r="M71" s="189"/>
      <c r="N71" s="189"/>
      <c r="O71" s="189"/>
      <c r="P71" s="189"/>
      <c r="Q71" s="189"/>
      <c r="R71" s="189"/>
      <c r="S71" s="189"/>
      <c r="T71" s="189"/>
    </row>
    <row r="72" spans="1:20" x14ac:dyDescent="0.35">
      <c r="A72" s="192"/>
      <c r="B72" s="441"/>
      <c r="C72" s="193" t="s">
        <v>583</v>
      </c>
      <c r="D72" s="193">
        <f>IF($B$71=0,0,COUNTIFS($B$8:$B$39,"*"&amp;$B$71&amp;"*",$C$8:$C$39,C72))</f>
        <v>0</v>
      </c>
      <c r="E72" s="189"/>
      <c r="F72" s="189"/>
      <c r="G72" s="189"/>
      <c r="H72" s="189"/>
      <c r="I72" s="189"/>
      <c r="J72" s="189"/>
      <c r="K72" s="189"/>
      <c r="L72" s="189"/>
      <c r="M72" s="189"/>
      <c r="N72" s="189"/>
      <c r="O72" s="189"/>
      <c r="P72" s="189"/>
      <c r="Q72" s="189"/>
      <c r="R72" s="189"/>
      <c r="S72" s="189"/>
      <c r="T72" s="189"/>
    </row>
    <row r="73" spans="1:20" x14ac:dyDescent="0.35">
      <c r="A73" s="192"/>
      <c r="B73" s="441"/>
      <c r="C73" s="193" t="s">
        <v>584</v>
      </c>
      <c r="D73" s="193">
        <f>IF($B$71=0,0,COUNTIFS($B$8:$B$39,"*"&amp;$B$71&amp;"*",$C$8:$C$39,C73))</f>
        <v>0</v>
      </c>
      <c r="E73" s="189"/>
      <c r="F73" s="189"/>
      <c r="G73" s="189"/>
      <c r="H73" s="189"/>
      <c r="I73" s="189"/>
      <c r="J73" s="189"/>
      <c r="K73" s="189"/>
      <c r="L73" s="189"/>
      <c r="M73" s="189"/>
      <c r="N73" s="189"/>
      <c r="O73" s="189"/>
      <c r="P73" s="189"/>
      <c r="Q73" s="189"/>
      <c r="R73" s="189"/>
      <c r="S73" s="189"/>
      <c r="T73" s="189"/>
    </row>
    <row r="74" spans="1:20" x14ac:dyDescent="0.35">
      <c r="A74" s="192"/>
      <c r="B74" s="441">
        <f>B46</f>
        <v>0</v>
      </c>
      <c r="C74" s="193" t="s">
        <v>549</v>
      </c>
      <c r="D74" s="193">
        <f>IF($B$74=0,0,COUNTIFS($B$8:$B$39,"*"&amp;$B$74&amp;"*",$C$8:$C$39,C74))</f>
        <v>0</v>
      </c>
      <c r="E74" s="189"/>
      <c r="F74" s="189"/>
      <c r="G74" s="189"/>
      <c r="H74" s="189"/>
      <c r="I74" s="189"/>
      <c r="J74" s="189"/>
      <c r="K74" s="189"/>
      <c r="L74" s="189"/>
      <c r="M74" s="189"/>
      <c r="N74" s="189"/>
      <c r="O74" s="189"/>
      <c r="P74" s="189"/>
      <c r="Q74" s="189"/>
      <c r="R74" s="189"/>
      <c r="S74" s="189"/>
      <c r="T74" s="189"/>
    </row>
    <row r="75" spans="1:20" x14ac:dyDescent="0.35">
      <c r="A75" s="192"/>
      <c r="B75" s="441"/>
      <c r="C75" s="193" t="s">
        <v>583</v>
      </c>
      <c r="D75" s="193">
        <f>IF($B$74=0,0,COUNTIFS($B$8:$B$39,"*"&amp;$B$74&amp;"*",$C$8:$C$39,C75))</f>
        <v>0</v>
      </c>
      <c r="E75" s="189"/>
      <c r="F75" s="189"/>
      <c r="G75" s="189"/>
      <c r="H75" s="189"/>
      <c r="I75" s="189"/>
      <c r="J75" s="189"/>
      <c r="K75" s="189"/>
      <c r="L75" s="189"/>
      <c r="M75" s="189"/>
      <c r="N75" s="189"/>
      <c r="O75" s="189"/>
      <c r="P75" s="189"/>
      <c r="Q75" s="189"/>
      <c r="R75" s="189"/>
      <c r="S75" s="189"/>
      <c r="T75" s="189"/>
    </row>
    <row r="76" spans="1:20" x14ac:dyDescent="0.35">
      <c r="A76" s="192"/>
      <c r="B76" s="441"/>
      <c r="C76" s="193" t="s">
        <v>584</v>
      </c>
      <c r="D76" s="193">
        <f>IF($B$74=0,0,COUNTIFS($B$8:$B$39,"*"&amp;$B$74&amp;"*",$C$8:$C$39,C76))</f>
        <v>0</v>
      </c>
      <c r="E76" s="189"/>
      <c r="F76" s="189"/>
      <c r="G76" s="189"/>
      <c r="H76" s="189"/>
      <c r="I76" s="189"/>
      <c r="J76" s="189"/>
      <c r="K76" s="189"/>
      <c r="L76" s="189"/>
      <c r="M76" s="189"/>
      <c r="N76" s="189"/>
      <c r="O76" s="189"/>
      <c r="P76" s="189"/>
      <c r="Q76" s="189"/>
      <c r="R76" s="189"/>
      <c r="S76" s="189"/>
      <c r="T76" s="189"/>
    </row>
    <row r="77" spans="1:20" x14ac:dyDescent="0.35">
      <c r="A77" s="192"/>
      <c r="B77" s="441">
        <f>B47</f>
        <v>0</v>
      </c>
      <c r="C77" s="193" t="s">
        <v>549</v>
      </c>
      <c r="D77" s="193">
        <f>IF($B$77=0,0,COUNTIFS($B$8:$B$39,"*"&amp;$B$77&amp;"*",$C$8:$C$39,C77))</f>
        <v>0</v>
      </c>
      <c r="E77" s="190"/>
      <c r="F77" s="189"/>
      <c r="G77" s="189"/>
      <c r="H77" s="189"/>
      <c r="I77" s="189"/>
      <c r="J77" s="189"/>
      <c r="K77" s="189"/>
      <c r="L77" s="189"/>
      <c r="M77" s="189"/>
      <c r="N77" s="189"/>
      <c r="O77" s="189"/>
      <c r="P77" s="189"/>
      <c r="Q77" s="189"/>
      <c r="R77" s="189"/>
      <c r="S77" s="189"/>
      <c r="T77" s="189"/>
    </row>
    <row r="78" spans="1:20" x14ac:dyDescent="0.35">
      <c r="A78" s="192"/>
      <c r="B78" s="441"/>
      <c r="C78" s="193" t="s">
        <v>583</v>
      </c>
      <c r="D78" s="193">
        <f>IF($B$77=0,0,COUNTIFS($B$8:$B$39,"*"&amp;$B$77&amp;"*",$C$8:$C$39,C78))</f>
        <v>0</v>
      </c>
      <c r="E78" s="190"/>
      <c r="F78" s="189"/>
      <c r="G78" s="189"/>
      <c r="H78" s="189"/>
      <c r="I78" s="189"/>
      <c r="J78" s="189"/>
      <c r="K78" s="189"/>
      <c r="L78" s="189"/>
      <c r="M78" s="189"/>
      <c r="N78" s="189"/>
      <c r="O78" s="189"/>
      <c r="P78" s="189"/>
      <c r="Q78" s="189"/>
      <c r="R78" s="189"/>
      <c r="S78" s="189"/>
      <c r="T78" s="189"/>
    </row>
    <row r="79" spans="1:20" x14ac:dyDescent="0.35">
      <c r="A79" s="192"/>
      <c r="B79" s="441"/>
      <c r="C79" s="193" t="s">
        <v>584</v>
      </c>
      <c r="D79" s="193">
        <f>IF($B$77=0,0,COUNTIFS($B$8:$B$39,"*"&amp;$B$77&amp;"*",$C$8:$C$39,C79))</f>
        <v>0</v>
      </c>
      <c r="E79" s="190"/>
      <c r="F79" s="189"/>
      <c r="G79" s="189"/>
      <c r="H79" s="189"/>
      <c r="I79" s="189"/>
      <c r="J79" s="189"/>
      <c r="K79" s="189"/>
      <c r="L79" s="189"/>
      <c r="M79" s="189"/>
      <c r="N79" s="189"/>
      <c r="O79" s="189"/>
      <c r="P79" s="189"/>
      <c r="Q79" s="189"/>
      <c r="R79" s="189"/>
      <c r="S79" s="189"/>
      <c r="T79" s="189"/>
    </row>
    <row r="80" spans="1:20" x14ac:dyDescent="0.35">
      <c r="A80" s="192"/>
      <c r="B80" s="441">
        <f>B48</f>
        <v>0</v>
      </c>
      <c r="C80" s="193" t="s">
        <v>549</v>
      </c>
      <c r="D80" s="193">
        <f>IF($B$80=0,0,COUNTIFS($B$8:$B$39,"*"&amp;$B$80&amp;"*",$C$8:$C$39,C80))</f>
        <v>0</v>
      </c>
      <c r="E80" s="190"/>
      <c r="F80" s="189"/>
      <c r="G80" s="189"/>
      <c r="H80" s="189"/>
      <c r="I80" s="189"/>
      <c r="J80" s="189"/>
      <c r="K80" s="189"/>
      <c r="L80" s="189"/>
      <c r="M80" s="189"/>
      <c r="N80" s="189"/>
      <c r="O80" s="189"/>
      <c r="P80" s="189"/>
      <c r="Q80" s="189"/>
      <c r="R80" s="189"/>
      <c r="S80" s="189"/>
      <c r="T80" s="189"/>
    </row>
    <row r="81" spans="1:20" x14ac:dyDescent="0.35">
      <c r="A81" s="192"/>
      <c r="B81" s="441"/>
      <c r="C81" s="193" t="s">
        <v>583</v>
      </c>
      <c r="D81" s="193">
        <f>IF($B$80=0,0,COUNTIFS($B$8:$B$39,"*"&amp;$B$80&amp;"*",$C$8:$C$39,C81))</f>
        <v>0</v>
      </c>
      <c r="E81" s="190"/>
      <c r="F81" s="189"/>
      <c r="G81" s="189"/>
      <c r="H81" s="189"/>
      <c r="I81" s="189"/>
      <c r="J81" s="189"/>
      <c r="K81" s="189"/>
      <c r="L81" s="189"/>
      <c r="M81" s="189"/>
      <c r="N81" s="189"/>
      <c r="O81" s="189"/>
      <c r="P81" s="189"/>
      <c r="Q81" s="189"/>
      <c r="R81" s="189"/>
      <c r="S81" s="189"/>
      <c r="T81" s="189"/>
    </row>
    <row r="82" spans="1:20" x14ac:dyDescent="0.35">
      <c r="A82" s="192"/>
      <c r="B82" s="441"/>
      <c r="C82" s="193" t="s">
        <v>584</v>
      </c>
      <c r="D82" s="193">
        <f>IF($B$80=0,0,COUNTIFS($B$8:$B$39,"*"&amp;$B$80&amp;"*",$C$8:$C$39,C82))</f>
        <v>0</v>
      </c>
      <c r="E82" s="190"/>
      <c r="F82" s="189"/>
      <c r="G82" s="189"/>
      <c r="H82" s="189"/>
      <c r="I82" s="189"/>
      <c r="J82" s="189"/>
      <c r="K82" s="189"/>
      <c r="L82" s="189"/>
      <c r="M82" s="189"/>
      <c r="N82" s="189"/>
      <c r="O82" s="189"/>
      <c r="P82" s="189"/>
      <c r="Q82" s="189"/>
      <c r="R82" s="189"/>
      <c r="S82" s="189"/>
      <c r="T82" s="189"/>
    </row>
    <row r="83" spans="1:20" x14ac:dyDescent="0.35">
      <c r="A83" s="192"/>
      <c r="B83" s="441">
        <f>B49</f>
        <v>0</v>
      </c>
      <c r="C83" s="193" t="s">
        <v>549</v>
      </c>
      <c r="D83" s="193">
        <f>IF($B$83=0,0,COUNTIFS($B$8:$B$39,"*"&amp;$B$83&amp;"*",$C$8:$C$39,C83))</f>
        <v>0</v>
      </c>
      <c r="E83" s="190"/>
      <c r="F83" s="189"/>
      <c r="G83" s="189"/>
      <c r="H83" s="189"/>
      <c r="I83" s="189"/>
      <c r="J83" s="189"/>
      <c r="K83" s="189"/>
      <c r="L83" s="189"/>
      <c r="M83" s="189"/>
      <c r="N83" s="189"/>
      <c r="O83" s="189"/>
      <c r="P83" s="189"/>
      <c r="Q83" s="189"/>
      <c r="R83" s="189"/>
      <c r="S83" s="189"/>
      <c r="T83" s="189"/>
    </row>
    <row r="84" spans="1:20" x14ac:dyDescent="0.35">
      <c r="A84" s="192"/>
      <c r="B84" s="441"/>
      <c r="C84" s="193" t="s">
        <v>583</v>
      </c>
      <c r="D84" s="193">
        <f>IF($B$83=0,0,COUNTIFS($B$8:$B$39,"*"&amp;$B$83&amp;"*",$C$8:$C$39,C84))</f>
        <v>0</v>
      </c>
      <c r="E84" s="190"/>
      <c r="F84" s="189"/>
      <c r="G84" s="189"/>
      <c r="H84" s="189"/>
      <c r="I84" s="189"/>
      <c r="J84" s="189"/>
      <c r="K84" s="189"/>
      <c r="L84" s="189"/>
      <c r="M84" s="189"/>
      <c r="N84" s="189"/>
      <c r="O84" s="189"/>
      <c r="P84" s="189"/>
      <c r="Q84" s="189"/>
      <c r="R84" s="189"/>
      <c r="S84" s="189"/>
      <c r="T84" s="189"/>
    </row>
    <row r="85" spans="1:20" x14ac:dyDescent="0.35">
      <c r="A85" s="192"/>
      <c r="B85" s="441"/>
      <c r="C85" s="193" t="s">
        <v>584</v>
      </c>
      <c r="D85" s="193">
        <f>IF($B$83=0,0,COUNTIFS($B$8:$B$39,"*"&amp;$B$83&amp;"*",$C$8:$C$39,C85))</f>
        <v>0</v>
      </c>
      <c r="E85" s="190"/>
      <c r="F85" s="189"/>
      <c r="G85" s="189"/>
      <c r="H85" s="189"/>
      <c r="I85" s="189"/>
      <c r="J85" s="189"/>
      <c r="K85" s="189"/>
      <c r="L85" s="189"/>
      <c r="M85" s="189"/>
      <c r="N85" s="189"/>
      <c r="O85" s="189"/>
      <c r="P85" s="189"/>
      <c r="Q85" s="189"/>
      <c r="R85" s="189"/>
      <c r="S85" s="189"/>
      <c r="T85" s="189"/>
    </row>
    <row r="86" spans="1:20" x14ac:dyDescent="0.35">
      <c r="A86" s="192"/>
      <c r="B86" s="441">
        <f>B50</f>
        <v>0</v>
      </c>
      <c r="C86" s="193" t="s">
        <v>549</v>
      </c>
      <c r="D86" s="193">
        <f>IF($B$86=0,0,COUNTIFS($B$8:$B$39,"*"&amp;$B$86&amp;"*",$C$8:$C$39,C86))</f>
        <v>0</v>
      </c>
      <c r="E86" s="190"/>
      <c r="F86" s="189"/>
      <c r="G86" s="189"/>
      <c r="H86" s="189"/>
      <c r="I86" s="189"/>
      <c r="J86" s="189"/>
      <c r="K86" s="189"/>
      <c r="L86" s="189"/>
      <c r="M86" s="189"/>
      <c r="N86" s="189"/>
      <c r="O86" s="189"/>
      <c r="P86" s="189"/>
      <c r="Q86" s="189"/>
      <c r="R86" s="189"/>
      <c r="S86" s="189"/>
      <c r="T86" s="189"/>
    </row>
    <row r="87" spans="1:20" x14ac:dyDescent="0.35">
      <c r="A87" s="192"/>
      <c r="B87" s="441"/>
      <c r="C87" s="193" t="s">
        <v>583</v>
      </c>
      <c r="D87" s="193">
        <f>IF($B$86=0,0,COUNTIFS($B$8:$B$39,"*"&amp;$B$86&amp;"*",$C$8:$C$39,C87))</f>
        <v>0</v>
      </c>
      <c r="E87" s="190"/>
      <c r="F87" s="189"/>
      <c r="G87" s="189"/>
      <c r="H87" s="189"/>
      <c r="I87" s="189"/>
      <c r="J87" s="189"/>
      <c r="K87" s="189"/>
      <c r="L87" s="189"/>
      <c r="M87" s="189"/>
      <c r="N87" s="189"/>
      <c r="O87" s="189"/>
      <c r="P87" s="189"/>
      <c r="Q87" s="189"/>
      <c r="R87" s="189"/>
      <c r="S87" s="189"/>
      <c r="T87" s="189"/>
    </row>
    <row r="88" spans="1:20" x14ac:dyDescent="0.35">
      <c r="A88" s="192"/>
      <c r="B88" s="441"/>
      <c r="C88" s="193" t="s">
        <v>584</v>
      </c>
      <c r="D88" s="193">
        <f>IF($B$86=0,0,COUNTIFS($B$8:$B$39,"*"&amp;$B$86&amp;"*",$C$8:$C$39,C88))</f>
        <v>0</v>
      </c>
      <c r="E88" s="190"/>
      <c r="F88" s="189"/>
      <c r="G88" s="189"/>
      <c r="H88" s="189"/>
      <c r="I88" s="189"/>
      <c r="J88" s="189"/>
      <c r="K88" s="189"/>
      <c r="L88" s="189"/>
      <c r="M88" s="189"/>
      <c r="N88" s="189"/>
      <c r="O88" s="189"/>
      <c r="P88" s="189"/>
      <c r="Q88" s="189"/>
      <c r="R88" s="189"/>
      <c r="S88" s="189"/>
      <c r="T88" s="189"/>
    </row>
    <row r="89" spans="1:20" x14ac:dyDescent="0.35">
      <c r="A89" s="192"/>
      <c r="B89" s="441">
        <f>B51</f>
        <v>0</v>
      </c>
      <c r="C89" s="193" t="s">
        <v>549</v>
      </c>
      <c r="D89" s="193">
        <f>IF($B$89=0,0,COUNTIFS($B$8:$B$39,"*"&amp;$B$89&amp;"*",$C$8:$C$39,C89))</f>
        <v>0</v>
      </c>
      <c r="E89" s="190"/>
      <c r="F89" s="189"/>
      <c r="G89" s="189"/>
      <c r="H89" s="189"/>
      <c r="I89" s="189"/>
      <c r="J89" s="189"/>
      <c r="K89" s="189"/>
      <c r="L89" s="189"/>
      <c r="M89" s="189"/>
      <c r="N89" s="189"/>
      <c r="O89" s="189"/>
      <c r="P89" s="189"/>
      <c r="Q89" s="189"/>
      <c r="R89" s="189"/>
      <c r="S89" s="189"/>
      <c r="T89" s="189"/>
    </row>
    <row r="90" spans="1:20" x14ac:dyDescent="0.35">
      <c r="A90" s="192"/>
      <c r="B90" s="441"/>
      <c r="C90" s="193" t="s">
        <v>583</v>
      </c>
      <c r="D90" s="193">
        <f>IF($B$89=0,0,COUNTIFS($B$8:$B$39,"*"&amp;$B$89&amp;"*",$C$8:$C$39,C90))</f>
        <v>0</v>
      </c>
      <c r="E90" s="190"/>
      <c r="F90" s="189"/>
      <c r="G90" s="189"/>
      <c r="H90" s="189"/>
      <c r="I90" s="189"/>
      <c r="J90" s="189"/>
      <c r="K90" s="189"/>
      <c r="L90" s="189"/>
      <c r="M90" s="189"/>
      <c r="N90" s="189"/>
      <c r="O90" s="189"/>
      <c r="P90" s="189"/>
      <c r="Q90" s="189"/>
      <c r="R90" s="189"/>
      <c r="S90" s="189"/>
      <c r="T90" s="189"/>
    </row>
    <row r="91" spans="1:20" x14ac:dyDescent="0.35">
      <c r="A91" s="192"/>
      <c r="B91" s="441"/>
      <c r="C91" s="193" t="s">
        <v>584</v>
      </c>
      <c r="D91" s="193">
        <f>IF($B$89=0,0,COUNTIFS($B$8:$B$39,"*"&amp;$B$89&amp;"*",$C$8:$C$39,C91))</f>
        <v>0</v>
      </c>
      <c r="E91" s="190"/>
      <c r="F91" s="189"/>
      <c r="G91" s="189"/>
      <c r="H91" s="189"/>
      <c r="I91" s="189"/>
      <c r="J91" s="189"/>
      <c r="K91" s="189"/>
      <c r="L91" s="189"/>
      <c r="M91" s="189"/>
      <c r="N91" s="189"/>
      <c r="O91" s="189"/>
      <c r="P91" s="189"/>
      <c r="Q91" s="189"/>
      <c r="R91" s="189"/>
      <c r="S91" s="189"/>
      <c r="T91" s="189"/>
    </row>
    <row r="92" spans="1:20" x14ac:dyDescent="0.35">
      <c r="A92" s="192"/>
      <c r="B92" s="441">
        <f>B52</f>
        <v>0</v>
      </c>
      <c r="C92" s="193" t="s">
        <v>549</v>
      </c>
      <c r="D92" s="193">
        <f>IF($B$92=0,0,COUNTIFS($B$8:$B$39,"*"&amp;$B$92&amp;"*",$C$8:$C$39,C92))</f>
        <v>0</v>
      </c>
      <c r="E92" s="190"/>
      <c r="F92" s="189"/>
      <c r="G92" s="189"/>
      <c r="H92" s="189"/>
      <c r="I92" s="189"/>
      <c r="J92" s="189"/>
      <c r="K92" s="189"/>
      <c r="L92" s="189"/>
      <c r="M92" s="189"/>
      <c r="N92" s="189"/>
      <c r="O92" s="189"/>
      <c r="P92" s="189"/>
      <c r="Q92" s="189"/>
      <c r="R92" s="189"/>
      <c r="S92" s="189"/>
      <c r="T92" s="189"/>
    </row>
    <row r="93" spans="1:20" x14ac:dyDescent="0.35">
      <c r="A93" s="192"/>
      <c r="B93" s="441"/>
      <c r="C93" s="193" t="s">
        <v>583</v>
      </c>
      <c r="D93" s="193">
        <f>IF($B$92=0,0,COUNTIFS($B$8:$B$39,"*"&amp;$B$92&amp;"*",$C$8:$C$39,C93))</f>
        <v>0</v>
      </c>
      <c r="E93" s="190"/>
      <c r="F93" s="189"/>
      <c r="G93" s="189"/>
      <c r="H93" s="189"/>
      <c r="I93" s="189"/>
      <c r="J93" s="189"/>
      <c r="K93" s="189"/>
      <c r="L93" s="189"/>
      <c r="M93" s="189"/>
      <c r="N93" s="189"/>
      <c r="O93" s="189"/>
      <c r="P93" s="189"/>
      <c r="Q93" s="189"/>
      <c r="R93" s="189"/>
      <c r="S93" s="189"/>
      <c r="T93" s="189"/>
    </row>
    <row r="94" spans="1:20" x14ac:dyDescent="0.35">
      <c r="A94" s="192"/>
      <c r="B94" s="441"/>
      <c r="C94" s="193" t="s">
        <v>584</v>
      </c>
      <c r="D94" s="193">
        <f>IF($B$92=0,0,COUNTIFS($B$8:$B$39,"*"&amp;$B$92&amp;"*",$C$8:$C$39,C94))</f>
        <v>0</v>
      </c>
      <c r="E94" s="190"/>
      <c r="F94" s="189"/>
      <c r="G94" s="189"/>
      <c r="H94" s="189"/>
      <c r="I94" s="189"/>
      <c r="J94" s="189"/>
      <c r="K94" s="189"/>
      <c r="L94" s="189"/>
      <c r="M94" s="189"/>
      <c r="N94" s="189"/>
      <c r="O94" s="189"/>
      <c r="P94" s="189"/>
      <c r="Q94" s="189"/>
      <c r="R94" s="189"/>
      <c r="S94" s="189"/>
      <c r="T94" s="189"/>
    </row>
    <row r="95" spans="1:20" x14ac:dyDescent="0.35">
      <c r="A95" s="192"/>
      <c r="B95" s="441">
        <f>B53</f>
        <v>0</v>
      </c>
      <c r="C95" s="193" t="s">
        <v>549</v>
      </c>
      <c r="D95" s="193">
        <f>IF($B$95=0,0,COUNTIFS($B$8:$B$39,"*"&amp;$B$95&amp;"*",$C$8:$C$39,C95))</f>
        <v>0</v>
      </c>
      <c r="E95" s="190"/>
      <c r="F95" s="189"/>
      <c r="G95" s="189"/>
      <c r="H95" s="189"/>
      <c r="I95" s="189"/>
      <c r="J95" s="189"/>
      <c r="K95" s="189"/>
      <c r="L95" s="189"/>
      <c r="M95" s="189"/>
      <c r="N95" s="189"/>
      <c r="O95" s="189"/>
      <c r="P95" s="189"/>
      <c r="Q95" s="189"/>
      <c r="R95" s="189"/>
      <c r="S95" s="189"/>
      <c r="T95" s="189"/>
    </row>
    <row r="96" spans="1:20" x14ac:dyDescent="0.35">
      <c r="A96" s="192"/>
      <c r="B96" s="441"/>
      <c r="C96" s="193" t="s">
        <v>583</v>
      </c>
      <c r="D96" s="193">
        <f>IF($B$95=0,0,COUNTIFS($B$8:$B$39,"*"&amp;$B$95&amp;"*",$C$8:$C$39,C96))</f>
        <v>0</v>
      </c>
      <c r="E96" s="190"/>
      <c r="F96" s="189"/>
      <c r="G96" s="189"/>
      <c r="H96" s="189"/>
      <c r="I96" s="189"/>
      <c r="J96" s="189"/>
      <c r="K96" s="189"/>
      <c r="L96" s="189"/>
      <c r="M96" s="189"/>
      <c r="N96" s="189"/>
      <c r="O96" s="189"/>
      <c r="P96" s="189"/>
      <c r="Q96" s="189"/>
      <c r="R96" s="189"/>
      <c r="S96" s="189"/>
      <c r="T96" s="189"/>
    </row>
    <row r="97" spans="1:20" x14ac:dyDescent="0.35">
      <c r="A97" s="192"/>
      <c r="B97" s="441"/>
      <c r="C97" s="193" t="s">
        <v>584</v>
      </c>
      <c r="D97" s="193">
        <f>IF($B$95=0,0,COUNTIFS($B$8:$B$39,"*"&amp;$B$95&amp;"*",$C$8:$C$39,C97))</f>
        <v>0</v>
      </c>
      <c r="E97" s="190"/>
      <c r="F97" s="189"/>
      <c r="G97" s="189"/>
      <c r="H97" s="189"/>
      <c r="I97" s="189"/>
      <c r="J97" s="189"/>
      <c r="K97" s="189"/>
      <c r="L97" s="189"/>
      <c r="M97" s="189"/>
      <c r="N97" s="189"/>
      <c r="O97" s="189"/>
      <c r="P97" s="189"/>
      <c r="Q97" s="189"/>
      <c r="R97" s="189"/>
      <c r="S97" s="189"/>
      <c r="T97" s="189"/>
    </row>
    <row r="98" spans="1:20" x14ac:dyDescent="0.35">
      <c r="A98" s="192"/>
      <c r="B98" s="441">
        <f>B54</f>
        <v>0</v>
      </c>
      <c r="C98" s="193" t="s">
        <v>549</v>
      </c>
      <c r="D98" s="193">
        <f>IF($B$98=0,0,COUNTIFS($B$8:$B$39,"*"&amp;$B$98&amp;"*",$C$8:$C$39,C98))</f>
        <v>0</v>
      </c>
      <c r="E98" s="190"/>
      <c r="F98" s="189"/>
      <c r="G98" s="189"/>
      <c r="H98" s="189"/>
      <c r="I98" s="189"/>
      <c r="J98" s="189"/>
      <c r="K98" s="189"/>
      <c r="L98" s="189"/>
      <c r="M98" s="189"/>
      <c r="N98" s="189"/>
      <c r="O98" s="189"/>
      <c r="P98" s="189"/>
      <c r="Q98" s="189"/>
      <c r="R98" s="189"/>
      <c r="S98" s="189"/>
      <c r="T98" s="189"/>
    </row>
    <row r="99" spans="1:20" x14ac:dyDescent="0.35">
      <c r="A99" s="192"/>
      <c r="B99" s="441"/>
      <c r="C99" s="193" t="s">
        <v>583</v>
      </c>
      <c r="D99" s="193">
        <f>IF($B$98=0,0,COUNTIFS($B$8:$B$39,"*"&amp;$B$98&amp;"*",$C$8:$C$39,C99))</f>
        <v>0</v>
      </c>
      <c r="E99" s="190"/>
      <c r="F99" s="189"/>
      <c r="G99" s="189"/>
      <c r="H99" s="189"/>
      <c r="I99" s="189"/>
      <c r="J99" s="189"/>
      <c r="K99" s="189"/>
      <c r="L99" s="189"/>
      <c r="M99" s="189"/>
      <c r="N99" s="189"/>
      <c r="O99" s="189"/>
      <c r="P99" s="189"/>
      <c r="Q99" s="189"/>
      <c r="R99" s="189"/>
      <c r="S99" s="189"/>
      <c r="T99" s="189"/>
    </row>
    <row r="100" spans="1:20" x14ac:dyDescent="0.35">
      <c r="A100" s="192"/>
      <c r="B100" s="441"/>
      <c r="C100" s="193" t="s">
        <v>584</v>
      </c>
      <c r="D100" s="193">
        <f>IF($B$98=0,0,COUNTIFS($B$8:$B$39,"*"&amp;$B$98&amp;"*",$C$8:$C$39,C100))</f>
        <v>0</v>
      </c>
      <c r="E100" s="190"/>
      <c r="F100" s="189"/>
      <c r="G100" s="189"/>
      <c r="H100" s="189"/>
      <c r="I100" s="189"/>
      <c r="J100" s="189"/>
      <c r="K100" s="189"/>
      <c r="L100" s="189"/>
      <c r="M100" s="189"/>
      <c r="N100" s="189"/>
      <c r="O100" s="189"/>
      <c r="P100" s="189"/>
      <c r="Q100" s="189"/>
      <c r="R100" s="189"/>
      <c r="S100" s="189"/>
      <c r="T100" s="189"/>
    </row>
    <row r="101" spans="1:20" x14ac:dyDescent="0.35">
      <c r="A101" s="192"/>
      <c r="B101" s="191"/>
      <c r="C101" s="189"/>
      <c r="D101" s="189"/>
      <c r="E101" s="190"/>
      <c r="F101" s="189"/>
      <c r="G101" s="189"/>
      <c r="H101" s="189"/>
      <c r="I101" s="189"/>
      <c r="J101" s="189"/>
      <c r="K101" s="189"/>
      <c r="L101" s="189"/>
      <c r="M101" s="189"/>
      <c r="N101" s="189"/>
      <c r="O101" s="189"/>
      <c r="P101" s="189"/>
      <c r="Q101" s="189"/>
      <c r="R101" s="189"/>
      <c r="S101" s="189"/>
      <c r="T101" s="189"/>
    </row>
    <row r="102" spans="1:20" x14ac:dyDescent="0.35">
      <c r="A102" s="192"/>
      <c r="B102" s="191"/>
      <c r="C102" s="189"/>
      <c r="D102" s="189"/>
      <c r="E102" s="190"/>
      <c r="F102" s="189"/>
      <c r="G102" s="189"/>
      <c r="H102" s="189"/>
      <c r="I102" s="189"/>
      <c r="J102" s="189"/>
      <c r="K102" s="189"/>
      <c r="L102" s="189"/>
      <c r="M102" s="189"/>
      <c r="N102" s="189"/>
      <c r="O102" s="189"/>
      <c r="P102" s="189"/>
      <c r="Q102" s="189"/>
      <c r="R102" s="189"/>
      <c r="S102" s="189"/>
      <c r="T102" s="189"/>
    </row>
    <row r="103" spans="1:20" x14ac:dyDescent="0.35">
      <c r="A103" s="192"/>
      <c r="B103" s="191"/>
      <c r="C103" s="189"/>
      <c r="D103" s="189"/>
      <c r="E103" s="190"/>
      <c r="F103" s="189"/>
      <c r="G103" s="189"/>
      <c r="H103" s="189"/>
      <c r="I103" s="189"/>
      <c r="J103" s="189"/>
      <c r="K103" s="189"/>
      <c r="L103" s="189"/>
      <c r="M103" s="189"/>
      <c r="N103" s="189"/>
      <c r="O103" s="189"/>
      <c r="P103" s="189"/>
      <c r="Q103" s="189"/>
      <c r="R103" s="189"/>
      <c r="S103" s="189"/>
      <c r="T103" s="189"/>
    </row>
  </sheetData>
  <mergeCells count="42">
    <mergeCell ref="H1:S1"/>
    <mergeCell ref="C2:F2"/>
    <mergeCell ref="H2:S2"/>
    <mergeCell ref="H3:S19"/>
    <mergeCell ref="B4:F4"/>
    <mergeCell ref="C6:F6"/>
    <mergeCell ref="C7:F7"/>
    <mergeCell ref="C16:F16"/>
    <mergeCell ref="C17:F17"/>
    <mergeCell ref="B1:F1"/>
    <mergeCell ref="C50:F50"/>
    <mergeCell ref="C36:F36"/>
    <mergeCell ref="C37:F37"/>
    <mergeCell ref="B41:F41"/>
    <mergeCell ref="C42:F42"/>
    <mergeCell ref="C43:F43"/>
    <mergeCell ref="C44:F44"/>
    <mergeCell ref="C45:F45"/>
    <mergeCell ref="C46:F46"/>
    <mergeCell ref="C47:F47"/>
    <mergeCell ref="C48:F48"/>
    <mergeCell ref="C49:F49"/>
    <mergeCell ref="B61:D61"/>
    <mergeCell ref="B62:B64"/>
    <mergeCell ref="B65:B67"/>
    <mergeCell ref="B68:B70"/>
    <mergeCell ref="C51:F51"/>
    <mergeCell ref="C52:F52"/>
    <mergeCell ref="C53:F53"/>
    <mergeCell ref="C54:F54"/>
    <mergeCell ref="B56:F56"/>
    <mergeCell ref="D57:F57"/>
    <mergeCell ref="B98:B100"/>
    <mergeCell ref="B71:B73"/>
    <mergeCell ref="B74:B76"/>
    <mergeCell ref="B77:B79"/>
    <mergeCell ref="B80:B82"/>
    <mergeCell ref="B83:B85"/>
    <mergeCell ref="B86:B88"/>
    <mergeCell ref="B89:B91"/>
    <mergeCell ref="B92:B94"/>
    <mergeCell ref="B95:B97"/>
  </mergeCells>
  <conditionalFormatting sqref="B8 B10">
    <cfRule type="cellIs" dxfId="179" priority="64" operator="equal">
      <formula>"NR"</formula>
    </cfRule>
    <cfRule type="cellIs" dxfId="178" priority="65" operator="equal">
      <formula>"NOK"</formula>
    </cfRule>
    <cfRule type="cellIs" dxfId="177" priority="66" operator="equal">
      <formula>"OK"</formula>
    </cfRule>
  </conditionalFormatting>
  <conditionalFormatting sqref="B36">
    <cfRule type="cellIs" dxfId="176" priority="61" operator="equal">
      <formula>"NR"</formula>
    </cfRule>
    <cfRule type="cellIs" dxfId="175" priority="62" operator="equal">
      <formula>"NOK"</formula>
    </cfRule>
    <cfRule type="cellIs" dxfId="174" priority="63" operator="equal">
      <formula>"OK"</formula>
    </cfRule>
  </conditionalFormatting>
  <conditionalFormatting sqref="B2 B58:B60">
    <cfRule type="cellIs" dxfId="173" priority="79" operator="equal">
      <formula>"NR"</formula>
    </cfRule>
    <cfRule type="cellIs" dxfId="172" priority="80" operator="equal">
      <formula>"NOK"</formula>
    </cfRule>
    <cfRule type="cellIs" dxfId="171" priority="81" operator="equal">
      <formula>"OK"</formula>
    </cfRule>
  </conditionalFormatting>
  <conditionalFormatting sqref="B4">
    <cfRule type="cellIs" dxfId="170" priority="82" operator="equal">
      <formula>"NR"</formula>
    </cfRule>
    <cfRule type="cellIs" dxfId="169" priority="83" operator="equal">
      <formula>"NOK"</formula>
    </cfRule>
    <cfRule type="cellIs" dxfId="168" priority="84" operator="equal">
      <formula>"OK"</formula>
    </cfRule>
  </conditionalFormatting>
  <conditionalFormatting sqref="B3 B40 B5 B56 B101:B1048576">
    <cfRule type="cellIs" dxfId="167" priority="94" operator="equal">
      <formula>"NR"</formula>
    </cfRule>
    <cfRule type="cellIs" dxfId="166" priority="95" operator="equal">
      <formula>"NOK"</formula>
    </cfRule>
    <cfRule type="cellIs" dxfId="165" priority="96" operator="equal">
      <formula>"OK"</formula>
    </cfRule>
  </conditionalFormatting>
  <conditionalFormatting sqref="B1">
    <cfRule type="cellIs" dxfId="164" priority="91" operator="equal">
      <formula>"NR"</formula>
    </cfRule>
    <cfRule type="cellIs" dxfId="163" priority="92" operator="equal">
      <formula>"NOK"</formula>
    </cfRule>
    <cfRule type="cellIs" dxfId="162" priority="93" operator="equal">
      <formula>"OK"</formula>
    </cfRule>
  </conditionalFormatting>
  <conditionalFormatting sqref="B41">
    <cfRule type="cellIs" dxfId="161" priority="88" operator="equal">
      <formula>"NR"</formula>
    </cfRule>
    <cfRule type="cellIs" dxfId="160" priority="89" operator="equal">
      <formula>"NOK"</formula>
    </cfRule>
    <cfRule type="cellIs" dxfId="159" priority="90" operator="equal">
      <formula>"OK"</formula>
    </cfRule>
  </conditionalFormatting>
  <conditionalFormatting sqref="C42:C52 C55">
    <cfRule type="cellIs" dxfId="158" priority="85" operator="equal">
      <formula>"NR"</formula>
    </cfRule>
    <cfRule type="cellIs" dxfId="157" priority="86" operator="equal">
      <formula>"NOK"</formula>
    </cfRule>
    <cfRule type="cellIs" dxfId="156" priority="87" operator="equal">
      <formula>"OK"</formula>
    </cfRule>
  </conditionalFormatting>
  <conditionalFormatting sqref="B6:B7">
    <cfRule type="cellIs" dxfId="155" priority="76" operator="equal">
      <formula>"NR"</formula>
    </cfRule>
    <cfRule type="cellIs" dxfId="154" priority="77" operator="equal">
      <formula>"NOK"</formula>
    </cfRule>
    <cfRule type="cellIs" dxfId="153" priority="78" operator="equal">
      <formula>"OK"</formula>
    </cfRule>
  </conditionalFormatting>
  <conditionalFormatting sqref="C57">
    <cfRule type="cellIs" dxfId="152" priority="70" operator="equal">
      <formula>"NR"</formula>
    </cfRule>
    <cfRule type="cellIs" dxfId="151" priority="71" operator="equal">
      <formula>"NOK"</formula>
    </cfRule>
    <cfRule type="cellIs" dxfId="150" priority="72" operator="equal">
      <formula>"OK"</formula>
    </cfRule>
  </conditionalFormatting>
  <conditionalFormatting sqref="B57">
    <cfRule type="cellIs" dxfId="149" priority="73" operator="equal">
      <formula>"NR"</formula>
    </cfRule>
    <cfRule type="cellIs" dxfId="148" priority="74" operator="equal">
      <formula>"NOK"</formula>
    </cfRule>
    <cfRule type="cellIs" dxfId="147" priority="75" operator="equal">
      <formula>"OK"</formula>
    </cfRule>
  </conditionalFormatting>
  <conditionalFormatting sqref="B61:B62 B65 B68 B74 B80 B86 B92 B71 B77 B83 B89 B95">
    <cfRule type="cellIs" dxfId="146" priority="67" operator="equal">
      <formula>"NR"</formula>
    </cfRule>
    <cfRule type="cellIs" dxfId="145" priority="68" operator="equal">
      <formula>"NOK"</formula>
    </cfRule>
    <cfRule type="cellIs" dxfId="144" priority="69" operator="equal">
      <formula>"OK"</formula>
    </cfRule>
  </conditionalFormatting>
  <conditionalFormatting sqref="C39">
    <cfRule type="cellIs" dxfId="143" priority="58" operator="equal">
      <formula>"NR"</formula>
    </cfRule>
    <cfRule type="cellIs" dxfId="142" priority="59" operator="equal">
      <formula>"NOK"</formula>
    </cfRule>
    <cfRule type="cellIs" dxfId="141" priority="60" operator="equal">
      <formula>"OK"</formula>
    </cfRule>
  </conditionalFormatting>
  <conditionalFormatting sqref="C19 C29 C35 C21:C23 C25:C27 C31:C33">
    <cfRule type="cellIs" dxfId="140" priority="52" operator="equal">
      <formula>"NR"</formula>
    </cfRule>
    <cfRule type="cellIs" dxfId="139" priority="53" operator="equal">
      <formula>"NOK"</formula>
    </cfRule>
    <cfRule type="cellIs" dxfId="138" priority="54" operator="equal">
      <formula>"OK"</formula>
    </cfRule>
  </conditionalFormatting>
  <conditionalFormatting sqref="B16">
    <cfRule type="cellIs" dxfId="137" priority="55" operator="equal">
      <formula>"NR"</formula>
    </cfRule>
    <cfRule type="cellIs" dxfId="136" priority="56" operator="equal">
      <formula>"NOK"</formula>
    </cfRule>
    <cfRule type="cellIs" dxfId="135" priority="57" operator="equal">
      <formula>"OK"</formula>
    </cfRule>
  </conditionalFormatting>
  <conditionalFormatting sqref="C9">
    <cfRule type="cellIs" dxfId="134" priority="49" operator="equal">
      <formula>"NR"</formula>
    </cfRule>
    <cfRule type="cellIs" dxfId="133" priority="50" operator="equal">
      <formula>"NOK"</formula>
    </cfRule>
    <cfRule type="cellIs" dxfId="132" priority="51" operator="equal">
      <formula>"OK"</formula>
    </cfRule>
  </conditionalFormatting>
  <conditionalFormatting sqref="B18">
    <cfRule type="cellIs" dxfId="131" priority="43" operator="equal">
      <formula>"NR"</formula>
    </cfRule>
    <cfRule type="cellIs" dxfId="130" priority="44" operator="equal">
      <formula>"NOK"</formula>
    </cfRule>
    <cfRule type="cellIs" dxfId="129" priority="45" operator="equal">
      <formula>"OK"</formula>
    </cfRule>
  </conditionalFormatting>
  <conditionalFormatting sqref="B17">
    <cfRule type="cellIs" dxfId="128" priority="46" operator="equal">
      <formula>"NR"</formula>
    </cfRule>
    <cfRule type="cellIs" dxfId="127" priority="47" operator="equal">
      <formula>"NOK"</formula>
    </cfRule>
    <cfRule type="cellIs" dxfId="126" priority="48" operator="equal">
      <formula>"OK"</formula>
    </cfRule>
  </conditionalFormatting>
  <conditionalFormatting sqref="B38">
    <cfRule type="cellIs" dxfId="125" priority="37" operator="equal">
      <formula>"NR"</formula>
    </cfRule>
    <cfRule type="cellIs" dxfId="124" priority="38" operator="equal">
      <formula>"NOK"</formula>
    </cfRule>
    <cfRule type="cellIs" dxfId="123" priority="39" operator="equal">
      <formula>"OK"</formula>
    </cfRule>
  </conditionalFormatting>
  <conditionalFormatting sqref="B37">
    <cfRule type="cellIs" dxfId="122" priority="40" operator="equal">
      <formula>"NR"</formula>
    </cfRule>
    <cfRule type="cellIs" dxfId="121" priority="41" operator="equal">
      <formula>"NOK"</formula>
    </cfRule>
    <cfRule type="cellIs" dxfId="120" priority="42" operator="equal">
      <formula>"OK"</formula>
    </cfRule>
  </conditionalFormatting>
  <conditionalFormatting sqref="C54">
    <cfRule type="cellIs" dxfId="119" priority="34" operator="equal">
      <formula>"NR"</formula>
    </cfRule>
    <cfRule type="cellIs" dxfId="118" priority="35" operator="equal">
      <formula>"NOK"</formula>
    </cfRule>
    <cfRule type="cellIs" dxfId="117" priority="36" operator="equal">
      <formula>"OK"</formula>
    </cfRule>
  </conditionalFormatting>
  <conditionalFormatting sqref="C53">
    <cfRule type="cellIs" dxfId="116" priority="31" operator="equal">
      <formula>"NR"</formula>
    </cfRule>
    <cfRule type="cellIs" dxfId="115" priority="32" operator="equal">
      <formula>"NOK"</formula>
    </cfRule>
    <cfRule type="cellIs" dxfId="114" priority="33" operator="equal">
      <formula>"OK"</formula>
    </cfRule>
  </conditionalFormatting>
  <conditionalFormatting sqref="B98">
    <cfRule type="cellIs" dxfId="113" priority="28" operator="equal">
      <formula>"NR"</formula>
    </cfRule>
    <cfRule type="cellIs" dxfId="112" priority="29" operator="equal">
      <formula>"NOK"</formula>
    </cfRule>
    <cfRule type="cellIs" dxfId="111" priority="30" operator="equal">
      <formula>"OK"</formula>
    </cfRule>
  </conditionalFormatting>
  <conditionalFormatting sqref="C11">
    <cfRule type="cellIs" dxfId="110" priority="25" operator="equal">
      <formula>"NR"</formula>
    </cfRule>
    <cfRule type="cellIs" dxfId="109" priority="26" operator="equal">
      <formula>"NOK"</formula>
    </cfRule>
    <cfRule type="cellIs" dxfId="108" priority="27" operator="equal">
      <formula>"OK"</formula>
    </cfRule>
  </conditionalFormatting>
  <conditionalFormatting sqref="B12">
    <cfRule type="cellIs" dxfId="107" priority="22" operator="equal">
      <formula>"NR"</formula>
    </cfRule>
    <cfRule type="cellIs" dxfId="106" priority="23" operator="equal">
      <formula>"NOK"</formula>
    </cfRule>
    <cfRule type="cellIs" dxfId="105" priority="24" operator="equal">
      <formula>"OK"</formula>
    </cfRule>
  </conditionalFormatting>
  <conditionalFormatting sqref="C13 C15">
    <cfRule type="cellIs" dxfId="104" priority="19" operator="equal">
      <formula>"NR"</formula>
    </cfRule>
    <cfRule type="cellIs" dxfId="103" priority="20" operator="equal">
      <formula>"NOK"</formula>
    </cfRule>
    <cfRule type="cellIs" dxfId="102" priority="21" operator="equal">
      <formula>"OK"</formula>
    </cfRule>
  </conditionalFormatting>
  <conditionalFormatting sqref="B20">
    <cfRule type="cellIs" dxfId="101" priority="16" operator="equal">
      <formula>"NR"</formula>
    </cfRule>
    <cfRule type="cellIs" dxfId="100" priority="17" operator="equal">
      <formula>"NOK"</formula>
    </cfRule>
    <cfRule type="cellIs" dxfId="99" priority="18" operator="equal">
      <formula>"OK"</formula>
    </cfRule>
  </conditionalFormatting>
  <conditionalFormatting sqref="B24">
    <cfRule type="cellIs" dxfId="98" priority="13" operator="equal">
      <formula>"NR"</formula>
    </cfRule>
    <cfRule type="cellIs" dxfId="97" priority="14" operator="equal">
      <formula>"NOK"</formula>
    </cfRule>
    <cfRule type="cellIs" dxfId="96" priority="15" operator="equal">
      <formula>"OK"</formula>
    </cfRule>
  </conditionalFormatting>
  <conditionalFormatting sqref="B28">
    <cfRule type="cellIs" dxfId="95" priority="10" operator="equal">
      <formula>"NR"</formula>
    </cfRule>
    <cfRule type="cellIs" dxfId="94" priority="11" operator="equal">
      <formula>"NOK"</formula>
    </cfRule>
    <cfRule type="cellIs" dxfId="93" priority="12" operator="equal">
      <formula>"OK"</formula>
    </cfRule>
  </conditionalFormatting>
  <conditionalFormatting sqref="B30">
    <cfRule type="cellIs" dxfId="92" priority="7" operator="equal">
      <formula>"NR"</formula>
    </cfRule>
    <cfRule type="cellIs" dxfId="91" priority="8" operator="equal">
      <formula>"NOK"</formula>
    </cfRule>
    <cfRule type="cellIs" dxfId="90" priority="9" operator="equal">
      <formula>"OK"</formula>
    </cfRule>
  </conditionalFormatting>
  <conditionalFormatting sqref="B14">
    <cfRule type="cellIs" dxfId="89" priority="4" operator="equal">
      <formula>"NR"</formula>
    </cfRule>
    <cfRule type="cellIs" dxfId="88" priority="5" operator="equal">
      <formula>"NOK"</formula>
    </cfRule>
    <cfRule type="cellIs" dxfId="87" priority="6" operator="equal">
      <formula>"OK"</formula>
    </cfRule>
  </conditionalFormatting>
  <conditionalFormatting sqref="B34">
    <cfRule type="cellIs" dxfId="86" priority="1" operator="equal">
      <formula>"NR"</formula>
    </cfRule>
    <cfRule type="cellIs" dxfId="85" priority="2" operator="equal">
      <formula>"NOK"</formula>
    </cfRule>
    <cfRule type="cellIs" dxfId="84" priority="3" operator="equal">
      <formula>"OK"</formula>
    </cfRule>
  </conditionalFormatting>
  <dataValidations count="1">
    <dataValidation type="list" allowBlank="1" showInputMessage="1" showErrorMessage="1" errorTitle="Remplissage Obligatoire" error="OK -&gt; Criteria Validated_x000a_NOK -&gt; Criteria Not Validated_x000a_NR -&gt; Impossiblity to check the criteria_x000a_NA -&gt; Impossiblity to validate the criteria" prompt="NO EMPTY CELLS" sqref="C57 C9 C39 C42:C55 C15 C11 C19 C35 C21:C23 C29 C13 C25:C27 C31:C33" xr:uid="{DFA1DB49-6682-491C-B797-FF117B67D293}">
      <formula1>"OK,NOK,NR,NA"</formula1>
    </dataValidation>
  </dataValidations>
  <pageMargins left="0.7" right="0.7" top="0.75" bottom="0.75" header="0.3" footer="0.3"/>
  <pageSetup paperSize="9" orientation="portrait" verticalDpi="598" r:id="rId1"/>
  <headerFooter>
    <oddFooter>&amp;R&amp;1#&amp;"Arial"&amp;10&amp;K000000Confidential 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88598-7D0B-485F-B936-C8934AE9015A}">
  <sheetPr codeName="Feuil27"/>
  <dimension ref="A1:T96"/>
  <sheetViews>
    <sheetView zoomScale="70" zoomScaleNormal="70" workbookViewId="0">
      <selection activeCell="E10" sqref="E10"/>
    </sheetView>
  </sheetViews>
  <sheetFormatPr baseColWidth="10" defaultColWidth="9.1796875" defaultRowHeight="14.5" x14ac:dyDescent="0.35"/>
  <cols>
    <col min="1" max="1" width="6.81640625" style="121" customWidth="1"/>
    <col min="2" max="2" width="18.26953125" style="122" customWidth="1"/>
    <col min="3" max="3" width="63.7265625" style="84" customWidth="1"/>
    <col min="4" max="4" width="43.26953125" style="84" customWidth="1"/>
    <col min="5" max="5" width="99.26953125" style="123" customWidth="1"/>
    <col min="6" max="6" width="50.1796875" style="84" customWidth="1"/>
    <col min="7" max="7" width="3.54296875" style="84" customWidth="1"/>
    <col min="8" max="16384" width="9.1796875" style="84"/>
  </cols>
  <sheetData>
    <row r="1" spans="1:20" ht="15" thickBot="1" x14ac:dyDescent="0.4">
      <c r="A1" s="82"/>
      <c r="B1" s="394" t="s">
        <v>784</v>
      </c>
      <c r="C1" s="395"/>
      <c r="D1" s="395"/>
      <c r="E1" s="395"/>
      <c r="F1" s="396"/>
      <c r="G1" s="83"/>
      <c r="H1" s="394" t="s">
        <v>535</v>
      </c>
      <c r="I1" s="395"/>
      <c r="J1" s="395"/>
      <c r="K1" s="395"/>
      <c r="L1" s="395"/>
      <c r="M1" s="395"/>
      <c r="N1" s="395"/>
      <c r="O1" s="395"/>
      <c r="P1" s="395"/>
      <c r="Q1" s="395"/>
      <c r="R1" s="395"/>
      <c r="S1" s="396"/>
      <c r="T1" s="83"/>
    </row>
    <row r="2" spans="1:20" ht="24" customHeight="1" thickBot="1" x14ac:dyDescent="0.4">
      <c r="A2" s="82"/>
      <c r="B2" s="85" t="s">
        <v>536</v>
      </c>
      <c r="C2" s="402"/>
      <c r="D2" s="402"/>
      <c r="E2" s="402"/>
      <c r="F2" s="403"/>
      <c r="G2" s="83"/>
      <c r="H2" s="404" t="s">
        <v>537</v>
      </c>
      <c r="I2" s="405"/>
      <c r="J2" s="405"/>
      <c r="K2" s="405"/>
      <c r="L2" s="405"/>
      <c r="M2" s="405"/>
      <c r="N2" s="405"/>
      <c r="O2" s="405"/>
      <c r="P2" s="405"/>
      <c r="Q2" s="405"/>
      <c r="R2" s="405"/>
      <c r="S2" s="406"/>
      <c r="T2" s="83"/>
    </row>
    <row r="3" spans="1:20" ht="15" thickBot="1" x14ac:dyDescent="0.4">
      <c r="A3" s="82"/>
      <c r="B3" s="83"/>
      <c r="C3" s="83"/>
      <c r="D3" s="83"/>
      <c r="E3" s="86"/>
      <c r="F3" s="83"/>
      <c r="G3" s="83"/>
      <c r="H3" s="407"/>
      <c r="I3" s="408"/>
      <c r="J3" s="408"/>
      <c r="K3" s="408"/>
      <c r="L3" s="408"/>
      <c r="M3" s="408"/>
      <c r="N3" s="408"/>
      <c r="O3" s="408"/>
      <c r="P3" s="408"/>
      <c r="Q3" s="408"/>
      <c r="R3" s="408"/>
      <c r="S3" s="409"/>
      <c r="T3" s="83"/>
    </row>
    <row r="4" spans="1:20" x14ac:dyDescent="0.35">
      <c r="A4" s="87"/>
      <c r="B4" s="404" t="s">
        <v>538</v>
      </c>
      <c r="C4" s="405"/>
      <c r="D4" s="405"/>
      <c r="E4" s="405"/>
      <c r="F4" s="406"/>
      <c r="G4" s="88"/>
      <c r="H4" s="410"/>
      <c r="I4" s="411"/>
      <c r="J4" s="411"/>
      <c r="K4" s="411"/>
      <c r="L4" s="411"/>
      <c r="M4" s="411"/>
      <c r="N4" s="411"/>
      <c r="O4" s="411"/>
      <c r="P4" s="411"/>
      <c r="Q4" s="411"/>
      <c r="R4" s="411"/>
      <c r="S4" s="412"/>
      <c r="T4" s="83"/>
    </row>
    <row r="5" spans="1:20" ht="18" customHeight="1" x14ac:dyDescent="0.35">
      <c r="A5" s="87" t="str">
        <f>CONCATENATE(B5,C5)</f>
        <v>StepsActions</v>
      </c>
      <c r="B5" s="89" t="s">
        <v>539</v>
      </c>
      <c r="C5" s="90" t="s">
        <v>540</v>
      </c>
      <c r="D5" s="90" t="s">
        <v>541</v>
      </c>
      <c r="E5" s="90" t="s">
        <v>542</v>
      </c>
      <c r="F5" s="91" t="s">
        <v>57</v>
      </c>
      <c r="G5" s="83"/>
      <c r="H5" s="410"/>
      <c r="I5" s="411"/>
      <c r="J5" s="411"/>
      <c r="K5" s="411"/>
      <c r="L5" s="411"/>
      <c r="M5" s="411"/>
      <c r="N5" s="411"/>
      <c r="O5" s="411"/>
      <c r="P5" s="411"/>
      <c r="Q5" s="411"/>
      <c r="R5" s="411"/>
      <c r="S5" s="412"/>
      <c r="T5" s="83"/>
    </row>
    <row r="6" spans="1:20" s="94" customFormat="1" ht="15.5" x14ac:dyDescent="0.35">
      <c r="A6" s="87" t="str">
        <f>CONCATENATE(B6,C6)</f>
        <v>Part 1</v>
      </c>
      <c r="B6" s="92" t="s">
        <v>543</v>
      </c>
      <c r="C6" s="413"/>
      <c r="D6" s="414"/>
      <c r="E6" s="414"/>
      <c r="F6" s="415"/>
      <c r="G6" s="93"/>
      <c r="H6" s="410"/>
      <c r="I6" s="411"/>
      <c r="J6" s="411"/>
      <c r="K6" s="411"/>
      <c r="L6" s="411"/>
      <c r="M6" s="411"/>
      <c r="N6" s="411"/>
      <c r="O6" s="411"/>
      <c r="P6" s="411"/>
      <c r="Q6" s="411"/>
      <c r="R6" s="411"/>
      <c r="S6" s="412"/>
      <c r="T6" s="93"/>
    </row>
    <row r="7" spans="1:20" x14ac:dyDescent="0.35">
      <c r="A7" s="87" t="str">
        <f>CONCATENATE(B7,C7)</f>
        <v>Initial State</v>
      </c>
      <c r="B7" s="95" t="s">
        <v>545</v>
      </c>
      <c r="C7" s="416"/>
      <c r="D7" s="417"/>
      <c r="E7" s="417"/>
      <c r="F7" s="418"/>
      <c r="G7" s="83"/>
      <c r="H7" s="410"/>
      <c r="I7" s="411"/>
      <c r="J7" s="411"/>
      <c r="K7" s="411"/>
      <c r="L7" s="411"/>
      <c r="M7" s="411"/>
      <c r="N7" s="411"/>
      <c r="O7" s="411"/>
      <c r="P7" s="411"/>
      <c r="Q7" s="411"/>
      <c r="R7" s="411"/>
      <c r="S7" s="412"/>
      <c r="T7" s="83"/>
    </row>
    <row r="8" spans="1:20" x14ac:dyDescent="0.35">
      <c r="A8" s="87" t="str">
        <f>CONCATENATE(B8,C8)</f>
        <v>1.1</v>
      </c>
      <c r="B8" s="96" t="s">
        <v>122</v>
      </c>
      <c r="C8" s="97"/>
      <c r="D8" s="98"/>
      <c r="E8" s="99"/>
      <c r="F8" s="100"/>
      <c r="G8" s="83"/>
      <c r="H8" s="410"/>
      <c r="I8" s="411"/>
      <c r="J8" s="411"/>
      <c r="K8" s="411"/>
      <c r="L8" s="411"/>
      <c r="M8" s="411"/>
      <c r="N8" s="411"/>
      <c r="O8" s="411"/>
      <c r="P8" s="411"/>
      <c r="Q8" s="411"/>
      <c r="R8" s="411"/>
      <c r="S8" s="412"/>
      <c r="T8" s="83"/>
    </row>
    <row r="9" spans="1:20" x14ac:dyDescent="0.35">
      <c r="A9" s="87"/>
      <c r="B9" s="101"/>
      <c r="C9" s="129" t="s">
        <v>549</v>
      </c>
      <c r="D9" s="102"/>
      <c r="E9" s="103"/>
      <c r="F9" s="104"/>
      <c r="G9" s="83"/>
      <c r="H9" s="410"/>
      <c r="I9" s="411"/>
      <c r="J9" s="411"/>
      <c r="K9" s="411"/>
      <c r="L9" s="411"/>
      <c r="M9" s="411"/>
      <c r="N9" s="411"/>
      <c r="O9" s="411"/>
      <c r="P9" s="411"/>
      <c r="Q9" s="411"/>
      <c r="R9" s="411"/>
      <c r="S9" s="412"/>
      <c r="T9" s="83"/>
    </row>
    <row r="10" spans="1:20" x14ac:dyDescent="0.35">
      <c r="A10" s="87"/>
      <c r="B10" s="101"/>
      <c r="C10" s="129" t="s">
        <v>549</v>
      </c>
      <c r="D10" s="102"/>
      <c r="E10" s="103"/>
      <c r="F10" s="104"/>
      <c r="G10" s="83"/>
      <c r="H10" s="410"/>
      <c r="I10" s="411"/>
      <c r="J10" s="411"/>
      <c r="K10" s="411"/>
      <c r="L10" s="411"/>
      <c r="M10" s="411"/>
      <c r="N10" s="411"/>
      <c r="O10" s="411"/>
      <c r="P10" s="411"/>
      <c r="Q10" s="411"/>
      <c r="R10" s="411"/>
      <c r="S10" s="412"/>
      <c r="T10" s="83"/>
    </row>
    <row r="11" spans="1:20" x14ac:dyDescent="0.35">
      <c r="A11" s="87"/>
      <c r="B11" s="101"/>
      <c r="C11" s="129" t="s">
        <v>549</v>
      </c>
      <c r="D11" s="102"/>
      <c r="E11" s="103"/>
      <c r="F11" s="104"/>
      <c r="G11" s="83"/>
      <c r="H11" s="410"/>
      <c r="I11" s="411"/>
      <c r="J11" s="411"/>
      <c r="K11" s="411"/>
      <c r="L11" s="411"/>
      <c r="M11" s="411"/>
      <c r="N11" s="411"/>
      <c r="O11" s="411"/>
      <c r="P11" s="411"/>
      <c r="Q11" s="411"/>
      <c r="R11" s="411"/>
      <c r="S11" s="412"/>
      <c r="T11" s="83"/>
    </row>
    <row r="12" spans="1:20" x14ac:dyDescent="0.35">
      <c r="A12" s="87"/>
      <c r="B12" s="96" t="s">
        <v>552</v>
      </c>
      <c r="C12" s="97"/>
      <c r="D12" s="98"/>
      <c r="E12" s="98"/>
      <c r="F12" s="100"/>
      <c r="G12" s="83"/>
      <c r="H12" s="410"/>
      <c r="I12" s="411"/>
      <c r="J12" s="411"/>
      <c r="K12" s="411"/>
      <c r="L12" s="411"/>
      <c r="M12" s="411"/>
      <c r="N12" s="411"/>
      <c r="O12" s="411"/>
      <c r="P12" s="411"/>
      <c r="Q12" s="411"/>
      <c r="R12" s="411"/>
      <c r="S12" s="412"/>
      <c r="T12" s="83"/>
    </row>
    <row r="13" spans="1:20" x14ac:dyDescent="0.35">
      <c r="A13" s="87" t="str">
        <f>CONCATENATE(B16,C16)</f>
        <v>NR</v>
      </c>
      <c r="B13" s="101"/>
      <c r="C13" s="129" t="s">
        <v>549</v>
      </c>
      <c r="D13" s="102"/>
      <c r="E13" s="103"/>
      <c r="F13" s="104"/>
      <c r="G13" s="83"/>
      <c r="H13" s="410"/>
      <c r="I13" s="411"/>
      <c r="J13" s="411"/>
      <c r="K13" s="411"/>
      <c r="L13" s="411"/>
      <c r="M13" s="411"/>
      <c r="N13" s="411"/>
      <c r="O13" s="411"/>
      <c r="P13" s="411"/>
      <c r="Q13" s="411"/>
      <c r="R13" s="411"/>
      <c r="S13" s="412"/>
      <c r="T13" s="83"/>
    </row>
    <row r="14" spans="1:20" x14ac:dyDescent="0.35">
      <c r="A14" s="87"/>
      <c r="B14" s="101"/>
      <c r="C14" s="129" t="s">
        <v>549</v>
      </c>
      <c r="D14" s="102"/>
      <c r="E14" s="103"/>
      <c r="F14" s="104"/>
      <c r="G14" s="83"/>
      <c r="H14" s="410"/>
      <c r="I14" s="411"/>
      <c r="J14" s="411"/>
      <c r="K14" s="411"/>
      <c r="L14" s="411"/>
      <c r="M14" s="411"/>
      <c r="N14" s="411"/>
      <c r="O14" s="411"/>
      <c r="P14" s="411"/>
      <c r="Q14" s="411"/>
      <c r="R14" s="411"/>
      <c r="S14" s="412"/>
      <c r="T14" s="83"/>
    </row>
    <row r="15" spans="1:20" x14ac:dyDescent="0.35">
      <c r="A15" s="87" t="str">
        <f>CONCATENATE(B18,C18)</f>
        <v>NR</v>
      </c>
      <c r="B15" s="101"/>
      <c r="C15" s="129" t="s">
        <v>549</v>
      </c>
      <c r="D15" s="102"/>
      <c r="E15" s="103"/>
      <c r="F15" s="104"/>
      <c r="G15" s="83"/>
      <c r="H15" s="410"/>
      <c r="I15" s="411"/>
      <c r="J15" s="411"/>
      <c r="K15" s="411"/>
      <c r="L15" s="411"/>
      <c r="M15" s="411"/>
      <c r="N15" s="411"/>
      <c r="O15" s="411"/>
      <c r="P15" s="411"/>
      <c r="Q15" s="411"/>
      <c r="R15" s="411"/>
      <c r="S15" s="412"/>
      <c r="T15" s="83"/>
    </row>
    <row r="16" spans="1:20" x14ac:dyDescent="0.35">
      <c r="A16" s="87"/>
      <c r="B16" s="101"/>
      <c r="C16" s="129" t="s">
        <v>549</v>
      </c>
      <c r="D16" s="102"/>
      <c r="E16" s="103"/>
      <c r="F16" s="104"/>
      <c r="G16" s="83"/>
      <c r="H16" s="410"/>
      <c r="I16" s="411"/>
      <c r="J16" s="411"/>
      <c r="K16" s="411"/>
      <c r="L16" s="411"/>
      <c r="M16" s="411"/>
      <c r="N16" s="411"/>
      <c r="O16" s="411"/>
      <c r="P16" s="411"/>
      <c r="Q16" s="411"/>
      <c r="R16" s="411"/>
      <c r="S16" s="412"/>
      <c r="T16" s="83"/>
    </row>
    <row r="17" spans="1:20" x14ac:dyDescent="0.35">
      <c r="A17" s="87"/>
      <c r="B17" s="101"/>
      <c r="C17" s="129" t="s">
        <v>549</v>
      </c>
      <c r="D17" s="102"/>
      <c r="E17" s="103"/>
      <c r="F17" s="104"/>
      <c r="G17" s="83"/>
      <c r="H17" s="410"/>
      <c r="I17" s="411"/>
      <c r="J17" s="411"/>
      <c r="K17" s="411"/>
      <c r="L17" s="411"/>
      <c r="M17" s="411"/>
      <c r="N17" s="411"/>
      <c r="O17" s="411"/>
      <c r="P17" s="411"/>
      <c r="Q17" s="411"/>
      <c r="R17" s="411"/>
      <c r="S17" s="412"/>
      <c r="T17" s="83"/>
    </row>
    <row r="18" spans="1:20" x14ac:dyDescent="0.35">
      <c r="A18" s="87"/>
      <c r="B18" s="101"/>
      <c r="C18" s="129" t="s">
        <v>549</v>
      </c>
      <c r="D18" s="102"/>
      <c r="E18" s="103"/>
      <c r="F18" s="104"/>
      <c r="G18" s="83"/>
      <c r="H18" s="410"/>
      <c r="I18" s="411"/>
      <c r="J18" s="411"/>
      <c r="K18" s="411"/>
      <c r="L18" s="411"/>
      <c r="M18" s="411"/>
      <c r="N18" s="411"/>
      <c r="O18" s="411"/>
      <c r="P18" s="411"/>
      <c r="Q18" s="411"/>
      <c r="R18" s="411"/>
      <c r="S18" s="412"/>
      <c r="T18" s="83"/>
    </row>
    <row r="19" spans="1:20" x14ac:dyDescent="0.35">
      <c r="A19" s="87"/>
      <c r="B19" s="101"/>
      <c r="C19" s="129" t="s">
        <v>549</v>
      </c>
      <c r="D19" s="102"/>
      <c r="E19" s="103"/>
      <c r="F19" s="104"/>
      <c r="G19" s="83"/>
      <c r="H19" s="410"/>
      <c r="I19" s="411"/>
      <c r="J19" s="411"/>
      <c r="K19" s="411"/>
      <c r="L19" s="411"/>
      <c r="M19" s="411"/>
      <c r="N19" s="411"/>
      <c r="O19" s="411"/>
      <c r="P19" s="411"/>
      <c r="Q19" s="411"/>
      <c r="R19" s="411"/>
      <c r="S19" s="412"/>
      <c r="T19" s="83"/>
    </row>
    <row r="20" spans="1:20" x14ac:dyDescent="0.35">
      <c r="A20" s="87"/>
      <c r="B20" s="101"/>
      <c r="C20" s="129" t="s">
        <v>549</v>
      </c>
      <c r="D20" s="102"/>
      <c r="E20" s="103"/>
      <c r="F20" s="104"/>
      <c r="G20" s="83"/>
      <c r="H20" s="410"/>
      <c r="I20" s="411"/>
      <c r="J20" s="411"/>
      <c r="K20" s="411"/>
      <c r="L20" s="411"/>
      <c r="M20" s="411"/>
      <c r="N20" s="411"/>
      <c r="O20" s="411"/>
      <c r="P20" s="411"/>
      <c r="Q20" s="411"/>
      <c r="R20" s="411"/>
      <c r="S20" s="412"/>
      <c r="T20" s="83"/>
    </row>
    <row r="21" spans="1:20" x14ac:dyDescent="0.35">
      <c r="A21" s="87"/>
      <c r="B21" s="101"/>
      <c r="C21" s="129" t="s">
        <v>549</v>
      </c>
      <c r="D21" s="102"/>
      <c r="E21" s="103"/>
      <c r="F21" s="104"/>
      <c r="G21" s="83"/>
      <c r="H21" s="410"/>
      <c r="I21" s="411"/>
      <c r="J21" s="411"/>
      <c r="K21" s="411"/>
      <c r="L21" s="411"/>
      <c r="M21" s="411"/>
      <c r="N21" s="411"/>
      <c r="O21" s="411"/>
      <c r="P21" s="411"/>
      <c r="Q21" s="411"/>
      <c r="R21" s="411"/>
      <c r="S21" s="412"/>
      <c r="T21" s="83"/>
    </row>
    <row r="22" spans="1:20" x14ac:dyDescent="0.35">
      <c r="A22" s="87"/>
      <c r="B22" s="101"/>
      <c r="C22" s="129" t="s">
        <v>549</v>
      </c>
      <c r="D22" s="102"/>
      <c r="E22" s="103"/>
      <c r="F22" s="104"/>
      <c r="G22" s="83"/>
      <c r="H22" s="410"/>
      <c r="I22" s="411"/>
      <c r="J22" s="411"/>
      <c r="K22" s="411"/>
      <c r="L22" s="411"/>
      <c r="M22" s="411"/>
      <c r="N22" s="411"/>
      <c r="O22" s="411"/>
      <c r="P22" s="411"/>
      <c r="Q22" s="411"/>
      <c r="R22" s="411"/>
      <c r="S22" s="412"/>
      <c r="T22" s="83"/>
    </row>
    <row r="23" spans="1:20" x14ac:dyDescent="0.35">
      <c r="A23" s="87"/>
      <c r="B23" s="101"/>
      <c r="C23" s="129" t="s">
        <v>549</v>
      </c>
      <c r="D23" s="102"/>
      <c r="E23" s="103"/>
      <c r="F23" s="104"/>
      <c r="G23" s="83"/>
      <c r="H23" s="410"/>
      <c r="I23" s="411"/>
      <c r="J23" s="411"/>
      <c r="K23" s="411"/>
      <c r="L23" s="411"/>
      <c r="M23" s="411"/>
      <c r="N23" s="411"/>
      <c r="O23" s="411"/>
      <c r="P23" s="411"/>
      <c r="Q23" s="411"/>
      <c r="R23" s="411"/>
      <c r="S23" s="412"/>
      <c r="T23" s="83"/>
    </row>
    <row r="24" spans="1:20" x14ac:dyDescent="0.35">
      <c r="A24" s="87"/>
      <c r="B24" s="101"/>
      <c r="C24" s="129" t="s">
        <v>549</v>
      </c>
      <c r="D24" s="102"/>
      <c r="E24" s="103"/>
      <c r="F24" s="104"/>
      <c r="G24" s="83"/>
      <c r="H24" s="410"/>
      <c r="I24" s="411"/>
      <c r="J24" s="411"/>
      <c r="K24" s="411"/>
      <c r="L24" s="411"/>
      <c r="M24" s="411"/>
      <c r="N24" s="411"/>
      <c r="O24" s="411"/>
      <c r="P24" s="411"/>
      <c r="Q24" s="411"/>
      <c r="R24" s="411"/>
      <c r="S24" s="412"/>
      <c r="T24" s="83"/>
    </row>
    <row r="25" spans="1:20" ht="15.5" x14ac:dyDescent="0.35">
      <c r="A25" s="87"/>
      <c r="B25" s="92" t="s">
        <v>565</v>
      </c>
      <c r="C25" s="413"/>
      <c r="D25" s="414"/>
      <c r="E25" s="414"/>
      <c r="F25" s="415"/>
      <c r="G25" s="83"/>
      <c r="H25" s="410"/>
      <c r="I25" s="411"/>
      <c r="J25" s="411"/>
      <c r="K25" s="411"/>
      <c r="L25" s="411"/>
      <c r="M25" s="411"/>
      <c r="N25" s="411"/>
      <c r="O25" s="411"/>
      <c r="P25" s="411"/>
      <c r="Q25" s="411"/>
      <c r="R25" s="411"/>
      <c r="S25" s="412"/>
      <c r="T25" s="83"/>
    </row>
    <row r="26" spans="1:20" x14ac:dyDescent="0.35">
      <c r="A26" s="87"/>
      <c r="B26" s="95" t="s">
        <v>545</v>
      </c>
      <c r="C26" s="416"/>
      <c r="D26" s="417"/>
      <c r="E26" s="417"/>
      <c r="F26" s="418"/>
      <c r="G26" s="83"/>
      <c r="H26" s="410"/>
      <c r="I26" s="411"/>
      <c r="J26" s="411"/>
      <c r="K26" s="411"/>
      <c r="L26" s="411"/>
      <c r="M26" s="411"/>
      <c r="N26" s="411"/>
      <c r="O26" s="411"/>
      <c r="P26" s="411"/>
      <c r="Q26" s="411"/>
      <c r="R26" s="411"/>
      <c r="S26" s="412"/>
      <c r="T26" s="83"/>
    </row>
    <row r="27" spans="1:20" x14ac:dyDescent="0.35">
      <c r="A27" s="87"/>
      <c r="B27" s="96" t="s">
        <v>568</v>
      </c>
      <c r="C27" s="97"/>
      <c r="D27" s="98"/>
      <c r="E27" s="99"/>
      <c r="F27" s="100"/>
      <c r="G27" s="83"/>
      <c r="H27" s="410"/>
      <c r="I27" s="411"/>
      <c r="J27" s="411"/>
      <c r="K27" s="411"/>
      <c r="L27" s="411"/>
      <c r="M27" s="411"/>
      <c r="N27" s="411"/>
      <c r="O27" s="411"/>
      <c r="P27" s="411"/>
      <c r="Q27" s="411"/>
      <c r="R27" s="411"/>
      <c r="S27" s="412"/>
      <c r="T27" s="83"/>
    </row>
    <row r="28" spans="1:20" x14ac:dyDescent="0.35">
      <c r="A28" s="105"/>
      <c r="B28" s="101"/>
      <c r="C28" s="129" t="s">
        <v>549</v>
      </c>
      <c r="D28" s="102"/>
      <c r="E28" s="103"/>
      <c r="F28" s="104"/>
      <c r="G28" s="88"/>
      <c r="H28" s="410"/>
      <c r="I28" s="411"/>
      <c r="J28" s="411"/>
      <c r="K28" s="411"/>
      <c r="L28" s="411"/>
      <c r="M28" s="411"/>
      <c r="N28" s="411"/>
      <c r="O28" s="411"/>
      <c r="P28" s="411"/>
      <c r="Q28" s="411"/>
      <c r="R28" s="411"/>
      <c r="S28" s="412"/>
      <c r="T28" s="83"/>
    </row>
    <row r="29" spans="1:20" ht="15.5" x14ac:dyDescent="0.35">
      <c r="A29" s="105"/>
      <c r="B29" s="92" t="s">
        <v>785</v>
      </c>
      <c r="C29" s="413"/>
      <c r="D29" s="414"/>
      <c r="E29" s="414"/>
      <c r="F29" s="415"/>
      <c r="G29" s="88"/>
      <c r="H29" s="88"/>
      <c r="I29" s="88"/>
      <c r="J29" s="88"/>
      <c r="K29" s="88"/>
      <c r="L29" s="88"/>
      <c r="M29" s="88"/>
      <c r="N29" s="88"/>
      <c r="O29" s="88"/>
      <c r="P29" s="88"/>
      <c r="Q29" s="88"/>
      <c r="R29" s="88"/>
      <c r="S29" s="88"/>
      <c r="T29" s="88"/>
    </row>
    <row r="30" spans="1:20" x14ac:dyDescent="0.35">
      <c r="A30" s="105"/>
      <c r="B30" s="95" t="s">
        <v>545</v>
      </c>
      <c r="C30" s="416"/>
      <c r="D30" s="417"/>
      <c r="E30" s="417"/>
      <c r="F30" s="418"/>
      <c r="G30" s="88"/>
      <c r="H30" s="88"/>
      <c r="I30" s="88"/>
      <c r="J30" s="88"/>
      <c r="K30" s="88"/>
      <c r="L30" s="88"/>
      <c r="M30" s="88"/>
      <c r="N30" s="88"/>
      <c r="O30" s="88"/>
      <c r="P30" s="88"/>
      <c r="Q30" s="88"/>
      <c r="R30" s="88"/>
      <c r="S30" s="88"/>
      <c r="T30" s="88"/>
    </row>
    <row r="31" spans="1:20" x14ac:dyDescent="0.35">
      <c r="A31" s="105"/>
      <c r="B31" s="96" t="s">
        <v>786</v>
      </c>
      <c r="C31" s="97"/>
      <c r="D31" s="98"/>
      <c r="E31" s="99"/>
      <c r="F31" s="100"/>
      <c r="G31" s="88"/>
      <c r="H31" s="88"/>
      <c r="I31" s="88"/>
      <c r="J31" s="88"/>
      <c r="K31" s="88"/>
      <c r="L31" s="88"/>
      <c r="M31" s="88"/>
      <c r="N31" s="88"/>
      <c r="O31" s="88"/>
      <c r="P31" s="88"/>
      <c r="Q31" s="88"/>
      <c r="R31" s="88"/>
      <c r="S31" s="88"/>
      <c r="T31" s="88"/>
    </row>
    <row r="32" spans="1:20" ht="15" thickBot="1" x14ac:dyDescent="0.4">
      <c r="A32" s="105"/>
      <c r="B32" s="106"/>
      <c r="C32" s="107" t="s">
        <v>549</v>
      </c>
      <c r="D32" s="108"/>
      <c r="E32" s="109"/>
      <c r="F32" s="110"/>
      <c r="G32" s="88"/>
      <c r="H32" s="88"/>
      <c r="I32" s="88"/>
      <c r="J32" s="88"/>
      <c r="K32" s="88"/>
      <c r="L32" s="88"/>
      <c r="M32" s="88"/>
      <c r="N32" s="88"/>
      <c r="O32" s="88"/>
      <c r="P32" s="88"/>
      <c r="Q32" s="88"/>
      <c r="R32" s="88"/>
      <c r="S32" s="88"/>
      <c r="T32" s="88"/>
    </row>
    <row r="33" spans="1:20" ht="15" thickBot="1" x14ac:dyDescent="0.4">
      <c r="A33" s="105"/>
      <c r="B33" s="83"/>
      <c r="C33" s="88"/>
      <c r="D33" s="88"/>
      <c r="E33" s="111"/>
      <c r="F33" s="88"/>
      <c r="G33" s="88"/>
      <c r="H33" s="88"/>
      <c r="I33" s="88"/>
      <c r="J33" s="88"/>
      <c r="K33" s="88"/>
      <c r="L33" s="88"/>
      <c r="M33" s="88"/>
      <c r="N33" s="88"/>
      <c r="O33" s="88"/>
      <c r="P33" s="88"/>
      <c r="Q33" s="88"/>
      <c r="R33" s="88"/>
      <c r="S33" s="88"/>
      <c r="T33" s="88"/>
    </row>
    <row r="34" spans="1:20" ht="15" thickBot="1" x14ac:dyDescent="0.4">
      <c r="A34" s="105"/>
      <c r="B34" s="404" t="s">
        <v>579</v>
      </c>
      <c r="C34" s="405"/>
      <c r="D34" s="405"/>
      <c r="E34" s="405"/>
      <c r="F34" s="406"/>
      <c r="G34" s="88"/>
      <c r="H34" s="88"/>
      <c r="I34" s="88"/>
      <c r="J34" s="88"/>
      <c r="K34" s="88"/>
      <c r="L34" s="88"/>
      <c r="M34" s="88"/>
      <c r="N34" s="88"/>
      <c r="O34" s="88"/>
      <c r="P34" s="88"/>
      <c r="Q34" s="88"/>
      <c r="R34" s="88"/>
      <c r="S34" s="88"/>
      <c r="T34" s="88"/>
    </row>
    <row r="35" spans="1:20" x14ac:dyDescent="0.35">
      <c r="A35" s="105"/>
      <c r="B35" s="112"/>
      <c r="C35" s="419" t="str">
        <f>IF(AND(D55=0,D56=0,D57=0),"NA",IF(AND(D55&gt;0,D56=0),"NR",IF(D56&gt;0,"NOK","OK")))</f>
        <v>NA</v>
      </c>
      <c r="D35" s="419"/>
      <c r="E35" s="419"/>
      <c r="F35" s="420"/>
      <c r="G35" s="88"/>
      <c r="H35" s="88"/>
      <c r="I35" s="88"/>
      <c r="J35" s="88"/>
      <c r="K35" s="88"/>
      <c r="L35" s="88"/>
      <c r="M35" s="88"/>
      <c r="N35" s="88"/>
      <c r="O35" s="88"/>
      <c r="P35" s="88"/>
      <c r="Q35" s="88"/>
      <c r="R35" s="88"/>
      <c r="S35" s="88"/>
      <c r="T35" s="88"/>
    </row>
    <row r="36" spans="1:20" x14ac:dyDescent="0.35">
      <c r="A36" s="105"/>
      <c r="B36" s="113"/>
      <c r="C36" s="392" t="str">
        <f>IF(AND(D58=0,D59=0,D60=0),"NA",IF(AND(D58&gt;0,D59=0),"NR",IF(D59&gt;0,"NOK","OK")))</f>
        <v>NA</v>
      </c>
      <c r="D36" s="392"/>
      <c r="E36" s="392"/>
      <c r="F36" s="393"/>
      <c r="G36" s="88"/>
      <c r="H36" s="88"/>
      <c r="I36" s="88"/>
      <c r="J36" s="88"/>
      <c r="K36" s="88"/>
      <c r="L36" s="88"/>
      <c r="M36" s="88"/>
      <c r="N36" s="88"/>
      <c r="O36" s="88"/>
      <c r="P36" s="88"/>
      <c r="Q36" s="88"/>
      <c r="R36" s="88"/>
      <c r="S36" s="88"/>
      <c r="T36" s="88"/>
    </row>
    <row r="37" spans="1:20" x14ac:dyDescent="0.35">
      <c r="A37" s="105"/>
      <c r="B37" s="113"/>
      <c r="C37" s="392" t="str">
        <f>IF(AND(D61=0,D62=0,D63=0),"NA",IF(AND(D61&gt;0,D62=0),"NR",IF(D62&gt;0,"NOK","OK")))</f>
        <v>NA</v>
      </c>
      <c r="D37" s="392"/>
      <c r="E37" s="392"/>
      <c r="F37" s="393"/>
      <c r="G37" s="88"/>
      <c r="H37" s="88"/>
      <c r="I37" s="88"/>
      <c r="J37" s="88"/>
      <c r="K37" s="88"/>
      <c r="L37" s="88"/>
      <c r="M37" s="88"/>
      <c r="N37" s="88"/>
      <c r="O37" s="88"/>
      <c r="P37" s="88"/>
      <c r="Q37" s="88"/>
      <c r="R37" s="88"/>
      <c r="S37" s="88"/>
      <c r="T37" s="88"/>
    </row>
    <row r="38" spans="1:20" x14ac:dyDescent="0.35">
      <c r="A38" s="105"/>
      <c r="B38" s="113"/>
      <c r="C38" s="392" t="str">
        <f>IF(AND(D64=0,D65=0,D66=0),"NA",IF(AND(D64&gt;0,D65=0),"NR",IF(D65&gt;0,"NOK","OK")))</f>
        <v>NA</v>
      </c>
      <c r="D38" s="392"/>
      <c r="E38" s="392"/>
      <c r="F38" s="393"/>
      <c r="G38" s="88"/>
      <c r="H38" s="88"/>
      <c r="I38" s="88"/>
      <c r="J38" s="88"/>
      <c r="K38" s="88"/>
      <c r="L38" s="88"/>
      <c r="M38" s="88"/>
      <c r="N38" s="88"/>
      <c r="O38" s="88"/>
      <c r="P38" s="88"/>
      <c r="Q38" s="88"/>
      <c r="R38" s="88"/>
      <c r="S38" s="88"/>
      <c r="T38" s="88"/>
    </row>
    <row r="39" spans="1:20" x14ac:dyDescent="0.35">
      <c r="A39" s="105"/>
      <c r="B39" s="113"/>
      <c r="C39" s="392" t="str">
        <f>IF(AND(D67=0,D68=0,D69=0),"NA",IF(AND(D67&gt;0,D68=0),"NR",IF(D68&gt;0,"NOK","OK")))</f>
        <v>NA</v>
      </c>
      <c r="D39" s="392"/>
      <c r="E39" s="392"/>
      <c r="F39" s="393"/>
      <c r="G39" s="88"/>
      <c r="H39" s="88"/>
      <c r="I39" s="88"/>
      <c r="J39" s="88"/>
      <c r="K39" s="88"/>
      <c r="L39" s="88"/>
      <c r="M39" s="88"/>
      <c r="N39" s="88"/>
      <c r="O39" s="88"/>
      <c r="P39" s="88"/>
      <c r="Q39" s="88"/>
      <c r="R39" s="88"/>
      <c r="S39" s="88"/>
      <c r="T39" s="88"/>
    </row>
    <row r="40" spans="1:20" x14ac:dyDescent="0.35">
      <c r="A40" s="105"/>
      <c r="B40" s="113"/>
      <c r="C40" s="392" t="str">
        <f>IF(AND(D70=0,D71=0,D72=0),"NA",IF(AND(D70&gt;0,D71=0),"NR",IF(D71&gt;0,"NOK","OK")))</f>
        <v>NA</v>
      </c>
      <c r="D40" s="392"/>
      <c r="E40" s="392"/>
      <c r="F40" s="393"/>
      <c r="G40" s="88"/>
      <c r="H40" s="88"/>
      <c r="I40" s="88"/>
      <c r="J40" s="88"/>
      <c r="K40" s="88"/>
      <c r="L40" s="88"/>
      <c r="M40" s="88"/>
      <c r="N40" s="88"/>
      <c r="O40" s="88"/>
      <c r="P40" s="88"/>
      <c r="Q40" s="88"/>
      <c r="R40" s="88"/>
      <c r="S40" s="88"/>
      <c r="T40" s="88"/>
    </row>
    <row r="41" spans="1:20" x14ac:dyDescent="0.35">
      <c r="A41" s="105"/>
      <c r="B41" s="113"/>
      <c r="C41" s="392" t="str">
        <f>IF(AND(D73=0,D74=0,D75=0),"NA",IF(AND(D73&gt;0,D74=0),"NR",IF(D74&gt;0,"NOK","OK")))</f>
        <v>NA</v>
      </c>
      <c r="D41" s="392"/>
      <c r="E41" s="392"/>
      <c r="F41" s="393"/>
      <c r="G41" s="88"/>
      <c r="H41" s="88"/>
      <c r="I41" s="88"/>
      <c r="J41" s="88"/>
      <c r="K41" s="88"/>
      <c r="L41" s="88"/>
      <c r="M41" s="88"/>
      <c r="N41" s="88"/>
      <c r="O41" s="88"/>
      <c r="P41" s="88"/>
      <c r="Q41" s="88"/>
      <c r="R41" s="88"/>
      <c r="S41" s="88"/>
      <c r="T41" s="88"/>
    </row>
    <row r="42" spans="1:20" x14ac:dyDescent="0.35">
      <c r="A42" s="105"/>
      <c r="B42" s="113"/>
      <c r="C42" s="392" t="str">
        <f>IF(AND(D76=0,D77=0,D78=0),"NA",IF(AND(D76&gt;0,D77=0),"NR",IF(D77&gt;0,"NOK","OK")))</f>
        <v>NA</v>
      </c>
      <c r="D42" s="392"/>
      <c r="E42" s="392"/>
      <c r="F42" s="393"/>
      <c r="G42" s="88"/>
      <c r="H42" s="88"/>
      <c r="I42" s="88"/>
      <c r="J42" s="88"/>
      <c r="K42" s="88"/>
      <c r="L42" s="88"/>
      <c r="M42" s="88"/>
      <c r="N42" s="88"/>
      <c r="O42" s="88"/>
      <c r="P42" s="88"/>
      <c r="Q42" s="88"/>
      <c r="R42" s="88"/>
      <c r="S42" s="88"/>
      <c r="T42" s="88"/>
    </row>
    <row r="43" spans="1:20" x14ac:dyDescent="0.35">
      <c r="A43" s="105"/>
      <c r="B43" s="113"/>
      <c r="C43" s="392" t="str">
        <f>IF(AND(D79=0,D80=0,D81=0),"NA",IF(AND(D79&gt;0,D80=0),"NR",IF(D80&gt;0,"NOK","OK")))</f>
        <v>NA</v>
      </c>
      <c r="D43" s="392"/>
      <c r="E43" s="392"/>
      <c r="F43" s="393"/>
      <c r="G43" s="88"/>
      <c r="H43" s="88"/>
      <c r="I43" s="88"/>
      <c r="J43" s="88"/>
      <c r="K43" s="88"/>
      <c r="L43" s="88"/>
      <c r="M43" s="88"/>
      <c r="N43" s="88"/>
      <c r="O43" s="88"/>
      <c r="P43" s="88"/>
      <c r="Q43" s="88"/>
      <c r="R43" s="88"/>
      <c r="S43" s="88"/>
      <c r="T43" s="88"/>
    </row>
    <row r="44" spans="1:20" x14ac:dyDescent="0.35">
      <c r="A44" s="105"/>
      <c r="B44" s="113"/>
      <c r="C44" s="392" t="str">
        <f>IF(AND(D82=0,D83=0,D84=0),"NA",IF(AND(D82&gt;0,D83=0),"NR",IF(D83&gt;0,"NOK","OK")))</f>
        <v>NA</v>
      </c>
      <c r="D44" s="392"/>
      <c r="E44" s="392"/>
      <c r="F44" s="393"/>
      <c r="G44" s="88"/>
      <c r="H44" s="88"/>
      <c r="I44" s="88"/>
      <c r="J44" s="88"/>
      <c r="K44" s="88"/>
      <c r="L44" s="88"/>
      <c r="M44" s="88"/>
      <c r="N44" s="88"/>
      <c r="O44" s="88"/>
      <c r="P44" s="88"/>
      <c r="Q44" s="88"/>
      <c r="R44" s="88"/>
      <c r="S44" s="88"/>
      <c r="T44" s="88"/>
    </row>
    <row r="45" spans="1:20" x14ac:dyDescent="0.35">
      <c r="A45" s="105"/>
      <c r="B45" s="113"/>
      <c r="C45" s="392" t="str">
        <f>IF(AND(D85=0,D86=0,D87=0),"NA",IF(AND(D85&gt;0,D86=0),"NR",IF(D86&gt;0,"NOK","OK")))</f>
        <v>NA</v>
      </c>
      <c r="D45" s="392"/>
      <c r="E45" s="392"/>
      <c r="F45" s="393"/>
      <c r="G45" s="88"/>
      <c r="H45" s="88"/>
      <c r="I45" s="88"/>
      <c r="J45" s="88"/>
      <c r="K45" s="88"/>
      <c r="L45" s="88"/>
      <c r="M45" s="88"/>
      <c r="N45" s="88"/>
      <c r="O45" s="88"/>
      <c r="P45" s="88"/>
      <c r="Q45" s="88"/>
      <c r="R45" s="88"/>
      <c r="S45" s="88"/>
      <c r="T45" s="88"/>
    </row>
    <row r="46" spans="1:20" x14ac:dyDescent="0.35">
      <c r="A46" s="105"/>
      <c r="B46" s="113"/>
      <c r="C46" s="392" t="str">
        <f>IF(AND(D88=0,D89=0,D90=0),"NA",IF(AND(D88&gt;0,D89=0),"NR",IF(D89&gt;0,"NOK","OK")))</f>
        <v>NA</v>
      </c>
      <c r="D46" s="392"/>
      <c r="E46" s="392"/>
      <c r="F46" s="393"/>
      <c r="G46" s="88"/>
      <c r="H46" s="88"/>
      <c r="I46" s="88"/>
      <c r="J46" s="88"/>
      <c r="K46" s="88"/>
      <c r="L46" s="88"/>
      <c r="M46" s="88"/>
      <c r="N46" s="88"/>
      <c r="O46" s="88"/>
      <c r="P46" s="88"/>
      <c r="Q46" s="88"/>
      <c r="R46" s="88"/>
      <c r="S46" s="88"/>
      <c r="T46" s="88"/>
    </row>
    <row r="47" spans="1:20" ht="15" thickBot="1" x14ac:dyDescent="0.4">
      <c r="A47" s="105"/>
      <c r="B47" s="114"/>
      <c r="C47" s="400" t="str">
        <f>IF(AND(D91=0,D92=0,D93=0),"NA",IF(AND(D91&gt;0,D92=0),"NR",IF(D92&gt;0,"NOK","OK")))</f>
        <v>NA</v>
      </c>
      <c r="D47" s="400"/>
      <c r="E47" s="400"/>
      <c r="F47" s="401"/>
      <c r="G47" s="88"/>
      <c r="H47" s="88"/>
      <c r="I47" s="88"/>
      <c r="J47" s="88"/>
      <c r="K47" s="88"/>
      <c r="L47" s="88"/>
      <c r="M47" s="88"/>
      <c r="N47" s="88"/>
      <c r="O47" s="88"/>
      <c r="P47" s="88"/>
      <c r="Q47" s="88"/>
      <c r="R47" s="88"/>
      <c r="S47" s="88"/>
      <c r="T47" s="88"/>
    </row>
    <row r="48" spans="1:20" ht="15" thickBot="1" x14ac:dyDescent="0.4">
      <c r="A48" s="105"/>
      <c r="B48" s="115"/>
      <c r="C48" s="116"/>
      <c r="D48" s="116"/>
      <c r="E48" s="117"/>
      <c r="F48" s="116"/>
      <c r="G48" s="88"/>
      <c r="H48" s="88"/>
      <c r="I48" s="88"/>
      <c r="J48" s="88"/>
      <c r="K48" s="88"/>
      <c r="L48" s="88"/>
      <c r="M48" s="88"/>
      <c r="N48" s="88"/>
      <c r="O48" s="88"/>
      <c r="P48" s="88"/>
      <c r="Q48" s="88"/>
      <c r="R48" s="88"/>
      <c r="S48" s="88"/>
      <c r="T48" s="88"/>
    </row>
    <row r="49" spans="1:20" ht="15" thickBot="1" x14ac:dyDescent="0.4">
      <c r="A49" s="105"/>
      <c r="B49" s="394" t="s">
        <v>580</v>
      </c>
      <c r="C49" s="395"/>
      <c r="D49" s="395"/>
      <c r="E49" s="395"/>
      <c r="F49" s="396"/>
      <c r="G49" s="88"/>
      <c r="H49" s="88"/>
      <c r="I49" s="88"/>
      <c r="J49" s="88"/>
      <c r="K49" s="88"/>
      <c r="L49" s="88"/>
      <c r="M49" s="88"/>
      <c r="N49" s="88"/>
      <c r="O49" s="88"/>
      <c r="P49" s="88"/>
      <c r="Q49" s="88"/>
      <c r="R49" s="88"/>
      <c r="S49" s="88"/>
      <c r="T49" s="88"/>
    </row>
    <row r="50" spans="1:20" ht="31.5" thickBot="1" x14ac:dyDescent="0.4">
      <c r="A50" s="105"/>
      <c r="B50" s="118" t="s">
        <v>1085</v>
      </c>
      <c r="C50" s="119" t="str">
        <f>IF(AND(COUNTIF(C35:C46,"NOK")=0,COUNTIF(C35:C46,"OK")=0,COUNTIF(C35:C46,"NR")=0),"NA",IF(AND(COUNTIF(C35:C46,"NR")&gt;0,COUNTIF(C35:C46,"NOK")=0),"NR",IF(COUNTIF(C35:C46,"NOK")&gt;0,"NOK","OK")))</f>
        <v>NA</v>
      </c>
      <c r="D50" s="397" t="s">
        <v>57</v>
      </c>
      <c r="E50" s="398"/>
      <c r="F50" s="399"/>
      <c r="G50" s="88"/>
      <c r="H50" s="88"/>
      <c r="I50" s="88"/>
      <c r="J50" s="88"/>
      <c r="K50" s="88"/>
      <c r="L50" s="88"/>
      <c r="M50" s="88"/>
      <c r="N50" s="88"/>
      <c r="O50" s="88"/>
      <c r="P50" s="88"/>
      <c r="Q50" s="88"/>
      <c r="R50" s="88"/>
      <c r="S50" s="88"/>
      <c r="T50" s="88"/>
    </row>
    <row r="51" spans="1:20" x14ac:dyDescent="0.35">
      <c r="A51" s="105"/>
      <c r="B51" s="83"/>
      <c r="C51" s="88"/>
      <c r="D51" s="88"/>
      <c r="E51" s="111"/>
      <c r="F51" s="88"/>
      <c r="G51" s="88"/>
      <c r="H51" s="88"/>
      <c r="I51" s="88"/>
      <c r="J51" s="88"/>
      <c r="K51" s="88"/>
      <c r="L51" s="88"/>
      <c r="M51" s="88"/>
      <c r="N51" s="88"/>
      <c r="O51" s="88"/>
      <c r="P51" s="88"/>
      <c r="Q51" s="88"/>
      <c r="R51" s="88"/>
      <c r="S51" s="88"/>
      <c r="T51" s="88"/>
    </row>
    <row r="52" spans="1:20" x14ac:dyDescent="0.35">
      <c r="A52" s="105"/>
      <c r="B52" s="83"/>
      <c r="C52" s="88"/>
      <c r="D52" s="88"/>
      <c r="E52" s="111"/>
      <c r="F52" s="88"/>
      <c r="G52" s="88"/>
      <c r="H52" s="88"/>
      <c r="I52" s="88"/>
      <c r="J52" s="88"/>
      <c r="K52" s="88"/>
      <c r="L52" s="88"/>
      <c r="M52" s="88"/>
      <c r="N52" s="88"/>
      <c r="O52" s="88"/>
      <c r="P52" s="88"/>
      <c r="Q52" s="88"/>
      <c r="R52" s="88"/>
      <c r="S52" s="88"/>
      <c r="T52" s="88"/>
    </row>
    <row r="53" spans="1:20" x14ac:dyDescent="0.35">
      <c r="A53" s="105"/>
      <c r="B53" s="83"/>
      <c r="C53" s="88"/>
      <c r="D53" s="88"/>
      <c r="E53" s="111"/>
      <c r="F53" s="88"/>
      <c r="G53" s="88"/>
      <c r="H53" s="88"/>
      <c r="I53" s="88"/>
      <c r="J53" s="88"/>
      <c r="K53" s="88"/>
      <c r="L53" s="88"/>
      <c r="M53" s="88"/>
      <c r="N53" s="88"/>
      <c r="O53" s="88"/>
      <c r="P53" s="88"/>
      <c r="Q53" s="88"/>
      <c r="R53" s="88"/>
      <c r="S53" s="88"/>
      <c r="T53" s="88"/>
    </row>
    <row r="54" spans="1:20" x14ac:dyDescent="0.35">
      <c r="A54" s="105"/>
      <c r="B54" s="391" t="s">
        <v>582</v>
      </c>
      <c r="C54" s="391"/>
      <c r="D54" s="391"/>
      <c r="E54" s="88"/>
      <c r="F54" s="88"/>
      <c r="G54" s="88"/>
      <c r="H54" s="88"/>
      <c r="I54" s="88"/>
      <c r="J54" s="88"/>
      <c r="K54" s="88"/>
      <c r="L54" s="88"/>
      <c r="M54" s="88"/>
      <c r="N54" s="88"/>
      <c r="O54" s="88"/>
      <c r="P54" s="88"/>
      <c r="Q54" s="88"/>
      <c r="R54" s="88"/>
      <c r="S54" s="88"/>
      <c r="T54" s="88"/>
    </row>
    <row r="55" spans="1:20" x14ac:dyDescent="0.35">
      <c r="A55" s="105"/>
      <c r="B55" s="390">
        <f>B35</f>
        <v>0</v>
      </c>
      <c r="C55" s="120" t="s">
        <v>549</v>
      </c>
      <c r="D55" s="120">
        <f>IF($B$55=0,0,COUNTIFS($B$8:$B$32,"*"&amp;$B$55&amp;"*",$C$8:$C$32,C55))</f>
        <v>0</v>
      </c>
      <c r="E55" s="88"/>
      <c r="F55" s="88"/>
      <c r="G55" s="88"/>
      <c r="H55" s="88"/>
      <c r="I55" s="88"/>
      <c r="J55" s="88"/>
      <c r="K55" s="88"/>
      <c r="L55" s="88"/>
      <c r="M55" s="88"/>
      <c r="N55" s="88"/>
      <c r="O55" s="88"/>
      <c r="P55" s="88"/>
      <c r="Q55" s="88"/>
      <c r="R55" s="88"/>
      <c r="S55" s="88"/>
      <c r="T55" s="88"/>
    </row>
    <row r="56" spans="1:20" x14ac:dyDescent="0.35">
      <c r="A56" s="105"/>
      <c r="B56" s="390"/>
      <c r="C56" s="120" t="s">
        <v>583</v>
      </c>
      <c r="D56" s="120">
        <f>IF($B$55=0,0,COUNTIFS($B$8:$B$32,"*"&amp;$B$55&amp;"*",$C$8:$C$32,C56))</f>
        <v>0</v>
      </c>
      <c r="E56" s="88"/>
      <c r="F56" s="88"/>
      <c r="G56" s="88"/>
      <c r="H56" s="88"/>
      <c r="I56" s="88"/>
      <c r="J56" s="88"/>
      <c r="K56" s="88"/>
      <c r="L56" s="88"/>
      <c r="M56" s="88"/>
      <c r="N56" s="88"/>
      <c r="O56" s="88"/>
      <c r="P56" s="88"/>
      <c r="Q56" s="88"/>
      <c r="R56" s="88"/>
      <c r="S56" s="88"/>
      <c r="T56" s="88"/>
    </row>
    <row r="57" spans="1:20" x14ac:dyDescent="0.35">
      <c r="A57" s="105"/>
      <c r="B57" s="390"/>
      <c r="C57" s="120" t="s">
        <v>584</v>
      </c>
      <c r="D57" s="120">
        <f>IF($B$55=0,0,COUNTIFS($B$8:$B$32,"*"&amp;$B$55&amp;"*",$C$8:$C$32,C57))</f>
        <v>0</v>
      </c>
      <c r="E57" s="88"/>
      <c r="F57" s="88"/>
      <c r="G57" s="88"/>
      <c r="H57" s="88"/>
      <c r="I57" s="88"/>
      <c r="J57" s="88"/>
      <c r="K57" s="88"/>
      <c r="L57" s="88"/>
      <c r="M57" s="88"/>
      <c r="N57" s="88"/>
      <c r="O57" s="88"/>
      <c r="P57" s="88"/>
      <c r="Q57" s="88"/>
      <c r="R57" s="88"/>
      <c r="S57" s="88"/>
      <c r="T57" s="88"/>
    </row>
    <row r="58" spans="1:20" x14ac:dyDescent="0.35">
      <c r="A58" s="105"/>
      <c r="B58" s="390">
        <f>B36</f>
        <v>0</v>
      </c>
      <c r="C58" s="120" t="s">
        <v>549</v>
      </c>
      <c r="D58" s="120">
        <f>IF($B$58=0,0,COUNTIFS($B$8:$B$32,"*"&amp;$B$58&amp;"*",$C$8:$C$32,C58))</f>
        <v>0</v>
      </c>
      <c r="E58" s="88"/>
      <c r="F58" s="88"/>
      <c r="G58" s="88"/>
      <c r="H58" s="88"/>
      <c r="I58" s="88"/>
      <c r="J58" s="88"/>
      <c r="K58" s="88"/>
      <c r="L58" s="88"/>
      <c r="M58" s="88"/>
      <c r="N58" s="88"/>
      <c r="O58" s="88"/>
      <c r="P58" s="88"/>
      <c r="Q58" s="88"/>
      <c r="R58" s="88"/>
      <c r="S58" s="88"/>
      <c r="T58" s="88"/>
    </row>
    <row r="59" spans="1:20" x14ac:dyDescent="0.35">
      <c r="A59" s="105"/>
      <c r="B59" s="390"/>
      <c r="C59" s="120" t="s">
        <v>583</v>
      </c>
      <c r="D59" s="120">
        <f>IF($B$58=0,0,COUNTIFS($B$8:$B$32,"*"&amp;$B$58&amp;"*",$C$8:$C$32,C59))</f>
        <v>0</v>
      </c>
      <c r="E59" s="88"/>
      <c r="F59" s="88"/>
      <c r="G59" s="88"/>
      <c r="H59" s="88"/>
      <c r="I59" s="88"/>
      <c r="J59" s="88"/>
      <c r="K59" s="88"/>
      <c r="L59" s="88"/>
      <c r="M59" s="88"/>
      <c r="N59" s="88"/>
      <c r="O59" s="88"/>
      <c r="P59" s="88"/>
      <c r="Q59" s="88"/>
      <c r="R59" s="88"/>
      <c r="S59" s="88"/>
      <c r="T59" s="88"/>
    </row>
    <row r="60" spans="1:20" x14ac:dyDescent="0.35">
      <c r="A60" s="105"/>
      <c r="B60" s="390"/>
      <c r="C60" s="120" t="s">
        <v>584</v>
      </c>
      <c r="D60" s="120">
        <f>IF($B$58=0,0,COUNTIFS($B$8:$B$32,"*"&amp;$B$58&amp;"*",$C$8:$C$32,C60))</f>
        <v>0</v>
      </c>
      <c r="E60" s="88"/>
      <c r="F60" s="88"/>
      <c r="G60" s="88"/>
      <c r="H60" s="88"/>
      <c r="I60" s="88"/>
      <c r="J60" s="88"/>
      <c r="K60" s="88"/>
      <c r="L60" s="88"/>
      <c r="M60" s="88"/>
      <c r="N60" s="88"/>
      <c r="O60" s="88"/>
      <c r="P60" s="88"/>
      <c r="Q60" s="88"/>
      <c r="R60" s="88"/>
      <c r="S60" s="88"/>
      <c r="T60" s="88"/>
    </row>
    <row r="61" spans="1:20" x14ac:dyDescent="0.35">
      <c r="A61" s="105"/>
      <c r="B61" s="390">
        <f>B37</f>
        <v>0</v>
      </c>
      <c r="C61" s="120" t="s">
        <v>549</v>
      </c>
      <c r="D61" s="120">
        <f>IF($B$61=0,0,COUNTIFS($B$8:$B$32,"*"&amp;$B$61&amp;"*",$C$8:$C$32,C61))</f>
        <v>0</v>
      </c>
      <c r="E61" s="88"/>
      <c r="F61" s="88"/>
      <c r="G61" s="88"/>
      <c r="H61" s="88"/>
      <c r="I61" s="88"/>
      <c r="J61" s="88"/>
      <c r="K61" s="88"/>
      <c r="L61" s="88"/>
      <c r="M61" s="88"/>
      <c r="N61" s="88"/>
      <c r="O61" s="88"/>
      <c r="P61" s="88"/>
      <c r="Q61" s="88"/>
      <c r="R61" s="88"/>
      <c r="S61" s="88"/>
      <c r="T61" s="88"/>
    </row>
    <row r="62" spans="1:20" x14ac:dyDescent="0.35">
      <c r="A62" s="105"/>
      <c r="B62" s="390"/>
      <c r="C62" s="120" t="s">
        <v>583</v>
      </c>
      <c r="D62" s="120">
        <f>IF($B$61=0,0,COUNTIFS($B$8:$B$32,"*"&amp;$B$61&amp;"*",$C$8:$C$32,C62))</f>
        <v>0</v>
      </c>
      <c r="E62" s="88"/>
      <c r="F62" s="88"/>
      <c r="G62" s="88"/>
      <c r="H62" s="88"/>
      <c r="I62" s="88"/>
      <c r="J62" s="88"/>
      <c r="K62" s="88"/>
      <c r="L62" s="88"/>
      <c r="M62" s="88"/>
      <c r="N62" s="88"/>
      <c r="O62" s="88"/>
      <c r="P62" s="88"/>
      <c r="Q62" s="88"/>
      <c r="R62" s="88"/>
      <c r="S62" s="88"/>
      <c r="T62" s="88"/>
    </row>
    <row r="63" spans="1:20" x14ac:dyDescent="0.35">
      <c r="A63" s="105"/>
      <c r="B63" s="390"/>
      <c r="C63" s="120" t="s">
        <v>584</v>
      </c>
      <c r="D63" s="120">
        <f>IF($B$61=0,0,COUNTIFS($B$8:$B$32,"*"&amp;$B$61&amp;"*",$C$8:$C$32,C63))</f>
        <v>0</v>
      </c>
      <c r="E63" s="88"/>
      <c r="F63" s="88"/>
      <c r="G63" s="88"/>
      <c r="H63" s="88"/>
      <c r="I63" s="88"/>
      <c r="J63" s="88"/>
      <c r="K63" s="88"/>
      <c r="L63" s="88"/>
      <c r="M63" s="88"/>
      <c r="N63" s="88"/>
      <c r="O63" s="88"/>
      <c r="P63" s="88"/>
      <c r="Q63" s="88"/>
      <c r="R63" s="88"/>
      <c r="S63" s="88"/>
      <c r="T63" s="88"/>
    </row>
    <row r="64" spans="1:20" x14ac:dyDescent="0.35">
      <c r="A64" s="105"/>
      <c r="B64" s="390">
        <f>B38</f>
        <v>0</v>
      </c>
      <c r="C64" s="120" t="s">
        <v>549</v>
      </c>
      <c r="D64" s="120">
        <f>IF($B$64=0,0,COUNTIFS($B$8:$B$32,"*"&amp;$B$64&amp;"*",$C$8:$C$32,C64))</f>
        <v>0</v>
      </c>
      <c r="E64" s="88"/>
      <c r="F64" s="88"/>
      <c r="G64" s="88"/>
      <c r="H64" s="88"/>
      <c r="I64" s="88"/>
      <c r="J64" s="88"/>
      <c r="K64" s="88"/>
      <c r="L64" s="88"/>
      <c r="M64" s="88"/>
      <c r="N64" s="88"/>
      <c r="O64" s="88"/>
      <c r="P64" s="88"/>
      <c r="Q64" s="88"/>
      <c r="R64" s="88"/>
      <c r="S64" s="88"/>
      <c r="T64" s="88"/>
    </row>
    <row r="65" spans="1:20" x14ac:dyDescent="0.35">
      <c r="A65" s="105"/>
      <c r="B65" s="390"/>
      <c r="C65" s="120" t="s">
        <v>583</v>
      </c>
      <c r="D65" s="120">
        <f>IF($B$64=0,0,COUNTIFS($B$8:$B$32,"*"&amp;$B$64&amp;"*",$C$8:$C$32,C65))</f>
        <v>0</v>
      </c>
      <c r="E65" s="88"/>
      <c r="F65" s="88"/>
      <c r="G65" s="88"/>
      <c r="H65" s="88"/>
      <c r="I65" s="88"/>
      <c r="J65" s="88"/>
      <c r="K65" s="88"/>
      <c r="L65" s="88"/>
      <c r="M65" s="88"/>
      <c r="N65" s="88"/>
      <c r="O65" s="88"/>
      <c r="P65" s="88"/>
      <c r="Q65" s="88"/>
      <c r="R65" s="88"/>
      <c r="S65" s="88"/>
      <c r="T65" s="88"/>
    </row>
    <row r="66" spans="1:20" x14ac:dyDescent="0.35">
      <c r="A66" s="105"/>
      <c r="B66" s="390"/>
      <c r="C66" s="120" t="s">
        <v>584</v>
      </c>
      <c r="D66" s="120">
        <f>IF($B$64=0,0,COUNTIFS($B$8:$B$32,"*"&amp;$B$64&amp;"*",$C$8:$C$32,C66))</f>
        <v>0</v>
      </c>
      <c r="E66" s="88"/>
      <c r="F66" s="88"/>
      <c r="G66" s="88"/>
      <c r="H66" s="88"/>
      <c r="I66" s="88"/>
      <c r="J66" s="88"/>
      <c r="K66" s="88"/>
      <c r="L66" s="88"/>
      <c r="M66" s="88"/>
      <c r="N66" s="88"/>
      <c r="O66" s="88"/>
      <c r="P66" s="88"/>
      <c r="Q66" s="88"/>
      <c r="R66" s="88"/>
      <c r="S66" s="88"/>
      <c r="T66" s="88"/>
    </row>
    <row r="67" spans="1:20" x14ac:dyDescent="0.35">
      <c r="A67" s="105"/>
      <c r="B67" s="390">
        <f>B39</f>
        <v>0</v>
      </c>
      <c r="C67" s="120" t="s">
        <v>549</v>
      </c>
      <c r="D67" s="120">
        <f>IF($B$67=0,0,COUNTIFS($B$8:$B$32,"*"&amp;$B$67&amp;"*",$C$8:$C$32,C67))</f>
        <v>0</v>
      </c>
      <c r="E67" s="88"/>
      <c r="F67" s="88"/>
      <c r="G67" s="88"/>
      <c r="H67" s="88"/>
      <c r="I67" s="88"/>
      <c r="J67" s="88"/>
      <c r="K67" s="88"/>
      <c r="L67" s="88"/>
      <c r="M67" s="88"/>
      <c r="N67" s="88"/>
      <c r="O67" s="88"/>
      <c r="P67" s="88"/>
      <c r="Q67" s="88"/>
      <c r="R67" s="88"/>
      <c r="S67" s="88"/>
      <c r="T67" s="88"/>
    </row>
    <row r="68" spans="1:20" x14ac:dyDescent="0.35">
      <c r="A68" s="105"/>
      <c r="B68" s="390"/>
      <c r="C68" s="120" t="s">
        <v>583</v>
      </c>
      <c r="D68" s="120">
        <f>IF($B$67=0,0,COUNTIFS($B$8:$B$32,"*"&amp;$B$67&amp;"*",$C$8:$C$32,C68))</f>
        <v>0</v>
      </c>
      <c r="E68" s="88"/>
      <c r="F68" s="88"/>
      <c r="G68" s="88"/>
      <c r="H68" s="88"/>
      <c r="I68" s="88"/>
      <c r="J68" s="88"/>
      <c r="K68" s="88"/>
      <c r="L68" s="88"/>
      <c r="M68" s="88"/>
      <c r="N68" s="88"/>
      <c r="O68" s="88"/>
      <c r="P68" s="88"/>
      <c r="Q68" s="88"/>
      <c r="R68" s="88"/>
      <c r="S68" s="88"/>
      <c r="T68" s="88"/>
    </row>
    <row r="69" spans="1:20" x14ac:dyDescent="0.35">
      <c r="A69" s="105"/>
      <c r="B69" s="390"/>
      <c r="C69" s="120" t="s">
        <v>584</v>
      </c>
      <c r="D69" s="120">
        <f>IF($B$67=0,0,COUNTIFS($B$8:$B$32,"*"&amp;$B$67&amp;"*",$C$8:$C$32,C69))</f>
        <v>0</v>
      </c>
      <c r="E69" s="88"/>
      <c r="F69" s="88"/>
      <c r="G69" s="88"/>
      <c r="H69" s="88"/>
      <c r="I69" s="88"/>
      <c r="J69" s="88"/>
      <c r="K69" s="88"/>
      <c r="L69" s="88"/>
      <c r="M69" s="88"/>
      <c r="N69" s="88"/>
      <c r="O69" s="88"/>
      <c r="P69" s="88"/>
      <c r="Q69" s="88"/>
      <c r="R69" s="88"/>
      <c r="S69" s="88"/>
      <c r="T69" s="88"/>
    </row>
    <row r="70" spans="1:20" x14ac:dyDescent="0.35">
      <c r="A70" s="105"/>
      <c r="B70" s="390">
        <f>B40</f>
        <v>0</v>
      </c>
      <c r="C70" s="120" t="s">
        <v>549</v>
      </c>
      <c r="D70" s="120">
        <f>IF($B$70=0,0,COUNTIFS($B$8:$B$32,"*"&amp;$B$70&amp;"*",$C$8:$C$32,C70))</f>
        <v>0</v>
      </c>
      <c r="E70" s="111"/>
      <c r="F70" s="88"/>
      <c r="G70" s="88"/>
      <c r="H70" s="88"/>
      <c r="I70" s="88"/>
      <c r="J70" s="88"/>
      <c r="K70" s="88"/>
      <c r="L70" s="88"/>
      <c r="M70" s="88"/>
      <c r="N70" s="88"/>
      <c r="O70" s="88"/>
      <c r="P70" s="88"/>
      <c r="Q70" s="88"/>
      <c r="R70" s="88"/>
      <c r="S70" s="88"/>
      <c r="T70" s="88"/>
    </row>
    <row r="71" spans="1:20" x14ac:dyDescent="0.35">
      <c r="A71" s="105"/>
      <c r="B71" s="390"/>
      <c r="C71" s="120" t="s">
        <v>583</v>
      </c>
      <c r="D71" s="120">
        <f>IF($B$70=0,0,COUNTIFS($B$8:$B$32,"*"&amp;$B$70&amp;"*",$C$8:$C$32,C71))</f>
        <v>0</v>
      </c>
      <c r="E71" s="111"/>
      <c r="F71" s="88"/>
      <c r="G71" s="88"/>
      <c r="H71" s="88"/>
      <c r="I71" s="88"/>
      <c r="J71" s="88"/>
      <c r="K71" s="88"/>
      <c r="L71" s="88"/>
      <c r="M71" s="88"/>
      <c r="N71" s="88"/>
      <c r="O71" s="88"/>
      <c r="P71" s="88"/>
      <c r="Q71" s="88"/>
      <c r="R71" s="88"/>
      <c r="S71" s="88"/>
      <c r="T71" s="88"/>
    </row>
    <row r="72" spans="1:20" x14ac:dyDescent="0.35">
      <c r="A72" s="105"/>
      <c r="B72" s="390"/>
      <c r="C72" s="120" t="s">
        <v>584</v>
      </c>
      <c r="D72" s="120">
        <f>IF($B$70=0,0,COUNTIFS($B$8:$B$32,"*"&amp;$B$70&amp;"*",$C$8:$C$32,C72))</f>
        <v>0</v>
      </c>
      <c r="E72" s="111"/>
      <c r="F72" s="88"/>
      <c r="G72" s="88"/>
      <c r="H72" s="88"/>
      <c r="I72" s="88"/>
      <c r="J72" s="88"/>
      <c r="K72" s="88"/>
      <c r="L72" s="88"/>
      <c r="M72" s="88"/>
      <c r="N72" s="88"/>
      <c r="O72" s="88"/>
      <c r="P72" s="88"/>
      <c r="Q72" s="88"/>
      <c r="R72" s="88"/>
      <c r="S72" s="88"/>
      <c r="T72" s="88"/>
    </row>
    <row r="73" spans="1:20" x14ac:dyDescent="0.35">
      <c r="A73" s="105"/>
      <c r="B73" s="390">
        <f>B41</f>
        <v>0</v>
      </c>
      <c r="C73" s="120" t="s">
        <v>549</v>
      </c>
      <c r="D73" s="120">
        <f>IF($B$73=0,0,COUNTIFS($B$8:$B$32,"*"&amp;$B$73&amp;"*",$C$8:$C$32,C73))</f>
        <v>0</v>
      </c>
      <c r="E73" s="111"/>
      <c r="F73" s="88"/>
      <c r="G73" s="88"/>
      <c r="H73" s="88"/>
      <c r="I73" s="88"/>
      <c r="J73" s="88"/>
      <c r="K73" s="88"/>
      <c r="L73" s="88"/>
      <c r="M73" s="88"/>
      <c r="N73" s="88"/>
      <c r="O73" s="88"/>
      <c r="P73" s="88"/>
      <c r="Q73" s="88"/>
      <c r="R73" s="88"/>
      <c r="S73" s="88"/>
      <c r="T73" s="88"/>
    </row>
    <row r="74" spans="1:20" x14ac:dyDescent="0.35">
      <c r="A74" s="105"/>
      <c r="B74" s="390"/>
      <c r="C74" s="120" t="s">
        <v>583</v>
      </c>
      <c r="D74" s="120">
        <f>IF($B$73=0,0,COUNTIFS($B$8:$B$32,"*"&amp;$B$73&amp;"*",$C$8:$C$32,C74))</f>
        <v>0</v>
      </c>
      <c r="E74" s="111"/>
      <c r="F74" s="88"/>
      <c r="G74" s="88"/>
      <c r="H74" s="88"/>
      <c r="I74" s="88"/>
      <c r="J74" s="88"/>
      <c r="K74" s="88"/>
      <c r="L74" s="88"/>
      <c r="M74" s="88"/>
      <c r="N74" s="88"/>
      <c r="O74" s="88"/>
      <c r="P74" s="88"/>
      <c r="Q74" s="88"/>
      <c r="R74" s="88"/>
      <c r="S74" s="88"/>
      <c r="T74" s="88"/>
    </row>
    <row r="75" spans="1:20" x14ac:dyDescent="0.35">
      <c r="A75" s="105"/>
      <c r="B75" s="390"/>
      <c r="C75" s="120" t="s">
        <v>584</v>
      </c>
      <c r="D75" s="120">
        <f>IF($B$73=0,0,COUNTIFS($B$8:$B$32,"*"&amp;$B$73&amp;"*",$C$8:$C$32,C75))</f>
        <v>0</v>
      </c>
      <c r="E75" s="111"/>
      <c r="F75" s="88"/>
      <c r="G75" s="88"/>
      <c r="H75" s="88"/>
      <c r="I75" s="88"/>
      <c r="J75" s="88"/>
      <c r="K75" s="88"/>
      <c r="L75" s="88"/>
      <c r="M75" s="88"/>
      <c r="N75" s="88"/>
      <c r="O75" s="88"/>
      <c r="P75" s="88"/>
      <c r="Q75" s="88"/>
      <c r="R75" s="88"/>
      <c r="S75" s="88"/>
      <c r="T75" s="88"/>
    </row>
    <row r="76" spans="1:20" x14ac:dyDescent="0.35">
      <c r="A76" s="105"/>
      <c r="B76" s="390">
        <f>B42</f>
        <v>0</v>
      </c>
      <c r="C76" s="120" t="s">
        <v>549</v>
      </c>
      <c r="D76" s="120">
        <f>IF($B$76=0,0,COUNTIFS($B$8:$B$32,"*"&amp;$B$76&amp;"*",$C$8:$C$32,C76))</f>
        <v>0</v>
      </c>
      <c r="E76" s="111"/>
      <c r="F76" s="88"/>
      <c r="G76" s="88"/>
      <c r="H76" s="88"/>
      <c r="I76" s="88"/>
      <c r="J76" s="88"/>
      <c r="K76" s="88"/>
      <c r="L76" s="88"/>
      <c r="M76" s="88"/>
      <c r="N76" s="88"/>
      <c r="O76" s="88"/>
      <c r="P76" s="88"/>
      <c r="Q76" s="88"/>
      <c r="R76" s="88"/>
      <c r="S76" s="88"/>
      <c r="T76" s="88"/>
    </row>
    <row r="77" spans="1:20" x14ac:dyDescent="0.35">
      <c r="A77" s="105"/>
      <c r="B77" s="390"/>
      <c r="C77" s="120" t="s">
        <v>583</v>
      </c>
      <c r="D77" s="120">
        <f>IF($B$76=0,0,COUNTIFS($B$8:$B$32,"*"&amp;$B$76&amp;"*",$C$8:$C$32,C77))</f>
        <v>0</v>
      </c>
      <c r="E77" s="111"/>
      <c r="F77" s="88"/>
      <c r="G77" s="88"/>
      <c r="H77" s="88"/>
      <c r="I77" s="88"/>
      <c r="J77" s="88"/>
      <c r="K77" s="88"/>
      <c r="L77" s="88"/>
      <c r="M77" s="88"/>
      <c r="N77" s="88"/>
      <c r="O77" s="88"/>
      <c r="P77" s="88"/>
      <c r="Q77" s="88"/>
      <c r="R77" s="88"/>
      <c r="S77" s="88"/>
      <c r="T77" s="88"/>
    </row>
    <row r="78" spans="1:20" x14ac:dyDescent="0.35">
      <c r="A78" s="105"/>
      <c r="B78" s="390"/>
      <c r="C78" s="120" t="s">
        <v>584</v>
      </c>
      <c r="D78" s="120">
        <f>IF($B$76=0,0,COUNTIFS($B$8:$B$32,"*"&amp;$B$76&amp;"*",$C$8:$C$32,C78))</f>
        <v>0</v>
      </c>
      <c r="E78" s="111"/>
      <c r="F78" s="88"/>
      <c r="G78" s="88"/>
      <c r="H78" s="88"/>
      <c r="I78" s="88"/>
      <c r="J78" s="88"/>
      <c r="K78" s="88"/>
      <c r="L78" s="88"/>
      <c r="M78" s="88"/>
      <c r="N78" s="88"/>
      <c r="O78" s="88"/>
      <c r="P78" s="88"/>
      <c r="Q78" s="88"/>
      <c r="R78" s="88"/>
      <c r="S78" s="88"/>
      <c r="T78" s="88"/>
    </row>
    <row r="79" spans="1:20" x14ac:dyDescent="0.35">
      <c r="A79" s="105"/>
      <c r="B79" s="390">
        <f>B43</f>
        <v>0</v>
      </c>
      <c r="C79" s="120" t="s">
        <v>549</v>
      </c>
      <c r="D79" s="120">
        <f>IF($B$79=0,0,COUNTIFS($B$8:$B$32,"*"&amp;$B$79&amp;"*",$C$8:$C$32,C79))</f>
        <v>0</v>
      </c>
      <c r="E79" s="111"/>
      <c r="F79" s="88"/>
      <c r="G79" s="88"/>
      <c r="H79" s="88"/>
      <c r="I79" s="88"/>
      <c r="J79" s="88"/>
      <c r="K79" s="88"/>
      <c r="L79" s="88"/>
      <c r="M79" s="88"/>
      <c r="N79" s="88"/>
      <c r="O79" s="88"/>
      <c r="P79" s="88"/>
      <c r="Q79" s="88"/>
      <c r="R79" s="88"/>
      <c r="S79" s="88"/>
      <c r="T79" s="88"/>
    </row>
    <row r="80" spans="1:20" x14ac:dyDescent="0.35">
      <c r="A80" s="105"/>
      <c r="B80" s="390"/>
      <c r="C80" s="120" t="s">
        <v>583</v>
      </c>
      <c r="D80" s="120">
        <f>IF($B$79=0,0,COUNTIFS($B$8:$B$32,"*"&amp;$B$79&amp;"*",$C$8:$C$32,C80))</f>
        <v>0</v>
      </c>
      <c r="E80" s="111"/>
      <c r="F80" s="88"/>
      <c r="G80" s="88"/>
      <c r="H80" s="88"/>
      <c r="I80" s="88"/>
      <c r="J80" s="88"/>
      <c r="K80" s="88"/>
      <c r="L80" s="88"/>
      <c r="M80" s="88"/>
      <c r="N80" s="88"/>
      <c r="O80" s="88"/>
      <c r="P80" s="88"/>
      <c r="Q80" s="88"/>
      <c r="R80" s="88"/>
      <c r="S80" s="88"/>
      <c r="T80" s="88"/>
    </row>
    <row r="81" spans="1:20" x14ac:dyDescent="0.35">
      <c r="A81" s="105"/>
      <c r="B81" s="390"/>
      <c r="C81" s="120" t="s">
        <v>584</v>
      </c>
      <c r="D81" s="120">
        <f>IF($B$79=0,0,COUNTIFS($B$8:$B$32,"*"&amp;$B$79&amp;"*",$C$8:$C$32,C81))</f>
        <v>0</v>
      </c>
      <c r="E81" s="111"/>
      <c r="F81" s="88"/>
      <c r="G81" s="88"/>
      <c r="H81" s="88"/>
      <c r="I81" s="88"/>
      <c r="J81" s="88"/>
      <c r="K81" s="88"/>
      <c r="L81" s="88"/>
      <c r="M81" s="88"/>
      <c r="N81" s="88"/>
      <c r="O81" s="88"/>
      <c r="P81" s="88"/>
      <c r="Q81" s="88"/>
      <c r="R81" s="88"/>
      <c r="S81" s="88"/>
      <c r="T81" s="88"/>
    </row>
    <row r="82" spans="1:20" x14ac:dyDescent="0.35">
      <c r="A82" s="105"/>
      <c r="B82" s="390">
        <f>B44</f>
        <v>0</v>
      </c>
      <c r="C82" s="120" t="s">
        <v>549</v>
      </c>
      <c r="D82" s="120">
        <f>IF($B$82=0,0,COUNTIFS($B$8:$B$32,"*"&amp;$B$82&amp;"*",$C$8:$C$32,C82))</f>
        <v>0</v>
      </c>
      <c r="E82" s="111"/>
      <c r="F82" s="88"/>
      <c r="G82" s="88"/>
      <c r="H82" s="88"/>
      <c r="I82" s="88"/>
      <c r="J82" s="88"/>
      <c r="K82" s="88"/>
      <c r="L82" s="88"/>
      <c r="M82" s="88"/>
      <c r="N82" s="88"/>
      <c r="O82" s="88"/>
      <c r="P82" s="88"/>
      <c r="Q82" s="88"/>
      <c r="R82" s="88"/>
      <c r="S82" s="88"/>
      <c r="T82" s="88"/>
    </row>
    <row r="83" spans="1:20" x14ac:dyDescent="0.35">
      <c r="A83" s="105"/>
      <c r="B83" s="390"/>
      <c r="C83" s="120" t="s">
        <v>583</v>
      </c>
      <c r="D83" s="120">
        <f>IF($B$82=0,0,COUNTIFS($B$8:$B$32,"*"&amp;$B$82&amp;"*",$C$8:$C$32,C83))</f>
        <v>0</v>
      </c>
      <c r="E83" s="111"/>
      <c r="F83" s="88"/>
      <c r="G83" s="88"/>
      <c r="H83" s="88"/>
      <c r="I83" s="88"/>
      <c r="J83" s="88"/>
      <c r="K83" s="88"/>
      <c r="L83" s="88"/>
      <c r="M83" s="88"/>
      <c r="N83" s="88"/>
      <c r="O83" s="88"/>
      <c r="P83" s="88"/>
      <c r="Q83" s="88"/>
      <c r="R83" s="88"/>
      <c r="S83" s="88"/>
      <c r="T83" s="88"/>
    </row>
    <row r="84" spans="1:20" x14ac:dyDescent="0.35">
      <c r="A84" s="105"/>
      <c r="B84" s="390"/>
      <c r="C84" s="120" t="s">
        <v>584</v>
      </c>
      <c r="D84" s="120">
        <f>IF($B$82=0,0,COUNTIFS($B$8:$B$32,"*"&amp;$B$82&amp;"*",$C$8:$C$32,C84))</f>
        <v>0</v>
      </c>
      <c r="E84" s="111"/>
      <c r="F84" s="88"/>
      <c r="G84" s="88"/>
      <c r="H84" s="88"/>
      <c r="I84" s="88"/>
      <c r="J84" s="88"/>
      <c r="K84" s="88"/>
      <c r="L84" s="88"/>
      <c r="M84" s="88"/>
      <c r="N84" s="88"/>
      <c r="O84" s="88"/>
      <c r="P84" s="88"/>
      <c r="Q84" s="88"/>
      <c r="R84" s="88"/>
      <c r="S84" s="88"/>
      <c r="T84" s="88"/>
    </row>
    <row r="85" spans="1:20" x14ac:dyDescent="0.35">
      <c r="A85" s="105"/>
      <c r="B85" s="390">
        <f>B45</f>
        <v>0</v>
      </c>
      <c r="C85" s="120" t="s">
        <v>549</v>
      </c>
      <c r="D85" s="120">
        <f>IF($B$85=0,0,COUNTIFS($B$8:$B$32,"*"&amp;$B$85&amp;"*",$C$8:$C$32,C85))</f>
        <v>0</v>
      </c>
      <c r="E85" s="111"/>
      <c r="F85" s="88"/>
      <c r="G85" s="88"/>
      <c r="H85" s="88"/>
      <c r="I85" s="88"/>
      <c r="J85" s="88"/>
      <c r="K85" s="88"/>
      <c r="L85" s="88"/>
      <c r="M85" s="88"/>
      <c r="N85" s="88"/>
      <c r="O85" s="88"/>
      <c r="P85" s="88"/>
      <c r="Q85" s="88"/>
      <c r="R85" s="88"/>
      <c r="S85" s="88"/>
      <c r="T85" s="88"/>
    </row>
    <row r="86" spans="1:20" x14ac:dyDescent="0.35">
      <c r="A86" s="105"/>
      <c r="B86" s="390"/>
      <c r="C86" s="120" t="s">
        <v>583</v>
      </c>
      <c r="D86" s="120">
        <f>IF($B$85=0,0,COUNTIFS($B$8:$B$32,"*"&amp;$B$85&amp;"*",$C$8:$C$32,C86))</f>
        <v>0</v>
      </c>
      <c r="E86" s="111"/>
      <c r="F86" s="88"/>
      <c r="G86" s="88"/>
      <c r="H86" s="88"/>
      <c r="I86" s="88"/>
      <c r="J86" s="88"/>
      <c r="K86" s="88"/>
      <c r="L86" s="88"/>
      <c r="M86" s="88"/>
      <c r="N86" s="88"/>
      <c r="O86" s="88"/>
      <c r="P86" s="88"/>
      <c r="Q86" s="88"/>
      <c r="R86" s="88"/>
      <c r="S86" s="88"/>
      <c r="T86" s="88"/>
    </row>
    <row r="87" spans="1:20" x14ac:dyDescent="0.35">
      <c r="A87" s="105"/>
      <c r="B87" s="390"/>
      <c r="C87" s="120" t="s">
        <v>584</v>
      </c>
      <c r="D87" s="120">
        <f>IF($B$85=0,0,COUNTIFS($B$8:$B$32,"*"&amp;$B$85&amp;"*",$C$8:$C$32,C87))</f>
        <v>0</v>
      </c>
      <c r="E87" s="111"/>
      <c r="F87" s="88"/>
      <c r="G87" s="88"/>
      <c r="H87" s="88"/>
      <c r="I87" s="88"/>
      <c r="J87" s="88"/>
      <c r="K87" s="88"/>
      <c r="L87" s="88"/>
      <c r="M87" s="88"/>
      <c r="N87" s="88"/>
      <c r="O87" s="88"/>
      <c r="P87" s="88"/>
      <c r="Q87" s="88"/>
      <c r="R87" s="88"/>
      <c r="S87" s="88"/>
      <c r="T87" s="88"/>
    </row>
    <row r="88" spans="1:20" x14ac:dyDescent="0.35">
      <c r="A88" s="105"/>
      <c r="B88" s="390">
        <f>B46</f>
        <v>0</v>
      </c>
      <c r="C88" s="120" t="s">
        <v>549</v>
      </c>
      <c r="D88" s="120">
        <f>IF($B$88=0,0,COUNTIFS($B$8:$B$32,"*"&amp;$B$88&amp;"*",$C$8:$C$32,C88))</f>
        <v>0</v>
      </c>
      <c r="E88" s="111"/>
      <c r="F88" s="88"/>
      <c r="G88" s="88"/>
      <c r="H88" s="88"/>
      <c r="I88" s="88"/>
      <c r="J88" s="88"/>
      <c r="K88" s="88"/>
      <c r="L88" s="88"/>
      <c r="M88" s="88"/>
      <c r="N88" s="88"/>
      <c r="O88" s="88"/>
      <c r="P88" s="88"/>
      <c r="Q88" s="88"/>
      <c r="R88" s="88"/>
      <c r="S88" s="88"/>
      <c r="T88" s="88"/>
    </row>
    <row r="89" spans="1:20" x14ac:dyDescent="0.35">
      <c r="A89" s="105"/>
      <c r="B89" s="390"/>
      <c r="C89" s="120" t="s">
        <v>583</v>
      </c>
      <c r="D89" s="120">
        <f>IF($B$88=0,0,COUNTIFS($B$8:$B$32,"*"&amp;$B$88&amp;"*",$C$8:$C$32,C89))</f>
        <v>0</v>
      </c>
      <c r="E89" s="111"/>
      <c r="F89" s="88"/>
      <c r="G89" s="88"/>
      <c r="H89" s="88"/>
      <c r="I89" s="88"/>
      <c r="J89" s="88"/>
      <c r="K89" s="88"/>
      <c r="L89" s="88"/>
      <c r="M89" s="88"/>
      <c r="N89" s="88"/>
      <c r="O89" s="88"/>
      <c r="P89" s="88"/>
      <c r="Q89" s="88"/>
      <c r="R89" s="88"/>
      <c r="S89" s="88"/>
      <c r="T89" s="88"/>
    </row>
    <row r="90" spans="1:20" x14ac:dyDescent="0.35">
      <c r="A90" s="105"/>
      <c r="B90" s="390"/>
      <c r="C90" s="120" t="s">
        <v>584</v>
      </c>
      <c r="D90" s="120">
        <f>IF($B$88=0,0,COUNTIFS($B$8:$B$32,"*"&amp;$B$88&amp;"*",$C$8:$C$32,C90))</f>
        <v>0</v>
      </c>
      <c r="E90" s="111"/>
      <c r="F90" s="88"/>
      <c r="G90" s="88"/>
      <c r="H90" s="88"/>
      <c r="I90" s="88"/>
      <c r="J90" s="88"/>
      <c r="K90" s="88"/>
      <c r="L90" s="88"/>
      <c r="M90" s="88"/>
      <c r="N90" s="88"/>
      <c r="O90" s="88"/>
      <c r="P90" s="88"/>
      <c r="Q90" s="88"/>
      <c r="R90" s="88"/>
      <c r="S90" s="88"/>
      <c r="T90" s="88"/>
    </row>
    <row r="91" spans="1:20" x14ac:dyDescent="0.35">
      <c r="A91" s="105"/>
      <c r="B91" s="390">
        <f>B47</f>
        <v>0</v>
      </c>
      <c r="C91" s="120" t="s">
        <v>549</v>
      </c>
      <c r="D91" s="120">
        <f>IF($B$91=0,0,COUNTIFS($B$8:$B$32,"*"&amp;$B$91&amp;"*",$C$8:$C$32,C91))</f>
        <v>0</v>
      </c>
      <c r="E91" s="111"/>
      <c r="F91" s="88"/>
      <c r="G91" s="88"/>
      <c r="H91" s="88"/>
      <c r="I91" s="88"/>
      <c r="J91" s="88"/>
      <c r="K91" s="88"/>
      <c r="L91" s="88"/>
      <c r="M91" s="88"/>
      <c r="N91" s="88"/>
      <c r="O91" s="88"/>
      <c r="P91" s="88"/>
      <c r="Q91" s="88"/>
      <c r="R91" s="88"/>
      <c r="S91" s="88"/>
      <c r="T91" s="88"/>
    </row>
    <row r="92" spans="1:20" x14ac:dyDescent="0.35">
      <c r="A92" s="105"/>
      <c r="B92" s="390"/>
      <c r="C92" s="120" t="s">
        <v>583</v>
      </c>
      <c r="D92" s="120">
        <f>IF($B$91=0,0,COUNTIFS($B$8:$B$32,"*"&amp;$B$91&amp;"*",$C$8:$C$32,C92))</f>
        <v>0</v>
      </c>
      <c r="E92" s="111"/>
      <c r="F92" s="88"/>
      <c r="G92" s="88"/>
      <c r="H92" s="88"/>
      <c r="I92" s="88"/>
      <c r="J92" s="88"/>
      <c r="K92" s="88"/>
      <c r="L92" s="88"/>
      <c r="M92" s="88"/>
      <c r="N92" s="88"/>
      <c r="O92" s="88"/>
      <c r="P92" s="88"/>
      <c r="Q92" s="88"/>
      <c r="R92" s="88"/>
      <c r="S92" s="88"/>
      <c r="T92" s="88"/>
    </row>
    <row r="93" spans="1:20" x14ac:dyDescent="0.35">
      <c r="A93" s="105"/>
      <c r="B93" s="390"/>
      <c r="C93" s="120" t="s">
        <v>584</v>
      </c>
      <c r="D93" s="120">
        <f>IF($B$91=0,0,COUNTIFS($B$8:$B$32,"*"&amp;$B$91&amp;"*",$C$8:$C$32,C93))</f>
        <v>0</v>
      </c>
      <c r="E93" s="111"/>
      <c r="F93" s="88"/>
      <c r="G93" s="88"/>
      <c r="H93" s="88"/>
      <c r="I93" s="88"/>
      <c r="J93" s="88"/>
      <c r="K93" s="88"/>
      <c r="L93" s="88"/>
      <c r="M93" s="88"/>
      <c r="N93" s="88"/>
      <c r="O93" s="88"/>
      <c r="P93" s="88"/>
      <c r="Q93" s="88"/>
      <c r="R93" s="88"/>
      <c r="S93" s="88"/>
      <c r="T93" s="88"/>
    </row>
    <row r="94" spans="1:20" x14ac:dyDescent="0.35">
      <c r="A94" s="105"/>
      <c r="B94" s="83"/>
      <c r="C94" s="88"/>
      <c r="D94" s="88"/>
      <c r="E94" s="111"/>
      <c r="F94" s="88"/>
      <c r="G94" s="88"/>
      <c r="H94" s="88"/>
      <c r="I94" s="88"/>
      <c r="J94" s="88"/>
      <c r="K94" s="88"/>
      <c r="L94" s="88"/>
      <c r="M94" s="88"/>
      <c r="N94" s="88"/>
      <c r="O94" s="88"/>
      <c r="P94" s="88"/>
      <c r="Q94" s="88"/>
      <c r="R94" s="88"/>
      <c r="S94" s="88"/>
      <c r="T94" s="88"/>
    </row>
    <row r="95" spans="1:20" x14ac:dyDescent="0.35">
      <c r="A95" s="105"/>
      <c r="B95" s="83"/>
      <c r="C95" s="88"/>
      <c r="D95" s="88"/>
      <c r="E95" s="111"/>
      <c r="F95" s="88"/>
      <c r="G95" s="88"/>
      <c r="H95" s="88"/>
      <c r="I95" s="88"/>
      <c r="J95" s="88"/>
      <c r="K95" s="88"/>
      <c r="L95" s="88"/>
      <c r="M95" s="88"/>
      <c r="N95" s="88"/>
      <c r="O95" s="88"/>
      <c r="P95" s="88"/>
      <c r="Q95" s="88"/>
      <c r="R95" s="88"/>
      <c r="S95" s="88"/>
      <c r="T95" s="88"/>
    </row>
    <row r="96" spans="1:20" x14ac:dyDescent="0.35">
      <c r="A96" s="105"/>
      <c r="B96" s="83"/>
      <c r="C96" s="88"/>
      <c r="D96" s="88"/>
      <c r="E96" s="111"/>
      <c r="F96" s="88"/>
      <c r="G96" s="88"/>
      <c r="H96" s="88"/>
      <c r="I96" s="88"/>
      <c r="J96" s="88"/>
      <c r="K96" s="88"/>
      <c r="L96" s="88"/>
      <c r="M96" s="88"/>
      <c r="N96" s="88"/>
      <c r="O96" s="88"/>
      <c r="P96" s="88"/>
      <c r="Q96" s="88"/>
      <c r="R96" s="88"/>
      <c r="S96" s="88"/>
      <c r="T96" s="88"/>
    </row>
  </sheetData>
  <mergeCells count="42">
    <mergeCell ref="B1:F1"/>
    <mergeCell ref="H1:S1"/>
    <mergeCell ref="C2:F2"/>
    <mergeCell ref="H2:S2"/>
    <mergeCell ref="H3:S28"/>
    <mergeCell ref="B4:F4"/>
    <mergeCell ref="C6:F6"/>
    <mergeCell ref="C7:F7"/>
    <mergeCell ref="C25:F25"/>
    <mergeCell ref="C26:F26"/>
    <mergeCell ref="C43:F43"/>
    <mergeCell ref="C29:F29"/>
    <mergeCell ref="C30:F30"/>
    <mergeCell ref="B34:F34"/>
    <mergeCell ref="C35:F35"/>
    <mergeCell ref="C36:F36"/>
    <mergeCell ref="C37:F37"/>
    <mergeCell ref="C38:F38"/>
    <mergeCell ref="C39:F39"/>
    <mergeCell ref="C40:F40"/>
    <mergeCell ref="C41:F41"/>
    <mergeCell ref="C42:F42"/>
    <mergeCell ref="B54:D54"/>
    <mergeCell ref="B55:B57"/>
    <mergeCell ref="B58:B60"/>
    <mergeCell ref="B61:B63"/>
    <mergeCell ref="C44:F44"/>
    <mergeCell ref="C45:F45"/>
    <mergeCell ref="C46:F46"/>
    <mergeCell ref="C47:F47"/>
    <mergeCell ref="B49:F49"/>
    <mergeCell ref="D50:F50"/>
    <mergeCell ref="B91:B93"/>
    <mergeCell ref="B64:B66"/>
    <mergeCell ref="B67:B69"/>
    <mergeCell ref="B70:B72"/>
    <mergeCell ref="B73:B75"/>
    <mergeCell ref="B76:B78"/>
    <mergeCell ref="B79:B81"/>
    <mergeCell ref="B82:B84"/>
    <mergeCell ref="B85:B87"/>
    <mergeCell ref="B88:B90"/>
  </mergeCells>
  <conditionalFormatting sqref="B8 B12">
    <cfRule type="cellIs" dxfId="83" priority="46" operator="equal">
      <formula>"NR"</formula>
    </cfRule>
    <cfRule type="cellIs" dxfId="82" priority="47" operator="equal">
      <formula>"NOK"</formula>
    </cfRule>
    <cfRule type="cellIs" dxfId="81" priority="48" operator="equal">
      <formula>"OK"</formula>
    </cfRule>
  </conditionalFormatting>
  <conditionalFormatting sqref="C17:C22">
    <cfRule type="cellIs" dxfId="80" priority="43" operator="equal">
      <formula>"NR"</formula>
    </cfRule>
    <cfRule type="cellIs" dxfId="79" priority="44" operator="equal">
      <formula>"NOK"</formula>
    </cfRule>
    <cfRule type="cellIs" dxfId="78" priority="45" operator="equal">
      <formula>"OK"</formula>
    </cfRule>
  </conditionalFormatting>
  <conditionalFormatting sqref="B29">
    <cfRule type="cellIs" dxfId="77" priority="40" operator="equal">
      <formula>"NR"</formula>
    </cfRule>
    <cfRule type="cellIs" dxfId="76" priority="41" operator="equal">
      <formula>"NOK"</formula>
    </cfRule>
    <cfRule type="cellIs" dxfId="75" priority="42" operator="equal">
      <formula>"OK"</formula>
    </cfRule>
  </conditionalFormatting>
  <conditionalFormatting sqref="B2 B51:B53">
    <cfRule type="cellIs" dxfId="74" priority="67" operator="equal">
      <formula>"NR"</formula>
    </cfRule>
    <cfRule type="cellIs" dxfId="73" priority="68" operator="equal">
      <formula>"NOK"</formula>
    </cfRule>
    <cfRule type="cellIs" dxfId="72" priority="69" operator="equal">
      <formula>"OK"</formula>
    </cfRule>
  </conditionalFormatting>
  <conditionalFormatting sqref="B4">
    <cfRule type="cellIs" dxfId="71" priority="70" operator="equal">
      <formula>"NR"</formula>
    </cfRule>
    <cfRule type="cellIs" dxfId="70" priority="71" operator="equal">
      <formula>"NOK"</formula>
    </cfRule>
    <cfRule type="cellIs" dxfId="69" priority="72" operator="equal">
      <formula>"OK"</formula>
    </cfRule>
  </conditionalFormatting>
  <conditionalFormatting sqref="B3 B33 B5 B49 B94:B1048576">
    <cfRule type="cellIs" dxfId="68" priority="82" operator="equal">
      <formula>"NR"</formula>
    </cfRule>
    <cfRule type="cellIs" dxfId="67" priority="83" operator="equal">
      <formula>"NOK"</formula>
    </cfRule>
    <cfRule type="cellIs" dxfId="66" priority="84" operator="equal">
      <formula>"OK"</formula>
    </cfRule>
  </conditionalFormatting>
  <conditionalFormatting sqref="B1">
    <cfRule type="cellIs" dxfId="65" priority="79" operator="equal">
      <formula>"NR"</formula>
    </cfRule>
    <cfRule type="cellIs" dxfId="64" priority="80" operator="equal">
      <formula>"NOK"</formula>
    </cfRule>
    <cfRule type="cellIs" dxfId="63" priority="81" operator="equal">
      <formula>"OK"</formula>
    </cfRule>
  </conditionalFormatting>
  <conditionalFormatting sqref="B34">
    <cfRule type="cellIs" dxfId="62" priority="76" operator="equal">
      <formula>"NR"</formula>
    </cfRule>
    <cfRule type="cellIs" dxfId="61" priority="77" operator="equal">
      <formula>"NOK"</formula>
    </cfRule>
    <cfRule type="cellIs" dxfId="60" priority="78" operator="equal">
      <formula>"OK"</formula>
    </cfRule>
  </conditionalFormatting>
  <conditionalFormatting sqref="C35:C45 C48">
    <cfRule type="cellIs" dxfId="59" priority="73" operator="equal">
      <formula>"NR"</formula>
    </cfRule>
    <cfRule type="cellIs" dxfId="58" priority="74" operator="equal">
      <formula>"NOK"</formula>
    </cfRule>
    <cfRule type="cellIs" dxfId="57" priority="75" operator="equal">
      <formula>"OK"</formula>
    </cfRule>
  </conditionalFormatting>
  <conditionalFormatting sqref="B6:B7">
    <cfRule type="cellIs" dxfId="56" priority="64" operator="equal">
      <formula>"NR"</formula>
    </cfRule>
    <cfRule type="cellIs" dxfId="55" priority="65" operator="equal">
      <formula>"NOK"</formula>
    </cfRule>
    <cfRule type="cellIs" dxfId="54" priority="66" operator="equal">
      <formula>"OK"</formula>
    </cfRule>
  </conditionalFormatting>
  <conditionalFormatting sqref="C50">
    <cfRule type="cellIs" dxfId="53" priority="52" operator="equal">
      <formula>"NR"</formula>
    </cfRule>
    <cfRule type="cellIs" dxfId="52" priority="53" operator="equal">
      <formula>"NOK"</formula>
    </cfRule>
    <cfRule type="cellIs" dxfId="51" priority="54" operator="equal">
      <formula>"OK"</formula>
    </cfRule>
  </conditionalFormatting>
  <conditionalFormatting sqref="C15:C16 C23:C24">
    <cfRule type="cellIs" dxfId="50" priority="58" operator="equal">
      <formula>"NR"</formula>
    </cfRule>
    <cfRule type="cellIs" dxfId="49" priority="59" operator="equal">
      <formula>"NOK"</formula>
    </cfRule>
    <cfRule type="cellIs" dxfId="48" priority="60" operator="equal">
      <formula>"OK"</formula>
    </cfRule>
  </conditionalFormatting>
  <conditionalFormatting sqref="C13:C14">
    <cfRule type="cellIs" dxfId="47" priority="61" operator="equal">
      <formula>"NR"</formula>
    </cfRule>
    <cfRule type="cellIs" dxfId="46" priority="62" operator="equal">
      <formula>"NOK"</formula>
    </cfRule>
    <cfRule type="cellIs" dxfId="45" priority="63" operator="equal">
      <formula>"OK"</formula>
    </cfRule>
  </conditionalFormatting>
  <conditionalFormatting sqref="B50">
    <cfRule type="cellIs" dxfId="44" priority="55" operator="equal">
      <formula>"NR"</formula>
    </cfRule>
    <cfRule type="cellIs" dxfId="43" priority="56" operator="equal">
      <formula>"NOK"</formula>
    </cfRule>
    <cfRule type="cellIs" dxfId="42" priority="57" operator="equal">
      <formula>"OK"</formula>
    </cfRule>
  </conditionalFormatting>
  <conditionalFormatting sqref="B54:B55 B58 B61 B67 B73 B79 B85 B64 B70 B76 B82 B88">
    <cfRule type="cellIs" dxfId="41" priority="49" operator="equal">
      <formula>"NR"</formula>
    </cfRule>
    <cfRule type="cellIs" dxfId="40" priority="50" operator="equal">
      <formula>"NOK"</formula>
    </cfRule>
    <cfRule type="cellIs" dxfId="39" priority="51" operator="equal">
      <formula>"OK"</formula>
    </cfRule>
  </conditionalFormatting>
  <conditionalFormatting sqref="C32">
    <cfRule type="cellIs" dxfId="38" priority="37" operator="equal">
      <formula>"NR"</formula>
    </cfRule>
    <cfRule type="cellIs" dxfId="37" priority="38" operator="equal">
      <formula>"NOK"</formula>
    </cfRule>
    <cfRule type="cellIs" dxfId="36" priority="39" operator="equal">
      <formula>"OK"</formula>
    </cfRule>
  </conditionalFormatting>
  <conditionalFormatting sqref="C28">
    <cfRule type="cellIs" dxfId="35" priority="31" operator="equal">
      <formula>"NR"</formula>
    </cfRule>
    <cfRule type="cellIs" dxfId="34" priority="32" operator="equal">
      <formula>"NOK"</formula>
    </cfRule>
    <cfRule type="cellIs" dxfId="33" priority="33" operator="equal">
      <formula>"OK"</formula>
    </cfRule>
  </conditionalFormatting>
  <conditionalFormatting sqref="B25">
    <cfRule type="cellIs" dxfId="32" priority="34" operator="equal">
      <formula>"NR"</formula>
    </cfRule>
    <cfRule type="cellIs" dxfId="31" priority="35" operator="equal">
      <formula>"NOK"</formula>
    </cfRule>
    <cfRule type="cellIs" dxfId="30" priority="36" operator="equal">
      <formula>"OK"</formula>
    </cfRule>
  </conditionalFormatting>
  <conditionalFormatting sqref="C11">
    <cfRule type="cellIs" dxfId="29" priority="28" operator="equal">
      <formula>"NR"</formula>
    </cfRule>
    <cfRule type="cellIs" dxfId="28" priority="29" operator="equal">
      <formula>"NOK"</formula>
    </cfRule>
    <cfRule type="cellIs" dxfId="27" priority="30" operator="equal">
      <formula>"OK"</formula>
    </cfRule>
  </conditionalFormatting>
  <conditionalFormatting sqref="C9">
    <cfRule type="cellIs" dxfId="26" priority="25" operator="equal">
      <formula>"NR"</formula>
    </cfRule>
    <cfRule type="cellIs" dxfId="25" priority="26" operator="equal">
      <formula>"NOK"</formula>
    </cfRule>
    <cfRule type="cellIs" dxfId="24" priority="27" operator="equal">
      <formula>"OK"</formula>
    </cfRule>
  </conditionalFormatting>
  <conditionalFormatting sqref="C10">
    <cfRule type="cellIs" dxfId="23" priority="22" operator="equal">
      <formula>"NR"</formula>
    </cfRule>
    <cfRule type="cellIs" dxfId="22" priority="23" operator="equal">
      <formula>"NOK"</formula>
    </cfRule>
    <cfRule type="cellIs" dxfId="21" priority="24" operator="equal">
      <formula>"OK"</formula>
    </cfRule>
  </conditionalFormatting>
  <conditionalFormatting sqref="B27">
    <cfRule type="cellIs" dxfId="20" priority="16" operator="equal">
      <formula>"NR"</formula>
    </cfRule>
    <cfRule type="cellIs" dxfId="19" priority="17" operator="equal">
      <formula>"NOK"</formula>
    </cfRule>
    <cfRule type="cellIs" dxfId="18" priority="18" operator="equal">
      <formula>"OK"</formula>
    </cfRule>
  </conditionalFormatting>
  <conditionalFormatting sqref="B26">
    <cfRule type="cellIs" dxfId="17" priority="19" operator="equal">
      <formula>"NR"</formula>
    </cfRule>
    <cfRule type="cellIs" dxfId="16" priority="20" operator="equal">
      <formula>"NOK"</formula>
    </cfRule>
    <cfRule type="cellIs" dxfId="15" priority="21" operator="equal">
      <formula>"OK"</formula>
    </cfRule>
  </conditionalFormatting>
  <conditionalFormatting sqref="B31">
    <cfRule type="cellIs" dxfId="14" priority="10" operator="equal">
      <formula>"NR"</formula>
    </cfRule>
    <cfRule type="cellIs" dxfId="13" priority="11" operator="equal">
      <formula>"NOK"</formula>
    </cfRule>
    <cfRule type="cellIs" dxfId="12" priority="12" operator="equal">
      <formula>"OK"</formula>
    </cfRule>
  </conditionalFormatting>
  <conditionalFormatting sqref="B30">
    <cfRule type="cellIs" dxfId="11" priority="13" operator="equal">
      <formula>"NR"</formula>
    </cfRule>
    <cfRule type="cellIs" dxfId="10" priority="14" operator="equal">
      <formula>"NOK"</formula>
    </cfRule>
    <cfRule type="cellIs" dxfId="9" priority="15" operator="equal">
      <formula>"OK"</formula>
    </cfRule>
  </conditionalFormatting>
  <conditionalFormatting sqref="C47">
    <cfRule type="cellIs" dxfId="8" priority="7" operator="equal">
      <formula>"NR"</formula>
    </cfRule>
    <cfRule type="cellIs" dxfId="7" priority="8" operator="equal">
      <formula>"NOK"</formula>
    </cfRule>
    <cfRule type="cellIs" dxfId="6" priority="9" operator="equal">
      <formula>"OK"</formula>
    </cfRule>
  </conditionalFormatting>
  <conditionalFormatting sqref="C46">
    <cfRule type="cellIs" dxfId="5" priority="4" operator="equal">
      <formula>"NR"</formula>
    </cfRule>
    <cfRule type="cellIs" dxfId="4" priority="5" operator="equal">
      <formula>"NOK"</formula>
    </cfRule>
    <cfRule type="cellIs" dxfId="3" priority="6" operator="equal">
      <formula>"OK"</formula>
    </cfRule>
  </conditionalFormatting>
  <conditionalFormatting sqref="B91">
    <cfRule type="cellIs" dxfId="2" priority="1" operator="equal">
      <formula>"NR"</formula>
    </cfRule>
    <cfRule type="cellIs" dxfId="1" priority="2" operator="equal">
      <formula>"NOK"</formula>
    </cfRule>
    <cfRule type="cellIs" dxfId="0" priority="3" operator="equal">
      <formula>"OK"</formula>
    </cfRule>
  </conditionalFormatting>
  <dataValidations count="1">
    <dataValidation type="list" allowBlank="1" showInputMessage="1" showErrorMessage="1" errorTitle="Remplissage Obligatoire" error="OK -&gt; Criteria Validated_x000a_NOK -&gt; Criteria Not Validated_x000a_NR -&gt; Impossiblity to check the criteria_x000a_NA -&gt; Impossiblity to validate the criteria" prompt="NO EMPTY CELLS" sqref="C50 C9:C11 C32 C13:C24 C28 C35:C48" xr:uid="{694195BE-48D7-4522-A65E-FE7F6A94CF8F}">
      <formula1>"OK,NOK,NR,NA"</formula1>
    </dataValidation>
  </dataValidations>
  <pageMargins left="0.7" right="0.7" top="0.75" bottom="0.75" header="0.3" footer="0.3"/>
  <pageSetup paperSize="9" orientation="portrait" verticalDpi="598" r:id="rId1"/>
  <headerFooter>
    <oddFooter>&amp;R&amp;1#&amp;"Arial"&amp;10&amp;K000000Confidential C</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EB90EFB5FD3C646B161AFEB75CA25F4" ma:contentTypeVersion="20" ma:contentTypeDescription="Crée un document." ma:contentTypeScope="" ma:versionID="25c135190355c0282ba72e2f86510178">
  <xsd:schema xmlns:xsd="http://www.w3.org/2001/XMLSchema" xmlns:xs="http://www.w3.org/2001/XMLSchema" xmlns:p="http://schemas.microsoft.com/office/2006/metadata/properties" xmlns:ns1="http://schemas.microsoft.com/sharepoint/v3" xmlns:ns2="971b5273-32b7-4016-82c1-217472cef903" xmlns:ns3="3f14aab3-8e8b-441d-8c74-6439131de398" targetNamespace="http://schemas.microsoft.com/office/2006/metadata/properties" ma:root="true" ma:fieldsID="fdd1ad346c4633d3a6ad8ccfc8b0a583" ns1:_="" ns2:_="" ns3:_="">
    <xsd:import namespace="http://schemas.microsoft.com/sharepoint/v3"/>
    <xsd:import namespace="971b5273-32b7-4016-82c1-217472cef903"/>
    <xsd:import namespace="3f14aab3-8e8b-441d-8c74-6439131de39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3:SharedWithUsers" minOccurs="0"/>
                <xsd:element ref="ns3:SharedWithDetails"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6" nillable="true" ma:displayName="Propriétés de la stratégie de conformité unifiée" ma:hidden="true" ma:internalName="_ip_UnifiedCompliancePolicyProperties">
      <xsd:simpleType>
        <xsd:restriction base="dms:Note"/>
      </xsd:simpleType>
    </xsd:element>
    <xsd:element name="_ip_UnifiedCompliancePolicyUIAction" ma:index="27" nillable="true" ma:displayName="Action d’interface utilisateur de la stratégie de conformité unifiée"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1b5273-32b7-4016-82c1-217472cef90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2bbfa71a-d75e-4d15-90e8-ced09d00e477"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f14aab3-8e8b-441d-8c74-6439131de398"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f21f07d2-6e80-4535-8281-a9eb73a7c592}" ma:internalName="TaxCatchAll" ma:showField="CatchAllData" ma:web="3f14aab3-8e8b-441d-8c74-6439131de39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71b5273-32b7-4016-82c1-217472cef903">
      <Terms xmlns="http://schemas.microsoft.com/office/infopath/2007/PartnerControls"/>
    </lcf76f155ced4ddcb4097134ff3c332f>
    <TaxCatchAll xmlns="3f14aab3-8e8b-441d-8c74-6439131de398" xsi:nil="true"/>
    <SharedWithUsers xmlns="3f14aab3-8e8b-441d-8c74-6439131de398">
      <UserInfo>
        <DisplayName/>
        <AccountId xsi:nil="true"/>
        <AccountType/>
      </UserInfo>
    </SharedWithUsers>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89E5B0D-354E-4038-9788-397BC33A7F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71b5273-32b7-4016-82c1-217472cef903"/>
    <ds:schemaRef ds:uri="3f14aab3-8e8b-441d-8c74-6439131de3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85A66E0-7B9F-4C33-8CA0-7566E132613F}">
  <ds:schemaRefs>
    <ds:schemaRef ds:uri="http://schemas.microsoft.com/sharepoint/v3/contenttype/forms"/>
  </ds:schemaRefs>
</ds:datastoreItem>
</file>

<file path=customXml/itemProps3.xml><?xml version="1.0" encoding="utf-8"?>
<ds:datastoreItem xmlns:ds="http://schemas.openxmlformats.org/officeDocument/2006/customXml" ds:itemID="{B4C802D4-5C66-4B25-ABDD-8E03C9CD15A7}">
  <ds:schemaRefs>
    <ds:schemaRef ds:uri="http://schemas.microsoft.com/office/2006/metadata/properties"/>
    <ds:schemaRef ds:uri="http://schemas.microsoft.com/office/infopath/2007/PartnerControls"/>
    <ds:schemaRef ds:uri="971b5273-32b7-4016-82c1-217472cef903"/>
    <ds:schemaRef ds:uri="3f14aab3-8e8b-441d-8c74-6439131de398"/>
    <ds:schemaRef ds:uri="http://schemas.microsoft.com/sharepoint/v3"/>
  </ds:schemaRefs>
</ds:datastoreItem>
</file>

<file path=docMetadata/LabelInfo.xml><?xml version="1.0" encoding="utf-8"?>
<clbl:labelList xmlns:clbl="http://schemas.microsoft.com/office/2020/mipLabelMetadata">
  <clbl:label id="{fd1c0902-ed92-4fed-896d-2e7725de02d4}" enabled="1" method="Privileged" siteId="{d6b0bbee-7cd9-4d60-bce6-4a67b543e2ae}"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18</vt:i4>
      </vt:variant>
    </vt:vector>
  </HeadingPairs>
  <TitlesOfParts>
    <vt:vector size="18" baseType="lpstr">
      <vt:lpstr>First_page</vt:lpstr>
      <vt:lpstr>Revision</vt:lpstr>
      <vt:lpstr>REQ</vt:lpstr>
      <vt:lpstr>GTK</vt:lpstr>
      <vt:lpstr>Variables</vt:lpstr>
      <vt:lpstr>PVAL_ALL_SYNTH</vt:lpstr>
      <vt:lpstr>DTx</vt:lpstr>
      <vt:lpstr>#1</vt:lpstr>
      <vt:lpstr>#2</vt:lpstr>
      <vt:lpstr>#3</vt:lpstr>
      <vt:lpstr>#4</vt:lpstr>
      <vt:lpstr>#5</vt:lpstr>
      <vt:lpstr>#6</vt:lpstr>
      <vt:lpstr>#7</vt:lpstr>
      <vt:lpstr>Feuil1</vt:lpstr>
      <vt:lpstr>#8</vt:lpstr>
      <vt:lpstr>#9</vt:lpstr>
      <vt:lpstr>#10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GHEORGHE Bogdan</dc:creator>
  <cp:keywords/>
  <dc:description/>
  <cp:lastModifiedBy>KADDOUR Thinhinane (renexter)</cp:lastModifiedBy>
  <cp:revision/>
  <dcterms:created xsi:type="dcterms:W3CDTF">2016-10-07T05:49:52Z</dcterms:created>
  <dcterms:modified xsi:type="dcterms:W3CDTF">2025-08-10T14:13:50Z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0x0101007EB90EFB5FD3C646B161AFEB75CA25F4</vt:lpwstr>
  </property>
  <property fmtid="{D5CDD505-2E9C-101B-9397-08002B2CF9AE}" pid="4" name="MediaServiceImageTags">
    <vt:lpwstr/>
  </property>
  <property fmtid="{D5CDD505-2E9C-101B-9397-08002B2CF9AE}" pid="5" name="MSIP_Label_fd1c0902-ed92-4fed-896d-2e7725de02d4_Enabled">
    <vt:lpwstr>true</vt:lpwstr>
  </property>
  <property fmtid="{D5CDD505-2E9C-101B-9397-08002B2CF9AE}" pid="6" name="MSIP_Label_fd1c0902-ed92-4fed-896d-2e7725de02d4_SetDate">
    <vt:lpwstr>2023-04-03T07:06:31Z</vt:lpwstr>
  </property>
  <property fmtid="{D5CDD505-2E9C-101B-9397-08002B2CF9AE}" pid="7" name="MSIP_Label_fd1c0902-ed92-4fed-896d-2e7725de02d4_Method">
    <vt:lpwstr>Privileged</vt:lpwstr>
  </property>
  <property fmtid="{D5CDD505-2E9C-101B-9397-08002B2CF9AE}" pid="8" name="MSIP_Label_fd1c0902-ed92-4fed-896d-2e7725de02d4_Name">
    <vt:lpwstr>Anyone (not protected)</vt:lpwstr>
  </property>
  <property fmtid="{D5CDD505-2E9C-101B-9397-08002B2CF9AE}" pid="9" name="MSIP_Label_fd1c0902-ed92-4fed-896d-2e7725de02d4_SiteId">
    <vt:lpwstr>d6b0bbee-7cd9-4d60-bce6-4a67b543e2ae</vt:lpwstr>
  </property>
  <property fmtid="{D5CDD505-2E9C-101B-9397-08002B2CF9AE}" pid="10" name="MSIP_Label_fd1c0902-ed92-4fed-896d-2e7725de02d4_ActionId">
    <vt:lpwstr>8fc4b264-e0a3-4584-9975-dd47ef168652</vt:lpwstr>
  </property>
  <property fmtid="{D5CDD505-2E9C-101B-9397-08002B2CF9AE}" pid="11" name="MSIP_Label_fd1c0902-ed92-4fed-896d-2e7725de02d4_ContentBits">
    <vt:lpwstr>2</vt:lpwstr>
  </property>
  <property fmtid="{D5CDD505-2E9C-101B-9397-08002B2CF9AE}" pid="12" name="MSIP_Label_61075092-e835-4209-8938-695d786e0591_Enabled">
    <vt:lpwstr>true</vt:lpwstr>
  </property>
  <property fmtid="{D5CDD505-2E9C-101B-9397-08002B2CF9AE}" pid="13" name="MSIP_Label_61075092-e835-4209-8938-695d786e0591_SetDate">
    <vt:lpwstr>2024-04-16T13:16:11Z</vt:lpwstr>
  </property>
  <property fmtid="{D5CDD505-2E9C-101B-9397-08002B2CF9AE}" pid="14" name="MSIP_Label_61075092-e835-4209-8938-695d786e0591_Method">
    <vt:lpwstr>Standard</vt:lpwstr>
  </property>
  <property fmtid="{D5CDD505-2E9C-101B-9397-08002B2CF9AE}" pid="15" name="MSIP_Label_61075092-e835-4209-8938-695d786e0591_Name">
    <vt:lpwstr>internal</vt:lpwstr>
  </property>
  <property fmtid="{D5CDD505-2E9C-101B-9397-08002B2CF9AE}" pid="16" name="MSIP_Label_61075092-e835-4209-8938-695d786e0591_SiteId">
    <vt:lpwstr>b4bc7e59-9a34-4622-ab54-d7a1a680f47a</vt:lpwstr>
  </property>
  <property fmtid="{D5CDD505-2E9C-101B-9397-08002B2CF9AE}" pid="17" name="MSIP_Label_61075092-e835-4209-8938-695d786e0591_ActionId">
    <vt:lpwstr>f3666f4b-2a48-43cf-b074-18f7d7443696</vt:lpwstr>
  </property>
  <property fmtid="{D5CDD505-2E9C-101B-9397-08002B2CF9AE}" pid="18" name="MSIP_Label_61075092-e835-4209-8938-695d786e0591_ContentBits">
    <vt:lpwstr>0</vt:lpwstr>
  </property>
  <property fmtid="{D5CDD505-2E9C-101B-9397-08002B2CF9AE}" pid="19" name="ComplianceAssetId">
    <vt:lpwstr/>
  </property>
  <property fmtid="{D5CDD505-2E9C-101B-9397-08002B2CF9AE}" pid="20" name="_ExtendedDescription">
    <vt:lpwstr/>
  </property>
  <property fmtid="{D5CDD505-2E9C-101B-9397-08002B2CF9AE}" pid="21" name="TriggerFlowInfo">
    <vt:lpwstr/>
  </property>
</Properties>
</file>